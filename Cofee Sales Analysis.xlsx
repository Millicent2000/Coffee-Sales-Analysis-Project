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o\Documents\"/>
    </mc:Choice>
  </mc:AlternateContent>
  <xr:revisionPtr revIDLastSave="0" documentId="13_ncr:1_{599D0006-81DB-483B-8835-EAD3E6A32B59}" xr6:coauthVersionLast="47" xr6:coauthVersionMax="47" xr10:uidLastSave="{00000000-0000-0000-0000-000000000000}"/>
  <bookViews>
    <workbookView xWindow="-120" yWindow="-120" windowWidth="20730" windowHeight="11160" activeTab="3" xr2:uid="{00000000-000D-0000-FFFF-FFFF00000000}"/>
  </bookViews>
  <sheets>
    <sheet name="orders" sheetId="17" r:id="rId1"/>
    <sheet name="customers" sheetId="13" r:id="rId2"/>
    <sheet name="products" sheetId="2" r:id="rId3"/>
    <sheet name="data cleaned" sheetId="18" r:id="rId4"/>
    <sheet name="pivot table" sheetId="19" r:id="rId5"/>
    <sheet name="dashboard" sheetId="20" r:id="rId6"/>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8" l="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L3" i="18"/>
  <c r="M3" i="18" s="1"/>
  <c r="L4" i="18"/>
  <c r="M4" i="18" s="1"/>
  <c r="L5" i="18"/>
  <c r="M5" i="18" s="1"/>
  <c r="L6" i="18"/>
  <c r="M6" i="18" s="1"/>
  <c r="L7" i="18"/>
  <c r="M7" i="18" s="1"/>
  <c r="L8" i="18"/>
  <c r="M8" i="18" s="1"/>
  <c r="L9" i="18"/>
  <c r="M9" i="18" s="1"/>
  <c r="L10" i="18"/>
  <c r="M10" i="18" s="1"/>
  <c r="L11" i="18"/>
  <c r="M11" i="18" s="1"/>
  <c r="L12" i="18"/>
  <c r="M12" i="18" s="1"/>
  <c r="L13" i="18"/>
  <c r="M13" i="18" s="1"/>
  <c r="L14" i="18"/>
  <c r="M14" i="18" s="1"/>
  <c r="L15" i="18"/>
  <c r="M15" i="18" s="1"/>
  <c r="L16" i="18"/>
  <c r="M16" i="18" s="1"/>
  <c r="L17" i="18"/>
  <c r="M17" i="18" s="1"/>
  <c r="L18" i="18"/>
  <c r="M18" i="18" s="1"/>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M30" i="18" s="1"/>
  <c r="L31" i="18"/>
  <c r="M31" i="18" s="1"/>
  <c r="L32" i="18"/>
  <c r="M32" i="18" s="1"/>
  <c r="L33" i="18"/>
  <c r="M33" i="18" s="1"/>
  <c r="L34" i="18"/>
  <c r="M34" i="18" s="1"/>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M46" i="18" s="1"/>
  <c r="L47" i="18"/>
  <c r="M47" i="18" s="1"/>
  <c r="L48" i="18"/>
  <c r="M48" i="18" s="1"/>
  <c r="L49" i="18"/>
  <c r="M49" i="18" s="1"/>
  <c r="L50" i="18"/>
  <c r="M50" i="18" s="1"/>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M62" i="18" s="1"/>
  <c r="L63" i="18"/>
  <c r="M63" i="18" s="1"/>
  <c r="L64" i="18"/>
  <c r="M64" i="18" s="1"/>
  <c r="L65" i="18"/>
  <c r="M65" i="18" s="1"/>
  <c r="L66" i="18"/>
  <c r="M66" i="18" s="1"/>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M78" i="18" s="1"/>
  <c r="L79" i="18"/>
  <c r="M79" i="18" s="1"/>
  <c r="L80" i="18"/>
  <c r="M80" i="18" s="1"/>
  <c r="L81" i="18"/>
  <c r="M81" i="18" s="1"/>
  <c r="L82" i="18"/>
  <c r="M82" i="18" s="1"/>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M94" i="18" s="1"/>
  <c r="L95" i="18"/>
  <c r="M95" i="18" s="1"/>
  <c r="L96" i="18"/>
  <c r="M96" i="18" s="1"/>
  <c r="L97" i="18"/>
  <c r="M97" i="18" s="1"/>
  <c r="L98" i="18"/>
  <c r="M98" i="18" s="1"/>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M110" i="18" s="1"/>
  <c r="L111" i="18"/>
  <c r="M111" i="18" s="1"/>
  <c r="L112" i="18"/>
  <c r="M112" i="18" s="1"/>
  <c r="L113" i="18"/>
  <c r="M113" i="18" s="1"/>
  <c r="L114" i="18"/>
  <c r="M114" i="18" s="1"/>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M126" i="18" s="1"/>
  <c r="L127" i="18"/>
  <c r="M127" i="18" s="1"/>
  <c r="L128" i="18"/>
  <c r="M128" i="18" s="1"/>
  <c r="L129" i="18"/>
  <c r="M129" i="18" s="1"/>
  <c r="L130" i="18"/>
  <c r="M130" i="18" s="1"/>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M142" i="18" s="1"/>
  <c r="L143" i="18"/>
  <c r="M143" i="18" s="1"/>
  <c r="L144" i="18"/>
  <c r="M144" i="18" s="1"/>
  <c r="L145" i="18"/>
  <c r="M145" i="18" s="1"/>
  <c r="L146" i="18"/>
  <c r="M146" i="18" s="1"/>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M158" i="18" s="1"/>
  <c r="L159" i="18"/>
  <c r="M159" i="18" s="1"/>
  <c r="L160" i="18"/>
  <c r="M160" i="18" s="1"/>
  <c r="L161" i="18"/>
  <c r="M161" i="18" s="1"/>
  <c r="L162" i="18"/>
  <c r="M162" i="18" s="1"/>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M174" i="18" s="1"/>
  <c r="L175" i="18"/>
  <c r="M175" i="18" s="1"/>
  <c r="L176" i="18"/>
  <c r="M176" i="18" s="1"/>
  <c r="L177" i="18"/>
  <c r="M177" i="18" s="1"/>
  <c r="L178" i="18"/>
  <c r="M178" i="18" s="1"/>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M190" i="18" s="1"/>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M206" i="18" s="1"/>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M222" i="18" s="1"/>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M270" i="18" s="1"/>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M286" i="18" s="1"/>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M334" i="18" s="1"/>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M354" i="18" s="1"/>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M366" i="18" s="1"/>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M386" i="18" s="1"/>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M398" i="18" s="1"/>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M418" i="18" s="1"/>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M430" i="18" s="1"/>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M450" i="18" s="1"/>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M462" i="18" s="1"/>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M482" i="18" s="1"/>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M494" i="18" s="1"/>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M513" i="18" s="1"/>
  <c r="L514" i="18"/>
  <c r="M514" i="18" s="1"/>
  <c r="L515" i="18"/>
  <c r="M515" i="18" s="1"/>
  <c r="L516" i="18"/>
  <c r="M516" i="18" s="1"/>
  <c r="L517" i="18"/>
  <c r="M517" i="18" s="1"/>
  <c r="L518" i="18"/>
  <c r="M518" i="18" s="1"/>
  <c r="L519" i="18"/>
  <c r="M519" i="18" s="1"/>
  <c r="L520" i="18"/>
  <c r="M520" i="18" s="1"/>
  <c r="L521" i="18"/>
  <c r="M521" i="18" s="1"/>
  <c r="L522" i="18"/>
  <c r="M522" i="18" s="1"/>
  <c r="L523" i="18"/>
  <c r="M523" i="18" s="1"/>
  <c r="L524" i="18"/>
  <c r="M524" i="18" s="1"/>
  <c r="L525" i="18"/>
  <c r="M525" i="18" s="1"/>
  <c r="L526" i="18"/>
  <c r="M526" i="18" s="1"/>
  <c r="L527" i="18"/>
  <c r="M527" i="18" s="1"/>
  <c r="L528" i="18"/>
  <c r="M528" i="18" s="1"/>
  <c r="L529" i="18"/>
  <c r="M529" i="18" s="1"/>
  <c r="L530" i="18"/>
  <c r="M530" i="18" s="1"/>
  <c r="L531" i="18"/>
  <c r="M531" i="18" s="1"/>
  <c r="L532" i="18"/>
  <c r="M532" i="18" s="1"/>
  <c r="L533" i="18"/>
  <c r="M533" i="18" s="1"/>
  <c r="L534" i="18"/>
  <c r="M534" i="18" s="1"/>
  <c r="L535" i="18"/>
  <c r="M535" i="18" s="1"/>
  <c r="L536" i="18"/>
  <c r="M536" i="18" s="1"/>
  <c r="L537" i="18"/>
  <c r="M537" i="18" s="1"/>
  <c r="L538" i="18"/>
  <c r="M538" i="18" s="1"/>
  <c r="L539" i="18"/>
  <c r="M539" i="18" s="1"/>
  <c r="L540" i="18"/>
  <c r="M540" i="18" s="1"/>
  <c r="L541" i="18"/>
  <c r="M541" i="18" s="1"/>
  <c r="L542" i="18"/>
  <c r="M542" i="18" s="1"/>
  <c r="L543" i="18"/>
  <c r="M543" i="18" s="1"/>
  <c r="L544" i="18"/>
  <c r="M544" i="18" s="1"/>
  <c r="L545" i="18"/>
  <c r="M545" i="18" s="1"/>
  <c r="L546" i="18"/>
  <c r="M546" i="18" s="1"/>
  <c r="L547" i="18"/>
  <c r="M547" i="18" s="1"/>
  <c r="L548" i="18"/>
  <c r="M548" i="18" s="1"/>
  <c r="L549" i="18"/>
  <c r="M549" i="18" s="1"/>
  <c r="L550" i="18"/>
  <c r="M550" i="18" s="1"/>
  <c r="L551" i="18"/>
  <c r="M551" i="18" s="1"/>
  <c r="L552" i="18"/>
  <c r="M552" i="18" s="1"/>
  <c r="L553" i="18"/>
  <c r="M553" i="18" s="1"/>
  <c r="L554" i="18"/>
  <c r="M554" i="18" s="1"/>
  <c r="L555" i="18"/>
  <c r="M555" i="18" s="1"/>
  <c r="L556" i="18"/>
  <c r="M556" i="18" s="1"/>
  <c r="L557" i="18"/>
  <c r="M557" i="18" s="1"/>
  <c r="L558" i="18"/>
  <c r="M558" i="18" s="1"/>
  <c r="L559" i="18"/>
  <c r="M559" i="18" s="1"/>
  <c r="L560" i="18"/>
  <c r="M560" i="18" s="1"/>
  <c r="L561" i="18"/>
  <c r="M561" i="18" s="1"/>
  <c r="L562" i="18"/>
  <c r="M562" i="18" s="1"/>
  <c r="L563" i="18"/>
  <c r="M563" i="18" s="1"/>
  <c r="L564" i="18"/>
  <c r="M564" i="18" s="1"/>
  <c r="L565" i="18"/>
  <c r="M565" i="18" s="1"/>
  <c r="L566" i="18"/>
  <c r="M566" i="18" s="1"/>
  <c r="L567" i="18"/>
  <c r="M567" i="18" s="1"/>
  <c r="L568" i="18"/>
  <c r="M568" i="18" s="1"/>
  <c r="L569" i="18"/>
  <c r="M569" i="18" s="1"/>
  <c r="L570" i="18"/>
  <c r="M570" i="18" s="1"/>
  <c r="L571" i="18"/>
  <c r="M571" i="18" s="1"/>
  <c r="L572" i="18"/>
  <c r="M572" i="18" s="1"/>
  <c r="L573" i="18"/>
  <c r="M573" i="18" s="1"/>
  <c r="L574" i="18"/>
  <c r="M574" i="18" s="1"/>
  <c r="L575" i="18"/>
  <c r="M575" i="18" s="1"/>
  <c r="L576" i="18"/>
  <c r="M576" i="18" s="1"/>
  <c r="L577" i="18"/>
  <c r="M577" i="18" s="1"/>
  <c r="L578" i="18"/>
  <c r="M578" i="18" s="1"/>
  <c r="L579" i="18"/>
  <c r="M579" i="18" s="1"/>
  <c r="L580" i="18"/>
  <c r="M580" i="18" s="1"/>
  <c r="L581" i="18"/>
  <c r="M581" i="18" s="1"/>
  <c r="L582" i="18"/>
  <c r="M582" i="18" s="1"/>
  <c r="L583" i="18"/>
  <c r="M583" i="18" s="1"/>
  <c r="L584" i="18"/>
  <c r="M584" i="18" s="1"/>
  <c r="L585" i="18"/>
  <c r="M585" i="18" s="1"/>
  <c r="L586" i="18"/>
  <c r="M586" i="18" s="1"/>
  <c r="L587" i="18"/>
  <c r="M587" i="18" s="1"/>
  <c r="L588" i="18"/>
  <c r="M588" i="18" s="1"/>
  <c r="L589" i="18"/>
  <c r="M589" i="18" s="1"/>
  <c r="L590" i="18"/>
  <c r="M590" i="18" s="1"/>
  <c r="L591" i="18"/>
  <c r="M591" i="18" s="1"/>
  <c r="L592" i="18"/>
  <c r="M592" i="18" s="1"/>
  <c r="L593" i="18"/>
  <c r="M593" i="18" s="1"/>
  <c r="L594" i="18"/>
  <c r="M594" i="18" s="1"/>
  <c r="L595" i="18"/>
  <c r="M595" i="18" s="1"/>
  <c r="L596" i="18"/>
  <c r="M596" i="18" s="1"/>
  <c r="L597" i="18"/>
  <c r="M597" i="18" s="1"/>
  <c r="L598" i="18"/>
  <c r="M598" i="18" s="1"/>
  <c r="L599" i="18"/>
  <c r="M599" i="18" s="1"/>
  <c r="L600" i="18"/>
  <c r="M600" i="18" s="1"/>
  <c r="L601" i="18"/>
  <c r="M601" i="18" s="1"/>
  <c r="L602" i="18"/>
  <c r="M602" i="18" s="1"/>
  <c r="L603" i="18"/>
  <c r="M603" i="18" s="1"/>
  <c r="L604" i="18"/>
  <c r="M604" i="18" s="1"/>
  <c r="L605" i="18"/>
  <c r="M605" i="18" s="1"/>
  <c r="L606" i="18"/>
  <c r="M606" i="18" s="1"/>
  <c r="L607" i="18"/>
  <c r="M607" i="18" s="1"/>
  <c r="L608" i="18"/>
  <c r="M608" i="18" s="1"/>
  <c r="L609" i="18"/>
  <c r="M609" i="18" s="1"/>
  <c r="L610" i="18"/>
  <c r="M610" i="18" s="1"/>
  <c r="L611" i="18"/>
  <c r="M611" i="18" s="1"/>
  <c r="L612" i="18"/>
  <c r="M612" i="18" s="1"/>
  <c r="L613" i="18"/>
  <c r="M613" i="18" s="1"/>
  <c r="L614" i="18"/>
  <c r="M614" i="18" s="1"/>
  <c r="L615" i="18"/>
  <c r="M615" i="18" s="1"/>
  <c r="L616" i="18"/>
  <c r="M616" i="18" s="1"/>
  <c r="L617" i="18"/>
  <c r="M617" i="18" s="1"/>
  <c r="L618" i="18"/>
  <c r="M618" i="18" s="1"/>
  <c r="L619" i="18"/>
  <c r="M619" i="18" s="1"/>
  <c r="L620" i="18"/>
  <c r="M620" i="18" s="1"/>
  <c r="L621" i="18"/>
  <c r="M621" i="18" s="1"/>
  <c r="L622" i="18"/>
  <c r="M622" i="18" s="1"/>
  <c r="L623" i="18"/>
  <c r="M623" i="18" s="1"/>
  <c r="L624" i="18"/>
  <c r="M624" i="18" s="1"/>
  <c r="L625" i="18"/>
  <c r="M625" i="18" s="1"/>
  <c r="L626" i="18"/>
  <c r="M626" i="18" s="1"/>
  <c r="L627" i="18"/>
  <c r="M627" i="18" s="1"/>
  <c r="L628" i="18"/>
  <c r="M628" i="18" s="1"/>
  <c r="L629" i="18"/>
  <c r="M629" i="18" s="1"/>
  <c r="L630" i="18"/>
  <c r="M630" i="18" s="1"/>
  <c r="L631" i="18"/>
  <c r="M631" i="18" s="1"/>
  <c r="L632" i="18"/>
  <c r="M632" i="18" s="1"/>
  <c r="L633" i="18"/>
  <c r="M633" i="18" s="1"/>
  <c r="L634" i="18"/>
  <c r="M634" i="18" s="1"/>
  <c r="L635" i="18"/>
  <c r="M635" i="18" s="1"/>
  <c r="L636" i="18"/>
  <c r="M636" i="18" s="1"/>
  <c r="L637" i="18"/>
  <c r="M637" i="18" s="1"/>
  <c r="L638" i="18"/>
  <c r="M638" i="18" s="1"/>
  <c r="L639" i="18"/>
  <c r="M639" i="18" s="1"/>
  <c r="L640" i="18"/>
  <c r="M640" i="18" s="1"/>
  <c r="L641" i="18"/>
  <c r="M641" i="18" s="1"/>
  <c r="L642" i="18"/>
  <c r="M642" i="18" s="1"/>
  <c r="L643" i="18"/>
  <c r="M643" i="18" s="1"/>
  <c r="L644" i="18"/>
  <c r="M644" i="18" s="1"/>
  <c r="L645" i="18"/>
  <c r="M645" i="18" s="1"/>
  <c r="L646" i="18"/>
  <c r="M646" i="18" s="1"/>
  <c r="L647" i="18"/>
  <c r="M647" i="18" s="1"/>
  <c r="L648" i="18"/>
  <c r="M648" i="18" s="1"/>
  <c r="L649" i="18"/>
  <c r="M649" i="18" s="1"/>
  <c r="L650" i="18"/>
  <c r="M650" i="18" s="1"/>
  <c r="L651" i="18"/>
  <c r="M651" i="18" s="1"/>
  <c r="L652" i="18"/>
  <c r="M652" i="18" s="1"/>
  <c r="L653" i="18"/>
  <c r="M653" i="18" s="1"/>
  <c r="L654" i="18"/>
  <c r="M654" i="18" s="1"/>
  <c r="L655" i="18"/>
  <c r="M655" i="18" s="1"/>
  <c r="L656" i="18"/>
  <c r="M656" i="18" s="1"/>
  <c r="L657" i="18"/>
  <c r="M657" i="18" s="1"/>
  <c r="L658" i="18"/>
  <c r="M658" i="18" s="1"/>
  <c r="L659" i="18"/>
  <c r="M659" i="18" s="1"/>
  <c r="L660" i="18"/>
  <c r="M660" i="18" s="1"/>
  <c r="L661" i="18"/>
  <c r="M661" i="18" s="1"/>
  <c r="L662" i="18"/>
  <c r="M662" i="18" s="1"/>
  <c r="L663" i="18"/>
  <c r="M663" i="18" s="1"/>
  <c r="L664" i="18"/>
  <c r="M664" i="18" s="1"/>
  <c r="L665" i="18"/>
  <c r="M665" i="18" s="1"/>
  <c r="L666" i="18"/>
  <c r="M666" i="18" s="1"/>
  <c r="L667" i="18"/>
  <c r="M667" i="18" s="1"/>
  <c r="L668" i="18"/>
  <c r="M668" i="18" s="1"/>
  <c r="L669" i="18"/>
  <c r="M669" i="18" s="1"/>
  <c r="L670" i="18"/>
  <c r="M670" i="18" s="1"/>
  <c r="L671" i="18"/>
  <c r="M671" i="18" s="1"/>
  <c r="L672" i="18"/>
  <c r="M672" i="18" s="1"/>
  <c r="L673" i="18"/>
  <c r="M673" i="18" s="1"/>
  <c r="L674" i="18"/>
  <c r="M674" i="18" s="1"/>
  <c r="L675" i="18"/>
  <c r="M675" i="18" s="1"/>
  <c r="L676" i="18"/>
  <c r="M676" i="18" s="1"/>
  <c r="L677" i="18"/>
  <c r="M677" i="18" s="1"/>
  <c r="L678" i="18"/>
  <c r="M678" i="18" s="1"/>
  <c r="L679" i="18"/>
  <c r="M679" i="18" s="1"/>
  <c r="L680" i="18"/>
  <c r="M680" i="18" s="1"/>
  <c r="L681" i="18"/>
  <c r="M681" i="18" s="1"/>
  <c r="L682" i="18"/>
  <c r="M682" i="18" s="1"/>
  <c r="L683" i="18"/>
  <c r="M683" i="18" s="1"/>
  <c r="L684" i="18"/>
  <c r="M684" i="18" s="1"/>
  <c r="L685" i="18"/>
  <c r="M685" i="18" s="1"/>
  <c r="L686" i="18"/>
  <c r="M686" i="18" s="1"/>
  <c r="L687" i="18"/>
  <c r="M687" i="18" s="1"/>
  <c r="L688" i="18"/>
  <c r="M688" i="18" s="1"/>
  <c r="L689" i="18"/>
  <c r="M689" i="18" s="1"/>
  <c r="L690" i="18"/>
  <c r="M690" i="18" s="1"/>
  <c r="L691" i="18"/>
  <c r="M691" i="18" s="1"/>
  <c r="L692" i="18"/>
  <c r="M692" i="18" s="1"/>
  <c r="L693" i="18"/>
  <c r="M693" i="18" s="1"/>
  <c r="L694" i="18"/>
  <c r="M694" i="18" s="1"/>
  <c r="L695" i="18"/>
  <c r="M695" i="18" s="1"/>
  <c r="L696" i="18"/>
  <c r="M696" i="18" s="1"/>
  <c r="L697" i="18"/>
  <c r="M697" i="18" s="1"/>
  <c r="L698" i="18"/>
  <c r="M698" i="18" s="1"/>
  <c r="L699" i="18"/>
  <c r="M699" i="18" s="1"/>
  <c r="L700" i="18"/>
  <c r="M700" i="18" s="1"/>
  <c r="L701" i="18"/>
  <c r="M701" i="18" s="1"/>
  <c r="L702" i="18"/>
  <c r="M702" i="18" s="1"/>
  <c r="L703" i="18"/>
  <c r="M703" i="18" s="1"/>
  <c r="L704" i="18"/>
  <c r="M704" i="18" s="1"/>
  <c r="L705" i="18"/>
  <c r="M705" i="18" s="1"/>
  <c r="L706" i="18"/>
  <c r="M706" i="18" s="1"/>
  <c r="L707" i="18"/>
  <c r="M707" i="18" s="1"/>
  <c r="L708" i="18"/>
  <c r="M708" i="18" s="1"/>
  <c r="L709" i="18"/>
  <c r="M709" i="18" s="1"/>
  <c r="L710" i="18"/>
  <c r="M710" i="18" s="1"/>
  <c r="L711" i="18"/>
  <c r="M711" i="18" s="1"/>
  <c r="L712" i="18"/>
  <c r="M712" i="18" s="1"/>
  <c r="L713" i="18"/>
  <c r="M713" i="18" s="1"/>
  <c r="L714" i="18"/>
  <c r="M714" i="18" s="1"/>
  <c r="L715" i="18"/>
  <c r="M715" i="18" s="1"/>
  <c r="L716" i="18"/>
  <c r="M716" i="18" s="1"/>
  <c r="L717" i="18"/>
  <c r="M717" i="18" s="1"/>
  <c r="L718" i="18"/>
  <c r="M718" i="18" s="1"/>
  <c r="L719" i="18"/>
  <c r="M719" i="18" s="1"/>
  <c r="L720" i="18"/>
  <c r="M720" i="18" s="1"/>
  <c r="L721" i="18"/>
  <c r="M721" i="18" s="1"/>
  <c r="L722" i="18"/>
  <c r="M722" i="18" s="1"/>
  <c r="L723" i="18"/>
  <c r="M723" i="18" s="1"/>
  <c r="L724" i="18"/>
  <c r="M724" i="18" s="1"/>
  <c r="L725" i="18"/>
  <c r="M725" i="18" s="1"/>
  <c r="L726" i="18"/>
  <c r="M726" i="18" s="1"/>
  <c r="L727" i="18"/>
  <c r="M727" i="18" s="1"/>
  <c r="L728" i="18"/>
  <c r="M728" i="18" s="1"/>
  <c r="L729" i="18"/>
  <c r="M729" i="18" s="1"/>
  <c r="L730" i="18"/>
  <c r="M730" i="18" s="1"/>
  <c r="L731" i="18"/>
  <c r="M731" i="18" s="1"/>
  <c r="L732" i="18"/>
  <c r="M732" i="18" s="1"/>
  <c r="L733" i="18"/>
  <c r="M733" i="18" s="1"/>
  <c r="L734" i="18"/>
  <c r="M734" i="18" s="1"/>
  <c r="L735" i="18"/>
  <c r="M735" i="18" s="1"/>
  <c r="L736" i="18"/>
  <c r="M736" i="18" s="1"/>
  <c r="L737" i="18"/>
  <c r="M737" i="18" s="1"/>
  <c r="L738" i="18"/>
  <c r="M738" i="18" s="1"/>
  <c r="L739" i="18"/>
  <c r="M739" i="18" s="1"/>
  <c r="L740" i="18"/>
  <c r="M740" i="18" s="1"/>
  <c r="L741" i="18"/>
  <c r="M741" i="18" s="1"/>
  <c r="L742" i="18"/>
  <c r="M742" i="18" s="1"/>
  <c r="L743" i="18"/>
  <c r="M743" i="18" s="1"/>
  <c r="L744" i="18"/>
  <c r="M744" i="18" s="1"/>
  <c r="L745" i="18"/>
  <c r="M745" i="18" s="1"/>
  <c r="L746" i="18"/>
  <c r="M746" i="18" s="1"/>
  <c r="L747" i="18"/>
  <c r="M747" i="18" s="1"/>
  <c r="L748" i="18"/>
  <c r="M748" i="18" s="1"/>
  <c r="L749" i="18"/>
  <c r="M749" i="18" s="1"/>
  <c r="L750" i="18"/>
  <c r="M750" i="18" s="1"/>
  <c r="L751" i="18"/>
  <c r="M751" i="18" s="1"/>
  <c r="L752" i="18"/>
  <c r="M752" i="18" s="1"/>
  <c r="L753" i="18"/>
  <c r="M753" i="18" s="1"/>
  <c r="L754" i="18"/>
  <c r="M754" i="18" s="1"/>
  <c r="L755" i="18"/>
  <c r="M755" i="18" s="1"/>
  <c r="L756" i="18"/>
  <c r="M756" i="18" s="1"/>
  <c r="L757" i="18"/>
  <c r="M757" i="18" s="1"/>
  <c r="L758" i="18"/>
  <c r="M758" i="18" s="1"/>
  <c r="L759" i="18"/>
  <c r="M759" i="18" s="1"/>
  <c r="L760" i="18"/>
  <c r="M760" i="18" s="1"/>
  <c r="L761" i="18"/>
  <c r="M761" i="18" s="1"/>
  <c r="L762" i="18"/>
  <c r="M762" i="18" s="1"/>
  <c r="L763" i="18"/>
  <c r="M763" i="18" s="1"/>
  <c r="L764" i="18"/>
  <c r="M764" i="18" s="1"/>
  <c r="L765" i="18"/>
  <c r="M765" i="18" s="1"/>
  <c r="L766" i="18"/>
  <c r="M766" i="18" s="1"/>
  <c r="L767" i="18"/>
  <c r="M767" i="18" s="1"/>
  <c r="L768" i="18"/>
  <c r="M768" i="18" s="1"/>
  <c r="L769" i="18"/>
  <c r="M769" i="18" s="1"/>
  <c r="L770" i="18"/>
  <c r="M770" i="18" s="1"/>
  <c r="L771" i="18"/>
  <c r="M771" i="18" s="1"/>
  <c r="L772" i="18"/>
  <c r="M772" i="18" s="1"/>
  <c r="L773" i="18"/>
  <c r="M773" i="18" s="1"/>
  <c r="L774" i="18"/>
  <c r="M774" i="18" s="1"/>
  <c r="L775" i="18"/>
  <c r="M775" i="18" s="1"/>
  <c r="L776" i="18"/>
  <c r="M776" i="18" s="1"/>
  <c r="L777" i="18"/>
  <c r="M777" i="18" s="1"/>
  <c r="L778" i="18"/>
  <c r="M778" i="18" s="1"/>
  <c r="L779" i="18"/>
  <c r="M779" i="18" s="1"/>
  <c r="L780" i="18"/>
  <c r="M780" i="18" s="1"/>
  <c r="L781" i="18"/>
  <c r="M781" i="18" s="1"/>
  <c r="L782" i="18"/>
  <c r="M782" i="18" s="1"/>
  <c r="L783" i="18"/>
  <c r="M783" i="18" s="1"/>
  <c r="L784" i="18"/>
  <c r="M784" i="18" s="1"/>
  <c r="L785" i="18"/>
  <c r="M785" i="18" s="1"/>
  <c r="L786" i="18"/>
  <c r="M786" i="18" s="1"/>
  <c r="L787" i="18"/>
  <c r="M787" i="18" s="1"/>
  <c r="L788" i="18"/>
  <c r="M788" i="18" s="1"/>
  <c r="L789" i="18"/>
  <c r="M789" i="18" s="1"/>
  <c r="L790" i="18"/>
  <c r="M790" i="18" s="1"/>
  <c r="L791" i="18"/>
  <c r="M791" i="18" s="1"/>
  <c r="L792" i="18"/>
  <c r="M792" i="18" s="1"/>
  <c r="L793" i="18"/>
  <c r="M793" i="18" s="1"/>
  <c r="L794" i="18"/>
  <c r="M794" i="18" s="1"/>
  <c r="L795" i="18"/>
  <c r="M795" i="18" s="1"/>
  <c r="L796" i="18"/>
  <c r="M796" i="18" s="1"/>
  <c r="L797" i="18"/>
  <c r="M797" i="18" s="1"/>
  <c r="L798" i="18"/>
  <c r="M798" i="18" s="1"/>
  <c r="L799" i="18"/>
  <c r="M799" i="18" s="1"/>
  <c r="L800" i="18"/>
  <c r="M800" i="18" s="1"/>
  <c r="L801" i="18"/>
  <c r="M801" i="18" s="1"/>
  <c r="L802" i="18"/>
  <c r="M802" i="18" s="1"/>
  <c r="L803" i="18"/>
  <c r="M803" i="18" s="1"/>
  <c r="L804" i="18"/>
  <c r="M804" i="18" s="1"/>
  <c r="L805" i="18"/>
  <c r="M805" i="18" s="1"/>
  <c r="L806" i="18"/>
  <c r="M806" i="18" s="1"/>
  <c r="L807" i="18"/>
  <c r="M807" i="18" s="1"/>
  <c r="L808" i="18"/>
  <c r="M808" i="18" s="1"/>
  <c r="L809" i="18"/>
  <c r="M809" i="18" s="1"/>
  <c r="L810" i="18"/>
  <c r="M810" i="18" s="1"/>
  <c r="L811" i="18"/>
  <c r="M811" i="18" s="1"/>
  <c r="L812" i="18"/>
  <c r="M812" i="18" s="1"/>
  <c r="L813" i="18"/>
  <c r="M813" i="18" s="1"/>
  <c r="L814" i="18"/>
  <c r="M814" i="18" s="1"/>
  <c r="L815" i="18"/>
  <c r="M815" i="18" s="1"/>
  <c r="L816" i="18"/>
  <c r="M816" i="18" s="1"/>
  <c r="L817" i="18"/>
  <c r="M817" i="18" s="1"/>
  <c r="L818" i="18"/>
  <c r="M818" i="18" s="1"/>
  <c r="L819" i="18"/>
  <c r="M819" i="18" s="1"/>
  <c r="L820" i="18"/>
  <c r="M820" i="18" s="1"/>
  <c r="L821" i="18"/>
  <c r="M821" i="18" s="1"/>
  <c r="L822" i="18"/>
  <c r="M822" i="18" s="1"/>
  <c r="L823" i="18"/>
  <c r="M823" i="18" s="1"/>
  <c r="L824" i="18"/>
  <c r="M824" i="18" s="1"/>
  <c r="L825" i="18"/>
  <c r="M825" i="18" s="1"/>
  <c r="L826" i="18"/>
  <c r="M826" i="18" s="1"/>
  <c r="L827" i="18"/>
  <c r="M827" i="18" s="1"/>
  <c r="L828" i="18"/>
  <c r="M828" i="18" s="1"/>
  <c r="L829" i="18"/>
  <c r="M829" i="18" s="1"/>
  <c r="L830" i="18"/>
  <c r="M830" i="18" s="1"/>
  <c r="L831" i="18"/>
  <c r="M831" i="18" s="1"/>
  <c r="L832" i="18"/>
  <c r="M832" i="18" s="1"/>
  <c r="L833" i="18"/>
  <c r="M833" i="18" s="1"/>
  <c r="L834" i="18"/>
  <c r="M834" i="18" s="1"/>
  <c r="L835" i="18"/>
  <c r="M835" i="18" s="1"/>
  <c r="L836" i="18"/>
  <c r="M836" i="18" s="1"/>
  <c r="L837" i="18"/>
  <c r="M837" i="18" s="1"/>
  <c r="L838" i="18"/>
  <c r="M838" i="18" s="1"/>
  <c r="L839" i="18"/>
  <c r="M839" i="18" s="1"/>
  <c r="L840" i="18"/>
  <c r="M840" i="18" s="1"/>
  <c r="L841" i="18"/>
  <c r="M841" i="18" s="1"/>
  <c r="L842" i="18"/>
  <c r="M842" i="18" s="1"/>
  <c r="L843" i="18"/>
  <c r="M843" i="18" s="1"/>
  <c r="L844" i="18"/>
  <c r="M844" i="18" s="1"/>
  <c r="L845" i="18"/>
  <c r="M845" i="18" s="1"/>
  <c r="L846" i="18"/>
  <c r="M846" i="18" s="1"/>
  <c r="L847" i="18"/>
  <c r="M847" i="18" s="1"/>
  <c r="L848" i="18"/>
  <c r="M848" i="18" s="1"/>
  <c r="L849" i="18"/>
  <c r="M849" i="18" s="1"/>
  <c r="L850" i="18"/>
  <c r="M850" i="18" s="1"/>
  <c r="L851" i="18"/>
  <c r="M851" i="18" s="1"/>
  <c r="L852" i="18"/>
  <c r="M852" i="18" s="1"/>
  <c r="L853" i="18"/>
  <c r="M853" i="18" s="1"/>
  <c r="L854" i="18"/>
  <c r="M854" i="18" s="1"/>
  <c r="L855" i="18"/>
  <c r="M855" i="18" s="1"/>
  <c r="L856" i="18"/>
  <c r="M856" i="18" s="1"/>
  <c r="L857" i="18"/>
  <c r="M857" i="18" s="1"/>
  <c r="L858" i="18"/>
  <c r="M858" i="18" s="1"/>
  <c r="L859" i="18"/>
  <c r="M859" i="18" s="1"/>
  <c r="L860" i="18"/>
  <c r="M860" i="18" s="1"/>
  <c r="L861" i="18"/>
  <c r="M861" i="18" s="1"/>
  <c r="L862" i="18"/>
  <c r="M862" i="18" s="1"/>
  <c r="L863" i="18"/>
  <c r="M863" i="18" s="1"/>
  <c r="L864" i="18"/>
  <c r="M864" i="18" s="1"/>
  <c r="L865" i="18"/>
  <c r="M865" i="18" s="1"/>
  <c r="L866" i="18"/>
  <c r="M866" i="18" s="1"/>
  <c r="L867" i="18"/>
  <c r="M867" i="18" s="1"/>
  <c r="L868" i="18"/>
  <c r="M868" i="18" s="1"/>
  <c r="L869" i="18"/>
  <c r="M869" i="18" s="1"/>
  <c r="L870" i="18"/>
  <c r="M870" i="18" s="1"/>
  <c r="L871" i="18"/>
  <c r="M871" i="18" s="1"/>
  <c r="L872" i="18"/>
  <c r="M872" i="18" s="1"/>
  <c r="L873" i="18"/>
  <c r="M873" i="18" s="1"/>
  <c r="L874" i="18"/>
  <c r="M874" i="18" s="1"/>
  <c r="L875" i="18"/>
  <c r="M875" i="18" s="1"/>
  <c r="L876" i="18"/>
  <c r="M876" i="18" s="1"/>
  <c r="L877" i="18"/>
  <c r="M877" i="18" s="1"/>
  <c r="L878" i="18"/>
  <c r="M878" i="18" s="1"/>
  <c r="L879" i="18"/>
  <c r="M879" i="18" s="1"/>
  <c r="L880" i="18"/>
  <c r="M880" i="18" s="1"/>
  <c r="L881" i="18"/>
  <c r="M881" i="18" s="1"/>
  <c r="L882" i="18"/>
  <c r="M882" i="18" s="1"/>
  <c r="L883" i="18"/>
  <c r="M883" i="18" s="1"/>
  <c r="L884" i="18"/>
  <c r="M884" i="18" s="1"/>
  <c r="L885" i="18"/>
  <c r="M885" i="18" s="1"/>
  <c r="L886" i="18"/>
  <c r="M886" i="18" s="1"/>
  <c r="L887" i="18"/>
  <c r="M887" i="18" s="1"/>
  <c r="L888" i="18"/>
  <c r="M888" i="18" s="1"/>
  <c r="L889" i="18"/>
  <c r="M889" i="18" s="1"/>
  <c r="L890" i="18"/>
  <c r="M890" i="18" s="1"/>
  <c r="L891" i="18"/>
  <c r="M891" i="18" s="1"/>
  <c r="L892" i="18"/>
  <c r="M892" i="18" s="1"/>
  <c r="L893" i="18"/>
  <c r="M893" i="18" s="1"/>
  <c r="L894" i="18"/>
  <c r="M894" i="18" s="1"/>
  <c r="L895" i="18"/>
  <c r="M895" i="18" s="1"/>
  <c r="L896" i="18"/>
  <c r="M896" i="18" s="1"/>
  <c r="L897" i="18"/>
  <c r="M897" i="18" s="1"/>
  <c r="L898" i="18"/>
  <c r="M898" i="18" s="1"/>
  <c r="L899" i="18"/>
  <c r="M899" i="18" s="1"/>
  <c r="L900" i="18"/>
  <c r="M900" i="18" s="1"/>
  <c r="L901" i="18"/>
  <c r="M901" i="18" s="1"/>
  <c r="L902" i="18"/>
  <c r="M902" i="18" s="1"/>
  <c r="L903" i="18"/>
  <c r="M903" i="18" s="1"/>
  <c r="L904" i="18"/>
  <c r="M904" i="18" s="1"/>
  <c r="L905" i="18"/>
  <c r="M905" i="18" s="1"/>
  <c r="L906" i="18"/>
  <c r="M906" i="18" s="1"/>
  <c r="L907" i="18"/>
  <c r="M907" i="18" s="1"/>
  <c r="L908" i="18"/>
  <c r="M908" i="18" s="1"/>
  <c r="L909" i="18"/>
  <c r="M909" i="18" s="1"/>
  <c r="L910" i="18"/>
  <c r="M910" i="18" s="1"/>
  <c r="L911" i="18"/>
  <c r="M911" i="18" s="1"/>
  <c r="L912" i="18"/>
  <c r="M912" i="18" s="1"/>
  <c r="L913" i="18"/>
  <c r="M913" i="18" s="1"/>
  <c r="L914" i="18"/>
  <c r="M914" i="18" s="1"/>
  <c r="L915" i="18"/>
  <c r="M915" i="18" s="1"/>
  <c r="L916" i="18"/>
  <c r="M916" i="18" s="1"/>
  <c r="L917" i="18"/>
  <c r="M917" i="18" s="1"/>
  <c r="L918" i="18"/>
  <c r="M918" i="18" s="1"/>
  <c r="L919" i="18"/>
  <c r="M919" i="18" s="1"/>
  <c r="L920" i="18"/>
  <c r="M920" i="18" s="1"/>
  <c r="L921" i="18"/>
  <c r="M921" i="18" s="1"/>
  <c r="L922" i="18"/>
  <c r="M922" i="18" s="1"/>
  <c r="L923" i="18"/>
  <c r="M923" i="18" s="1"/>
  <c r="L924" i="18"/>
  <c r="M924" i="18" s="1"/>
  <c r="L925" i="18"/>
  <c r="M925" i="18" s="1"/>
  <c r="L926" i="18"/>
  <c r="M926" i="18" s="1"/>
  <c r="L927" i="18"/>
  <c r="M927" i="18" s="1"/>
  <c r="L928" i="18"/>
  <c r="M928" i="18" s="1"/>
  <c r="L929" i="18"/>
  <c r="M929" i="18" s="1"/>
  <c r="L930" i="18"/>
  <c r="M930" i="18" s="1"/>
  <c r="L931" i="18"/>
  <c r="M931" i="18" s="1"/>
  <c r="L932" i="18"/>
  <c r="M932" i="18" s="1"/>
  <c r="L933" i="18"/>
  <c r="M933" i="18" s="1"/>
  <c r="L934" i="18"/>
  <c r="M934" i="18" s="1"/>
  <c r="L935" i="18"/>
  <c r="M935" i="18" s="1"/>
  <c r="L936" i="18"/>
  <c r="M936" i="18" s="1"/>
  <c r="L937" i="18"/>
  <c r="M937" i="18" s="1"/>
  <c r="L938" i="18"/>
  <c r="M938" i="18" s="1"/>
  <c r="L939" i="18"/>
  <c r="M939" i="18" s="1"/>
  <c r="L940" i="18"/>
  <c r="M940" i="18" s="1"/>
  <c r="L941" i="18"/>
  <c r="M941" i="18" s="1"/>
  <c r="L942" i="18"/>
  <c r="M942" i="18" s="1"/>
  <c r="L943" i="18"/>
  <c r="M943" i="18" s="1"/>
  <c r="L944" i="18"/>
  <c r="M944" i="18" s="1"/>
  <c r="L945" i="18"/>
  <c r="M945" i="18" s="1"/>
  <c r="L946" i="18"/>
  <c r="M946" i="18" s="1"/>
  <c r="L947" i="18"/>
  <c r="M947" i="18" s="1"/>
  <c r="L948" i="18"/>
  <c r="M948" i="18" s="1"/>
  <c r="L949" i="18"/>
  <c r="M949" i="18" s="1"/>
  <c r="L950" i="18"/>
  <c r="M950" i="18" s="1"/>
  <c r="L951" i="18"/>
  <c r="M951" i="18" s="1"/>
  <c r="L952" i="18"/>
  <c r="M952" i="18" s="1"/>
  <c r="L953" i="18"/>
  <c r="M953" i="18" s="1"/>
  <c r="L954" i="18"/>
  <c r="M954" i="18" s="1"/>
  <c r="L955" i="18"/>
  <c r="M955" i="18" s="1"/>
  <c r="L956" i="18"/>
  <c r="M956" i="18" s="1"/>
  <c r="L957" i="18"/>
  <c r="M957" i="18" s="1"/>
  <c r="L958" i="18"/>
  <c r="M958" i="18" s="1"/>
  <c r="L959" i="18"/>
  <c r="M959" i="18" s="1"/>
  <c r="L960" i="18"/>
  <c r="M960" i="18" s="1"/>
  <c r="L961" i="18"/>
  <c r="M961" i="18" s="1"/>
  <c r="L962" i="18"/>
  <c r="M962" i="18" s="1"/>
  <c r="L963" i="18"/>
  <c r="M963" i="18" s="1"/>
  <c r="L964" i="18"/>
  <c r="M964" i="18" s="1"/>
  <c r="L965" i="18"/>
  <c r="M965" i="18" s="1"/>
  <c r="L966" i="18"/>
  <c r="M966" i="18" s="1"/>
  <c r="L967" i="18"/>
  <c r="M967" i="18" s="1"/>
  <c r="L968" i="18"/>
  <c r="M968" i="18" s="1"/>
  <c r="L969" i="18"/>
  <c r="M969" i="18" s="1"/>
  <c r="L970" i="18"/>
  <c r="M970" i="18" s="1"/>
  <c r="L971" i="18"/>
  <c r="M971" i="18" s="1"/>
  <c r="L972" i="18"/>
  <c r="M972" i="18" s="1"/>
  <c r="L973" i="18"/>
  <c r="M973" i="18" s="1"/>
  <c r="L974" i="18"/>
  <c r="M974" i="18" s="1"/>
  <c r="L975" i="18"/>
  <c r="M975" i="18" s="1"/>
  <c r="L976" i="18"/>
  <c r="M976" i="18" s="1"/>
  <c r="L977" i="18"/>
  <c r="M977" i="18" s="1"/>
  <c r="L978" i="18"/>
  <c r="M978" i="18" s="1"/>
  <c r="L979" i="18"/>
  <c r="M979" i="18" s="1"/>
  <c r="L980" i="18"/>
  <c r="M980" i="18" s="1"/>
  <c r="L981" i="18"/>
  <c r="M981" i="18" s="1"/>
  <c r="L982" i="18"/>
  <c r="M982" i="18" s="1"/>
  <c r="L983" i="18"/>
  <c r="M983" i="18" s="1"/>
  <c r="L984" i="18"/>
  <c r="M984" i="18" s="1"/>
  <c r="L985" i="18"/>
  <c r="M985" i="18" s="1"/>
  <c r="L986" i="18"/>
  <c r="M986" i="18" s="1"/>
  <c r="L987" i="18"/>
  <c r="M987" i="18" s="1"/>
  <c r="L988" i="18"/>
  <c r="M988" i="18" s="1"/>
  <c r="L989" i="18"/>
  <c r="M989" i="18" s="1"/>
  <c r="L990" i="18"/>
  <c r="M990" i="18" s="1"/>
  <c r="L991" i="18"/>
  <c r="M991" i="18" s="1"/>
  <c r="L992" i="18"/>
  <c r="M992" i="18" s="1"/>
  <c r="L993" i="18"/>
  <c r="M993" i="18" s="1"/>
  <c r="L994" i="18"/>
  <c r="M994" i="18" s="1"/>
  <c r="L995" i="18"/>
  <c r="M995" i="18" s="1"/>
  <c r="L996" i="18"/>
  <c r="M996" i="18" s="1"/>
  <c r="L997" i="18"/>
  <c r="M997" i="18" s="1"/>
  <c r="L998" i="18"/>
  <c r="M998" i="18" s="1"/>
  <c r="L999" i="18"/>
  <c r="M999" i="18" s="1"/>
  <c r="L1000" i="18"/>
  <c r="M1000" i="18" s="1"/>
  <c r="L1001" i="18"/>
  <c r="M1001" i="18" s="1"/>
  <c r="L2" i="18"/>
  <c r="M2" i="18" s="1"/>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2" i="18"/>
  <c r="J3" i="18"/>
  <c r="O3" i="18" s="1"/>
  <c r="J4" i="18"/>
  <c r="O4" i="18" s="1"/>
  <c r="J5" i="18"/>
  <c r="O5" i="18" s="1"/>
  <c r="J6" i="18"/>
  <c r="O6" i="18" s="1"/>
  <c r="J7" i="18"/>
  <c r="O7" i="18" s="1"/>
  <c r="J8" i="18"/>
  <c r="O8" i="18" s="1"/>
  <c r="J9" i="18"/>
  <c r="O9" i="18" s="1"/>
  <c r="J10" i="18"/>
  <c r="O10" i="18" s="1"/>
  <c r="J11" i="18"/>
  <c r="O11" i="18" s="1"/>
  <c r="J12" i="18"/>
  <c r="O12" i="18" s="1"/>
  <c r="J13" i="18"/>
  <c r="O13" i="18" s="1"/>
  <c r="J14" i="18"/>
  <c r="O14" i="18" s="1"/>
  <c r="J15" i="18"/>
  <c r="O15" i="18" s="1"/>
  <c r="J16" i="18"/>
  <c r="O16" i="18" s="1"/>
  <c r="J17" i="18"/>
  <c r="O17" i="18" s="1"/>
  <c r="J18" i="18"/>
  <c r="O18" i="18" s="1"/>
  <c r="J19" i="18"/>
  <c r="O19" i="18" s="1"/>
  <c r="J20" i="18"/>
  <c r="O20" i="18" s="1"/>
  <c r="J21" i="18"/>
  <c r="O21" i="18" s="1"/>
  <c r="J22" i="18"/>
  <c r="O22" i="18" s="1"/>
  <c r="J23" i="18"/>
  <c r="O23" i="18" s="1"/>
  <c r="J24" i="18"/>
  <c r="O24" i="18" s="1"/>
  <c r="J25" i="18"/>
  <c r="O25" i="18" s="1"/>
  <c r="J26" i="18"/>
  <c r="O26" i="18" s="1"/>
  <c r="J27" i="18"/>
  <c r="O27" i="18" s="1"/>
  <c r="J28" i="18"/>
  <c r="O28" i="18" s="1"/>
  <c r="J29" i="18"/>
  <c r="O29" i="18" s="1"/>
  <c r="J30" i="18"/>
  <c r="O30" i="18" s="1"/>
  <c r="J31" i="18"/>
  <c r="O31" i="18" s="1"/>
  <c r="J32" i="18"/>
  <c r="O32" i="18" s="1"/>
  <c r="J33" i="18"/>
  <c r="O33" i="18" s="1"/>
  <c r="J34" i="18"/>
  <c r="O34" i="18" s="1"/>
  <c r="J35" i="18"/>
  <c r="O35" i="18" s="1"/>
  <c r="J36" i="18"/>
  <c r="O36" i="18" s="1"/>
  <c r="J37" i="18"/>
  <c r="O37" i="18" s="1"/>
  <c r="J38" i="18"/>
  <c r="O38" i="18" s="1"/>
  <c r="J39" i="18"/>
  <c r="O39" i="18" s="1"/>
  <c r="J40" i="18"/>
  <c r="O40" i="18" s="1"/>
  <c r="J41" i="18"/>
  <c r="O41" i="18" s="1"/>
  <c r="J42" i="18"/>
  <c r="O42" i="18" s="1"/>
  <c r="J43" i="18"/>
  <c r="O43" i="18" s="1"/>
  <c r="J44" i="18"/>
  <c r="O44" i="18" s="1"/>
  <c r="J45" i="18"/>
  <c r="O45" i="18" s="1"/>
  <c r="J46" i="18"/>
  <c r="O46" i="18" s="1"/>
  <c r="J47" i="18"/>
  <c r="O47" i="18" s="1"/>
  <c r="J48" i="18"/>
  <c r="O48" i="18" s="1"/>
  <c r="J49" i="18"/>
  <c r="O49" i="18" s="1"/>
  <c r="J50" i="18"/>
  <c r="O50" i="18" s="1"/>
  <c r="J51" i="18"/>
  <c r="O51" i="18" s="1"/>
  <c r="J52" i="18"/>
  <c r="O52" i="18" s="1"/>
  <c r="J53" i="18"/>
  <c r="O53" i="18" s="1"/>
  <c r="J54" i="18"/>
  <c r="O54" i="18" s="1"/>
  <c r="J55" i="18"/>
  <c r="O55" i="18" s="1"/>
  <c r="J56" i="18"/>
  <c r="O56" i="18" s="1"/>
  <c r="J57" i="18"/>
  <c r="O57" i="18" s="1"/>
  <c r="J58" i="18"/>
  <c r="O58" i="18" s="1"/>
  <c r="J59" i="18"/>
  <c r="O59" i="18" s="1"/>
  <c r="J60" i="18"/>
  <c r="O60" i="18" s="1"/>
  <c r="J61" i="18"/>
  <c r="O61" i="18" s="1"/>
  <c r="J62" i="18"/>
  <c r="O62" i="18" s="1"/>
  <c r="J63" i="18"/>
  <c r="O63" i="18" s="1"/>
  <c r="J64" i="18"/>
  <c r="O64" i="18" s="1"/>
  <c r="J65" i="18"/>
  <c r="O65" i="18" s="1"/>
  <c r="J66" i="18"/>
  <c r="O66" i="18" s="1"/>
  <c r="J67" i="18"/>
  <c r="O67" i="18" s="1"/>
  <c r="J68" i="18"/>
  <c r="O68" i="18" s="1"/>
  <c r="J69" i="18"/>
  <c r="O69" i="18" s="1"/>
  <c r="J70" i="18"/>
  <c r="O70" i="18" s="1"/>
  <c r="J71" i="18"/>
  <c r="O71" i="18" s="1"/>
  <c r="J72" i="18"/>
  <c r="O72" i="18" s="1"/>
  <c r="J73" i="18"/>
  <c r="O73" i="18" s="1"/>
  <c r="J74" i="18"/>
  <c r="O74" i="18" s="1"/>
  <c r="J75" i="18"/>
  <c r="O75" i="18" s="1"/>
  <c r="J76" i="18"/>
  <c r="O76" i="18" s="1"/>
  <c r="J77" i="18"/>
  <c r="O77" i="18" s="1"/>
  <c r="J78" i="18"/>
  <c r="O78" i="18" s="1"/>
  <c r="J79" i="18"/>
  <c r="O79" i="18" s="1"/>
  <c r="J80" i="18"/>
  <c r="O80" i="18" s="1"/>
  <c r="J81" i="18"/>
  <c r="O81" i="18" s="1"/>
  <c r="J82" i="18"/>
  <c r="O82" i="18" s="1"/>
  <c r="J83" i="18"/>
  <c r="O83" i="18" s="1"/>
  <c r="J84" i="18"/>
  <c r="O84" i="18" s="1"/>
  <c r="J85" i="18"/>
  <c r="O85" i="18" s="1"/>
  <c r="J86" i="18"/>
  <c r="O86" i="18" s="1"/>
  <c r="J87" i="18"/>
  <c r="O87" i="18" s="1"/>
  <c r="J88" i="18"/>
  <c r="O88" i="18" s="1"/>
  <c r="J89" i="18"/>
  <c r="O89" i="18" s="1"/>
  <c r="J90" i="18"/>
  <c r="O90" i="18" s="1"/>
  <c r="J91" i="18"/>
  <c r="O91" i="18" s="1"/>
  <c r="J92" i="18"/>
  <c r="O92" i="18" s="1"/>
  <c r="J93" i="18"/>
  <c r="O93" i="18" s="1"/>
  <c r="J94" i="18"/>
  <c r="O94" i="18" s="1"/>
  <c r="J95" i="18"/>
  <c r="O95" i="18" s="1"/>
  <c r="J96" i="18"/>
  <c r="O96" i="18" s="1"/>
  <c r="J97" i="18"/>
  <c r="O97" i="18" s="1"/>
  <c r="J98" i="18"/>
  <c r="O98" i="18" s="1"/>
  <c r="J99" i="18"/>
  <c r="O99" i="18" s="1"/>
  <c r="J100" i="18"/>
  <c r="O100" i="18" s="1"/>
  <c r="J101" i="18"/>
  <c r="O101" i="18" s="1"/>
  <c r="J102" i="18"/>
  <c r="O102" i="18" s="1"/>
  <c r="J103" i="18"/>
  <c r="O103" i="18" s="1"/>
  <c r="J104" i="18"/>
  <c r="O104" i="18" s="1"/>
  <c r="J105" i="18"/>
  <c r="O105" i="18" s="1"/>
  <c r="J106" i="18"/>
  <c r="O106" i="18" s="1"/>
  <c r="J107" i="18"/>
  <c r="O107" i="18" s="1"/>
  <c r="J108" i="18"/>
  <c r="O108" i="18" s="1"/>
  <c r="J109" i="18"/>
  <c r="O109" i="18" s="1"/>
  <c r="J110" i="18"/>
  <c r="O110" i="18" s="1"/>
  <c r="J111" i="18"/>
  <c r="O111" i="18" s="1"/>
  <c r="J112" i="18"/>
  <c r="O112" i="18" s="1"/>
  <c r="J113" i="18"/>
  <c r="O113" i="18" s="1"/>
  <c r="J114" i="18"/>
  <c r="O114" i="18" s="1"/>
  <c r="J115" i="18"/>
  <c r="O115" i="18" s="1"/>
  <c r="J116" i="18"/>
  <c r="O116" i="18" s="1"/>
  <c r="J117" i="18"/>
  <c r="O117" i="18" s="1"/>
  <c r="J118" i="18"/>
  <c r="O118" i="18" s="1"/>
  <c r="J119" i="18"/>
  <c r="O119" i="18" s="1"/>
  <c r="J120" i="18"/>
  <c r="O120" i="18" s="1"/>
  <c r="J121" i="18"/>
  <c r="O121" i="18" s="1"/>
  <c r="J122" i="18"/>
  <c r="O122" i="18" s="1"/>
  <c r="J123" i="18"/>
  <c r="O123" i="18" s="1"/>
  <c r="J124" i="18"/>
  <c r="O124" i="18" s="1"/>
  <c r="J125" i="18"/>
  <c r="O125" i="18" s="1"/>
  <c r="J126" i="18"/>
  <c r="O126" i="18" s="1"/>
  <c r="J127" i="18"/>
  <c r="O127" i="18" s="1"/>
  <c r="J128" i="18"/>
  <c r="O128" i="18" s="1"/>
  <c r="J129" i="18"/>
  <c r="O129" i="18" s="1"/>
  <c r="J130" i="18"/>
  <c r="O130" i="18" s="1"/>
  <c r="J131" i="18"/>
  <c r="O131" i="18" s="1"/>
  <c r="J132" i="18"/>
  <c r="O132" i="18" s="1"/>
  <c r="J133" i="18"/>
  <c r="O133" i="18" s="1"/>
  <c r="J134" i="18"/>
  <c r="O134" i="18" s="1"/>
  <c r="J135" i="18"/>
  <c r="O135" i="18" s="1"/>
  <c r="J136" i="18"/>
  <c r="O136" i="18" s="1"/>
  <c r="J137" i="18"/>
  <c r="O137" i="18" s="1"/>
  <c r="J138" i="18"/>
  <c r="O138" i="18" s="1"/>
  <c r="J139" i="18"/>
  <c r="O139" i="18" s="1"/>
  <c r="J140" i="18"/>
  <c r="O140" i="18" s="1"/>
  <c r="J141" i="18"/>
  <c r="O141" i="18" s="1"/>
  <c r="J142" i="18"/>
  <c r="O142" i="18" s="1"/>
  <c r="J143" i="18"/>
  <c r="O143" i="18" s="1"/>
  <c r="J144" i="18"/>
  <c r="O144" i="18" s="1"/>
  <c r="J145" i="18"/>
  <c r="O145" i="18" s="1"/>
  <c r="J146" i="18"/>
  <c r="O146" i="18" s="1"/>
  <c r="J147" i="18"/>
  <c r="O147" i="18" s="1"/>
  <c r="J148" i="18"/>
  <c r="O148" i="18" s="1"/>
  <c r="J149" i="18"/>
  <c r="O149" i="18" s="1"/>
  <c r="J150" i="18"/>
  <c r="O150" i="18" s="1"/>
  <c r="J151" i="18"/>
  <c r="O151" i="18" s="1"/>
  <c r="J152" i="18"/>
  <c r="O152" i="18" s="1"/>
  <c r="J153" i="18"/>
  <c r="O153" i="18" s="1"/>
  <c r="J154" i="18"/>
  <c r="O154" i="18" s="1"/>
  <c r="J155" i="18"/>
  <c r="O155" i="18" s="1"/>
  <c r="J156" i="18"/>
  <c r="O156" i="18" s="1"/>
  <c r="J157" i="18"/>
  <c r="O157" i="18" s="1"/>
  <c r="J158" i="18"/>
  <c r="O158" i="18" s="1"/>
  <c r="J159" i="18"/>
  <c r="O159" i="18" s="1"/>
  <c r="J160" i="18"/>
  <c r="O160" i="18" s="1"/>
  <c r="J161" i="18"/>
  <c r="O161" i="18" s="1"/>
  <c r="J162" i="18"/>
  <c r="O162" i="18" s="1"/>
  <c r="J163" i="18"/>
  <c r="O163" i="18" s="1"/>
  <c r="J164" i="18"/>
  <c r="O164" i="18" s="1"/>
  <c r="J165" i="18"/>
  <c r="O165" i="18" s="1"/>
  <c r="J166" i="18"/>
  <c r="O166" i="18" s="1"/>
  <c r="J167" i="18"/>
  <c r="O167" i="18" s="1"/>
  <c r="J168" i="18"/>
  <c r="O168" i="18" s="1"/>
  <c r="J169" i="18"/>
  <c r="O169" i="18" s="1"/>
  <c r="J170" i="18"/>
  <c r="O170" i="18" s="1"/>
  <c r="J171" i="18"/>
  <c r="O171" i="18" s="1"/>
  <c r="J172" i="18"/>
  <c r="O172" i="18" s="1"/>
  <c r="J173" i="18"/>
  <c r="O173" i="18" s="1"/>
  <c r="J174" i="18"/>
  <c r="O174" i="18" s="1"/>
  <c r="J175" i="18"/>
  <c r="O175" i="18" s="1"/>
  <c r="J176" i="18"/>
  <c r="O176" i="18" s="1"/>
  <c r="J177" i="18"/>
  <c r="O177" i="18" s="1"/>
  <c r="J178" i="18"/>
  <c r="O178" i="18" s="1"/>
  <c r="J179" i="18"/>
  <c r="O179" i="18" s="1"/>
  <c r="J180" i="18"/>
  <c r="O180" i="18" s="1"/>
  <c r="J181" i="18"/>
  <c r="O181" i="18" s="1"/>
  <c r="J182" i="18"/>
  <c r="O182" i="18" s="1"/>
  <c r="J183" i="18"/>
  <c r="O183" i="18" s="1"/>
  <c r="J184" i="18"/>
  <c r="O184" i="18" s="1"/>
  <c r="J185" i="18"/>
  <c r="O185" i="18" s="1"/>
  <c r="J186" i="18"/>
  <c r="O186" i="18" s="1"/>
  <c r="J187" i="18"/>
  <c r="O187" i="18" s="1"/>
  <c r="J188" i="18"/>
  <c r="O188" i="18" s="1"/>
  <c r="J189" i="18"/>
  <c r="O189" i="18" s="1"/>
  <c r="J190" i="18"/>
  <c r="O190" i="18" s="1"/>
  <c r="J191" i="18"/>
  <c r="O191" i="18" s="1"/>
  <c r="J192" i="18"/>
  <c r="O192" i="18" s="1"/>
  <c r="J193" i="18"/>
  <c r="O193" i="18" s="1"/>
  <c r="J194" i="18"/>
  <c r="O194" i="18" s="1"/>
  <c r="J195" i="18"/>
  <c r="O195" i="18" s="1"/>
  <c r="J196" i="18"/>
  <c r="O196" i="18" s="1"/>
  <c r="J197" i="18"/>
  <c r="O197" i="18" s="1"/>
  <c r="J198" i="18"/>
  <c r="O198" i="18" s="1"/>
  <c r="J199" i="18"/>
  <c r="O199" i="18" s="1"/>
  <c r="J200" i="18"/>
  <c r="O200" i="18" s="1"/>
  <c r="J201" i="18"/>
  <c r="O201" i="18" s="1"/>
  <c r="J202" i="18"/>
  <c r="O202" i="18" s="1"/>
  <c r="J203" i="18"/>
  <c r="O203" i="18" s="1"/>
  <c r="J204" i="18"/>
  <c r="O204" i="18" s="1"/>
  <c r="J205" i="18"/>
  <c r="O205" i="18" s="1"/>
  <c r="J206" i="18"/>
  <c r="O206" i="18" s="1"/>
  <c r="J207" i="18"/>
  <c r="O207" i="18" s="1"/>
  <c r="J208" i="18"/>
  <c r="O208" i="18" s="1"/>
  <c r="J209" i="18"/>
  <c r="O209" i="18" s="1"/>
  <c r="J210" i="18"/>
  <c r="O210" i="18" s="1"/>
  <c r="J211" i="18"/>
  <c r="O211" i="18" s="1"/>
  <c r="J212" i="18"/>
  <c r="O212" i="18" s="1"/>
  <c r="J213" i="18"/>
  <c r="O213" i="18" s="1"/>
  <c r="J214" i="18"/>
  <c r="O214" i="18" s="1"/>
  <c r="J215" i="18"/>
  <c r="O215" i="18" s="1"/>
  <c r="J216" i="18"/>
  <c r="O216" i="18" s="1"/>
  <c r="J217" i="18"/>
  <c r="O217" i="18" s="1"/>
  <c r="J218" i="18"/>
  <c r="O218" i="18" s="1"/>
  <c r="J219" i="18"/>
  <c r="O219" i="18" s="1"/>
  <c r="J220" i="18"/>
  <c r="O220" i="18" s="1"/>
  <c r="J221" i="18"/>
  <c r="O221" i="18" s="1"/>
  <c r="J222" i="18"/>
  <c r="O222" i="18" s="1"/>
  <c r="J223" i="18"/>
  <c r="O223" i="18" s="1"/>
  <c r="J224" i="18"/>
  <c r="O224" i="18" s="1"/>
  <c r="J225" i="18"/>
  <c r="O225" i="18" s="1"/>
  <c r="J226" i="18"/>
  <c r="O226" i="18" s="1"/>
  <c r="J227" i="18"/>
  <c r="O227" i="18" s="1"/>
  <c r="J228" i="18"/>
  <c r="O228" i="18" s="1"/>
  <c r="J229" i="18"/>
  <c r="O229" i="18" s="1"/>
  <c r="J230" i="18"/>
  <c r="O230" i="18" s="1"/>
  <c r="J231" i="18"/>
  <c r="O231" i="18" s="1"/>
  <c r="J232" i="18"/>
  <c r="O232" i="18" s="1"/>
  <c r="J233" i="18"/>
  <c r="O233" i="18" s="1"/>
  <c r="J234" i="18"/>
  <c r="O234" i="18" s="1"/>
  <c r="J235" i="18"/>
  <c r="O235" i="18" s="1"/>
  <c r="J236" i="18"/>
  <c r="O236" i="18" s="1"/>
  <c r="J237" i="18"/>
  <c r="O237" i="18" s="1"/>
  <c r="J238" i="18"/>
  <c r="O238" i="18" s="1"/>
  <c r="J239" i="18"/>
  <c r="O239" i="18" s="1"/>
  <c r="J240" i="18"/>
  <c r="O240" i="18" s="1"/>
  <c r="J241" i="18"/>
  <c r="O241" i="18" s="1"/>
  <c r="J242" i="18"/>
  <c r="O242" i="18" s="1"/>
  <c r="J243" i="18"/>
  <c r="O243" i="18" s="1"/>
  <c r="J244" i="18"/>
  <c r="O244" i="18" s="1"/>
  <c r="J245" i="18"/>
  <c r="O245" i="18" s="1"/>
  <c r="J246" i="18"/>
  <c r="O246" i="18" s="1"/>
  <c r="J247" i="18"/>
  <c r="O247" i="18" s="1"/>
  <c r="J248" i="18"/>
  <c r="O248" i="18" s="1"/>
  <c r="J249" i="18"/>
  <c r="O249" i="18" s="1"/>
  <c r="J250" i="18"/>
  <c r="O250" i="18" s="1"/>
  <c r="J251" i="18"/>
  <c r="O251" i="18" s="1"/>
  <c r="J252" i="18"/>
  <c r="O252" i="18" s="1"/>
  <c r="J253" i="18"/>
  <c r="O253" i="18" s="1"/>
  <c r="J254" i="18"/>
  <c r="O254" i="18" s="1"/>
  <c r="J255" i="18"/>
  <c r="O255" i="18" s="1"/>
  <c r="J256" i="18"/>
  <c r="O256" i="18" s="1"/>
  <c r="J257" i="18"/>
  <c r="O257" i="18" s="1"/>
  <c r="J258" i="18"/>
  <c r="O258" i="18" s="1"/>
  <c r="J259" i="18"/>
  <c r="O259" i="18" s="1"/>
  <c r="J260" i="18"/>
  <c r="O260" i="18" s="1"/>
  <c r="J261" i="18"/>
  <c r="O261" i="18" s="1"/>
  <c r="J262" i="18"/>
  <c r="O262" i="18" s="1"/>
  <c r="J263" i="18"/>
  <c r="O263" i="18" s="1"/>
  <c r="J264" i="18"/>
  <c r="O264" i="18" s="1"/>
  <c r="J265" i="18"/>
  <c r="O265" i="18" s="1"/>
  <c r="J266" i="18"/>
  <c r="O266" i="18" s="1"/>
  <c r="J267" i="18"/>
  <c r="O267" i="18" s="1"/>
  <c r="J268" i="18"/>
  <c r="O268" i="18" s="1"/>
  <c r="J269" i="18"/>
  <c r="O269" i="18" s="1"/>
  <c r="J270" i="18"/>
  <c r="O270" i="18" s="1"/>
  <c r="J271" i="18"/>
  <c r="O271" i="18" s="1"/>
  <c r="J272" i="18"/>
  <c r="O272" i="18" s="1"/>
  <c r="J273" i="18"/>
  <c r="O273" i="18" s="1"/>
  <c r="J274" i="18"/>
  <c r="O274" i="18" s="1"/>
  <c r="J275" i="18"/>
  <c r="O275" i="18" s="1"/>
  <c r="J276" i="18"/>
  <c r="O276" i="18" s="1"/>
  <c r="J277" i="18"/>
  <c r="O277" i="18" s="1"/>
  <c r="J278" i="18"/>
  <c r="O278" i="18" s="1"/>
  <c r="J279" i="18"/>
  <c r="O279" i="18" s="1"/>
  <c r="J280" i="18"/>
  <c r="O280" i="18" s="1"/>
  <c r="J281" i="18"/>
  <c r="O281" i="18" s="1"/>
  <c r="J282" i="18"/>
  <c r="O282" i="18" s="1"/>
  <c r="J283" i="18"/>
  <c r="O283" i="18" s="1"/>
  <c r="J284" i="18"/>
  <c r="O284" i="18" s="1"/>
  <c r="J285" i="18"/>
  <c r="O285" i="18" s="1"/>
  <c r="J286" i="18"/>
  <c r="O286" i="18" s="1"/>
  <c r="J287" i="18"/>
  <c r="O287" i="18" s="1"/>
  <c r="J288" i="18"/>
  <c r="O288" i="18" s="1"/>
  <c r="J289" i="18"/>
  <c r="O289" i="18" s="1"/>
  <c r="J290" i="18"/>
  <c r="O290" i="18" s="1"/>
  <c r="J291" i="18"/>
  <c r="O291" i="18" s="1"/>
  <c r="J292" i="18"/>
  <c r="O292" i="18" s="1"/>
  <c r="J293" i="18"/>
  <c r="O293" i="18" s="1"/>
  <c r="J294" i="18"/>
  <c r="O294" i="18" s="1"/>
  <c r="J295" i="18"/>
  <c r="O295" i="18" s="1"/>
  <c r="J296" i="18"/>
  <c r="O296" i="18" s="1"/>
  <c r="J297" i="18"/>
  <c r="O297" i="18" s="1"/>
  <c r="J298" i="18"/>
  <c r="O298" i="18" s="1"/>
  <c r="J299" i="18"/>
  <c r="O299" i="18" s="1"/>
  <c r="J300" i="18"/>
  <c r="O300" i="18" s="1"/>
  <c r="J301" i="18"/>
  <c r="O301" i="18" s="1"/>
  <c r="J302" i="18"/>
  <c r="O302" i="18" s="1"/>
  <c r="J303" i="18"/>
  <c r="O303" i="18" s="1"/>
  <c r="J304" i="18"/>
  <c r="O304" i="18" s="1"/>
  <c r="J305" i="18"/>
  <c r="O305" i="18" s="1"/>
  <c r="J306" i="18"/>
  <c r="O306" i="18" s="1"/>
  <c r="J307" i="18"/>
  <c r="O307" i="18" s="1"/>
  <c r="J308" i="18"/>
  <c r="O308" i="18" s="1"/>
  <c r="J309" i="18"/>
  <c r="O309" i="18" s="1"/>
  <c r="J310" i="18"/>
  <c r="O310" i="18" s="1"/>
  <c r="J311" i="18"/>
  <c r="O311" i="18" s="1"/>
  <c r="J312" i="18"/>
  <c r="O312" i="18" s="1"/>
  <c r="J313" i="18"/>
  <c r="O313" i="18" s="1"/>
  <c r="J314" i="18"/>
  <c r="O314" i="18" s="1"/>
  <c r="J315" i="18"/>
  <c r="O315" i="18" s="1"/>
  <c r="J316" i="18"/>
  <c r="O316" i="18" s="1"/>
  <c r="J317" i="18"/>
  <c r="O317" i="18" s="1"/>
  <c r="J318" i="18"/>
  <c r="O318" i="18" s="1"/>
  <c r="J319" i="18"/>
  <c r="O319" i="18" s="1"/>
  <c r="J320" i="18"/>
  <c r="O320" i="18" s="1"/>
  <c r="J321" i="18"/>
  <c r="O321" i="18" s="1"/>
  <c r="J322" i="18"/>
  <c r="O322" i="18" s="1"/>
  <c r="J323" i="18"/>
  <c r="O323" i="18" s="1"/>
  <c r="J324" i="18"/>
  <c r="O324" i="18" s="1"/>
  <c r="J325" i="18"/>
  <c r="O325" i="18" s="1"/>
  <c r="J326" i="18"/>
  <c r="O326" i="18" s="1"/>
  <c r="J327" i="18"/>
  <c r="O327" i="18" s="1"/>
  <c r="J328" i="18"/>
  <c r="O328" i="18" s="1"/>
  <c r="J329" i="18"/>
  <c r="O329" i="18" s="1"/>
  <c r="J330" i="18"/>
  <c r="O330" i="18" s="1"/>
  <c r="J331" i="18"/>
  <c r="O331" i="18" s="1"/>
  <c r="J332" i="18"/>
  <c r="O332" i="18" s="1"/>
  <c r="J333" i="18"/>
  <c r="O333" i="18" s="1"/>
  <c r="J334" i="18"/>
  <c r="O334" i="18" s="1"/>
  <c r="J335" i="18"/>
  <c r="O335" i="18" s="1"/>
  <c r="J336" i="18"/>
  <c r="O336" i="18" s="1"/>
  <c r="J337" i="18"/>
  <c r="O337" i="18" s="1"/>
  <c r="J338" i="18"/>
  <c r="O338" i="18" s="1"/>
  <c r="J339" i="18"/>
  <c r="O339" i="18" s="1"/>
  <c r="J340" i="18"/>
  <c r="O340" i="18" s="1"/>
  <c r="J341" i="18"/>
  <c r="O341" i="18" s="1"/>
  <c r="J342" i="18"/>
  <c r="O342" i="18" s="1"/>
  <c r="J343" i="18"/>
  <c r="O343" i="18" s="1"/>
  <c r="J344" i="18"/>
  <c r="O344" i="18" s="1"/>
  <c r="J345" i="18"/>
  <c r="O345" i="18" s="1"/>
  <c r="J346" i="18"/>
  <c r="O346" i="18" s="1"/>
  <c r="J347" i="18"/>
  <c r="O347" i="18" s="1"/>
  <c r="J348" i="18"/>
  <c r="O348" i="18" s="1"/>
  <c r="J349" i="18"/>
  <c r="O349" i="18" s="1"/>
  <c r="J350" i="18"/>
  <c r="O350" i="18" s="1"/>
  <c r="J351" i="18"/>
  <c r="O351" i="18" s="1"/>
  <c r="J352" i="18"/>
  <c r="O352" i="18" s="1"/>
  <c r="J353" i="18"/>
  <c r="O353" i="18" s="1"/>
  <c r="J354" i="18"/>
  <c r="O354" i="18" s="1"/>
  <c r="J355" i="18"/>
  <c r="O355" i="18" s="1"/>
  <c r="J356" i="18"/>
  <c r="O356" i="18" s="1"/>
  <c r="J357" i="18"/>
  <c r="O357" i="18" s="1"/>
  <c r="J358" i="18"/>
  <c r="O358" i="18" s="1"/>
  <c r="J359" i="18"/>
  <c r="O359" i="18" s="1"/>
  <c r="J360" i="18"/>
  <c r="O360" i="18" s="1"/>
  <c r="J361" i="18"/>
  <c r="O361" i="18" s="1"/>
  <c r="J362" i="18"/>
  <c r="O362" i="18" s="1"/>
  <c r="J363" i="18"/>
  <c r="O363" i="18" s="1"/>
  <c r="J364" i="18"/>
  <c r="O364" i="18" s="1"/>
  <c r="J365" i="18"/>
  <c r="O365" i="18" s="1"/>
  <c r="J366" i="18"/>
  <c r="O366" i="18" s="1"/>
  <c r="J367" i="18"/>
  <c r="O367" i="18" s="1"/>
  <c r="J368" i="18"/>
  <c r="O368" i="18" s="1"/>
  <c r="J369" i="18"/>
  <c r="O369" i="18" s="1"/>
  <c r="J370" i="18"/>
  <c r="O370" i="18" s="1"/>
  <c r="J371" i="18"/>
  <c r="O371" i="18" s="1"/>
  <c r="J372" i="18"/>
  <c r="O372" i="18" s="1"/>
  <c r="J373" i="18"/>
  <c r="O373" i="18" s="1"/>
  <c r="J374" i="18"/>
  <c r="O374" i="18" s="1"/>
  <c r="J375" i="18"/>
  <c r="O375" i="18" s="1"/>
  <c r="J376" i="18"/>
  <c r="O376" i="18" s="1"/>
  <c r="J377" i="18"/>
  <c r="O377" i="18" s="1"/>
  <c r="J378" i="18"/>
  <c r="O378" i="18" s="1"/>
  <c r="J379" i="18"/>
  <c r="O379" i="18" s="1"/>
  <c r="J380" i="18"/>
  <c r="O380" i="18" s="1"/>
  <c r="J381" i="18"/>
  <c r="O381" i="18" s="1"/>
  <c r="J382" i="18"/>
  <c r="O382" i="18" s="1"/>
  <c r="J383" i="18"/>
  <c r="O383" i="18" s="1"/>
  <c r="J384" i="18"/>
  <c r="O384" i="18" s="1"/>
  <c r="J385" i="18"/>
  <c r="O385" i="18" s="1"/>
  <c r="J386" i="18"/>
  <c r="O386" i="18" s="1"/>
  <c r="J387" i="18"/>
  <c r="O387" i="18" s="1"/>
  <c r="J388" i="18"/>
  <c r="O388" i="18" s="1"/>
  <c r="J389" i="18"/>
  <c r="O389" i="18" s="1"/>
  <c r="J390" i="18"/>
  <c r="O390" i="18" s="1"/>
  <c r="J391" i="18"/>
  <c r="O391" i="18" s="1"/>
  <c r="J392" i="18"/>
  <c r="O392" i="18" s="1"/>
  <c r="J393" i="18"/>
  <c r="O393" i="18" s="1"/>
  <c r="J394" i="18"/>
  <c r="O394" i="18" s="1"/>
  <c r="J395" i="18"/>
  <c r="O395" i="18" s="1"/>
  <c r="J396" i="18"/>
  <c r="O396" i="18" s="1"/>
  <c r="J397" i="18"/>
  <c r="O397" i="18" s="1"/>
  <c r="J398" i="18"/>
  <c r="O398" i="18" s="1"/>
  <c r="J399" i="18"/>
  <c r="O399" i="18" s="1"/>
  <c r="J400" i="18"/>
  <c r="O400" i="18" s="1"/>
  <c r="J401" i="18"/>
  <c r="O401" i="18" s="1"/>
  <c r="J402" i="18"/>
  <c r="O402" i="18" s="1"/>
  <c r="J403" i="18"/>
  <c r="O403" i="18" s="1"/>
  <c r="J404" i="18"/>
  <c r="O404" i="18" s="1"/>
  <c r="J405" i="18"/>
  <c r="O405" i="18" s="1"/>
  <c r="J406" i="18"/>
  <c r="O406" i="18" s="1"/>
  <c r="J407" i="18"/>
  <c r="O407" i="18" s="1"/>
  <c r="J408" i="18"/>
  <c r="O408" i="18" s="1"/>
  <c r="J409" i="18"/>
  <c r="O409" i="18" s="1"/>
  <c r="J410" i="18"/>
  <c r="O410" i="18" s="1"/>
  <c r="J411" i="18"/>
  <c r="O411" i="18" s="1"/>
  <c r="J412" i="18"/>
  <c r="O412" i="18" s="1"/>
  <c r="J413" i="18"/>
  <c r="O413" i="18" s="1"/>
  <c r="J414" i="18"/>
  <c r="O414" i="18" s="1"/>
  <c r="J415" i="18"/>
  <c r="O415" i="18" s="1"/>
  <c r="J416" i="18"/>
  <c r="O416" i="18" s="1"/>
  <c r="J417" i="18"/>
  <c r="O417" i="18" s="1"/>
  <c r="J418" i="18"/>
  <c r="O418" i="18" s="1"/>
  <c r="J419" i="18"/>
  <c r="O419" i="18" s="1"/>
  <c r="J420" i="18"/>
  <c r="O420" i="18" s="1"/>
  <c r="J421" i="18"/>
  <c r="O421" i="18" s="1"/>
  <c r="J422" i="18"/>
  <c r="O422" i="18" s="1"/>
  <c r="J423" i="18"/>
  <c r="O423" i="18" s="1"/>
  <c r="J424" i="18"/>
  <c r="O424" i="18" s="1"/>
  <c r="J425" i="18"/>
  <c r="O425" i="18" s="1"/>
  <c r="J426" i="18"/>
  <c r="O426" i="18" s="1"/>
  <c r="J427" i="18"/>
  <c r="O427" i="18" s="1"/>
  <c r="J428" i="18"/>
  <c r="O428" i="18" s="1"/>
  <c r="J429" i="18"/>
  <c r="O429" i="18" s="1"/>
  <c r="J430" i="18"/>
  <c r="O430" i="18" s="1"/>
  <c r="J431" i="18"/>
  <c r="O431" i="18" s="1"/>
  <c r="J432" i="18"/>
  <c r="O432" i="18" s="1"/>
  <c r="J433" i="18"/>
  <c r="O433" i="18" s="1"/>
  <c r="J434" i="18"/>
  <c r="O434" i="18" s="1"/>
  <c r="J435" i="18"/>
  <c r="O435" i="18" s="1"/>
  <c r="J436" i="18"/>
  <c r="O436" i="18" s="1"/>
  <c r="J437" i="18"/>
  <c r="O437" i="18" s="1"/>
  <c r="J438" i="18"/>
  <c r="O438" i="18" s="1"/>
  <c r="J439" i="18"/>
  <c r="O439" i="18" s="1"/>
  <c r="J440" i="18"/>
  <c r="O440" i="18" s="1"/>
  <c r="J441" i="18"/>
  <c r="O441" i="18" s="1"/>
  <c r="J442" i="18"/>
  <c r="O442" i="18" s="1"/>
  <c r="J443" i="18"/>
  <c r="O443" i="18" s="1"/>
  <c r="J444" i="18"/>
  <c r="O444" i="18" s="1"/>
  <c r="J445" i="18"/>
  <c r="O445" i="18" s="1"/>
  <c r="J446" i="18"/>
  <c r="O446" i="18" s="1"/>
  <c r="J447" i="18"/>
  <c r="O447" i="18" s="1"/>
  <c r="J448" i="18"/>
  <c r="O448" i="18" s="1"/>
  <c r="J449" i="18"/>
  <c r="O449" i="18" s="1"/>
  <c r="J450" i="18"/>
  <c r="O450" i="18" s="1"/>
  <c r="J451" i="18"/>
  <c r="O451" i="18" s="1"/>
  <c r="J452" i="18"/>
  <c r="O452" i="18" s="1"/>
  <c r="J453" i="18"/>
  <c r="O453" i="18" s="1"/>
  <c r="J454" i="18"/>
  <c r="O454" i="18" s="1"/>
  <c r="J455" i="18"/>
  <c r="O455" i="18" s="1"/>
  <c r="J456" i="18"/>
  <c r="O456" i="18" s="1"/>
  <c r="J457" i="18"/>
  <c r="O457" i="18" s="1"/>
  <c r="J458" i="18"/>
  <c r="O458" i="18" s="1"/>
  <c r="J459" i="18"/>
  <c r="O459" i="18" s="1"/>
  <c r="J460" i="18"/>
  <c r="O460" i="18" s="1"/>
  <c r="J461" i="18"/>
  <c r="O461" i="18" s="1"/>
  <c r="J462" i="18"/>
  <c r="O462" i="18" s="1"/>
  <c r="J463" i="18"/>
  <c r="O463" i="18" s="1"/>
  <c r="J464" i="18"/>
  <c r="O464" i="18" s="1"/>
  <c r="J465" i="18"/>
  <c r="O465" i="18" s="1"/>
  <c r="J466" i="18"/>
  <c r="O466" i="18" s="1"/>
  <c r="J467" i="18"/>
  <c r="O467" i="18" s="1"/>
  <c r="J468" i="18"/>
  <c r="O468" i="18" s="1"/>
  <c r="J469" i="18"/>
  <c r="O469" i="18" s="1"/>
  <c r="J470" i="18"/>
  <c r="O470" i="18" s="1"/>
  <c r="J471" i="18"/>
  <c r="O471" i="18" s="1"/>
  <c r="J472" i="18"/>
  <c r="O472" i="18" s="1"/>
  <c r="J473" i="18"/>
  <c r="O473" i="18" s="1"/>
  <c r="J474" i="18"/>
  <c r="O474" i="18" s="1"/>
  <c r="J475" i="18"/>
  <c r="O475" i="18" s="1"/>
  <c r="J476" i="18"/>
  <c r="O476" i="18" s="1"/>
  <c r="J477" i="18"/>
  <c r="O477" i="18" s="1"/>
  <c r="J478" i="18"/>
  <c r="O478" i="18" s="1"/>
  <c r="J479" i="18"/>
  <c r="O479" i="18" s="1"/>
  <c r="J480" i="18"/>
  <c r="O480" i="18" s="1"/>
  <c r="J481" i="18"/>
  <c r="O481" i="18" s="1"/>
  <c r="J482" i="18"/>
  <c r="O482" i="18" s="1"/>
  <c r="J483" i="18"/>
  <c r="O483" i="18" s="1"/>
  <c r="J484" i="18"/>
  <c r="O484" i="18" s="1"/>
  <c r="J485" i="18"/>
  <c r="O485" i="18" s="1"/>
  <c r="J486" i="18"/>
  <c r="O486" i="18" s="1"/>
  <c r="J487" i="18"/>
  <c r="O487" i="18" s="1"/>
  <c r="J488" i="18"/>
  <c r="O488" i="18" s="1"/>
  <c r="J489" i="18"/>
  <c r="O489" i="18" s="1"/>
  <c r="J490" i="18"/>
  <c r="O490" i="18" s="1"/>
  <c r="J491" i="18"/>
  <c r="O491" i="18" s="1"/>
  <c r="J492" i="18"/>
  <c r="O492" i="18" s="1"/>
  <c r="J493" i="18"/>
  <c r="O493" i="18" s="1"/>
  <c r="J494" i="18"/>
  <c r="O494" i="18" s="1"/>
  <c r="J495" i="18"/>
  <c r="O495" i="18" s="1"/>
  <c r="J496" i="18"/>
  <c r="O496" i="18" s="1"/>
  <c r="J497" i="18"/>
  <c r="O497" i="18" s="1"/>
  <c r="J498" i="18"/>
  <c r="O498" i="18" s="1"/>
  <c r="J499" i="18"/>
  <c r="O499" i="18" s="1"/>
  <c r="J500" i="18"/>
  <c r="O500" i="18" s="1"/>
  <c r="J501" i="18"/>
  <c r="O501" i="18" s="1"/>
  <c r="J502" i="18"/>
  <c r="O502" i="18" s="1"/>
  <c r="J503" i="18"/>
  <c r="O503" i="18" s="1"/>
  <c r="J504" i="18"/>
  <c r="O504" i="18" s="1"/>
  <c r="J505" i="18"/>
  <c r="O505" i="18" s="1"/>
  <c r="J506" i="18"/>
  <c r="O506" i="18" s="1"/>
  <c r="J507" i="18"/>
  <c r="O507" i="18" s="1"/>
  <c r="J508" i="18"/>
  <c r="O508" i="18" s="1"/>
  <c r="J509" i="18"/>
  <c r="O509" i="18" s="1"/>
  <c r="J510" i="18"/>
  <c r="O510" i="18" s="1"/>
  <c r="J511" i="18"/>
  <c r="O511" i="18" s="1"/>
  <c r="J512" i="18"/>
  <c r="O512" i="18" s="1"/>
  <c r="J513" i="18"/>
  <c r="O513" i="18" s="1"/>
  <c r="J514" i="18"/>
  <c r="O514" i="18" s="1"/>
  <c r="J515" i="18"/>
  <c r="O515" i="18" s="1"/>
  <c r="J516" i="18"/>
  <c r="O516" i="18" s="1"/>
  <c r="J517" i="18"/>
  <c r="O517" i="18" s="1"/>
  <c r="J518" i="18"/>
  <c r="O518" i="18" s="1"/>
  <c r="J519" i="18"/>
  <c r="O519" i="18" s="1"/>
  <c r="J520" i="18"/>
  <c r="O520" i="18" s="1"/>
  <c r="J521" i="18"/>
  <c r="O521" i="18" s="1"/>
  <c r="J522" i="18"/>
  <c r="O522" i="18" s="1"/>
  <c r="J523" i="18"/>
  <c r="O523" i="18" s="1"/>
  <c r="J524" i="18"/>
  <c r="O524" i="18" s="1"/>
  <c r="J525" i="18"/>
  <c r="O525" i="18" s="1"/>
  <c r="J526" i="18"/>
  <c r="O526" i="18" s="1"/>
  <c r="J527" i="18"/>
  <c r="O527" i="18" s="1"/>
  <c r="J528" i="18"/>
  <c r="O528" i="18" s="1"/>
  <c r="J529" i="18"/>
  <c r="O529" i="18" s="1"/>
  <c r="J530" i="18"/>
  <c r="O530" i="18" s="1"/>
  <c r="J531" i="18"/>
  <c r="O531" i="18" s="1"/>
  <c r="J532" i="18"/>
  <c r="O532" i="18" s="1"/>
  <c r="J533" i="18"/>
  <c r="O533" i="18" s="1"/>
  <c r="J534" i="18"/>
  <c r="O534" i="18" s="1"/>
  <c r="J535" i="18"/>
  <c r="O535" i="18" s="1"/>
  <c r="J536" i="18"/>
  <c r="O536" i="18" s="1"/>
  <c r="J537" i="18"/>
  <c r="O537" i="18" s="1"/>
  <c r="J538" i="18"/>
  <c r="O538" i="18" s="1"/>
  <c r="J539" i="18"/>
  <c r="O539" i="18" s="1"/>
  <c r="J540" i="18"/>
  <c r="O540" i="18" s="1"/>
  <c r="J541" i="18"/>
  <c r="O541" i="18" s="1"/>
  <c r="J542" i="18"/>
  <c r="O542" i="18" s="1"/>
  <c r="J543" i="18"/>
  <c r="O543" i="18" s="1"/>
  <c r="J544" i="18"/>
  <c r="O544" i="18" s="1"/>
  <c r="J545" i="18"/>
  <c r="O545" i="18" s="1"/>
  <c r="J546" i="18"/>
  <c r="O546" i="18" s="1"/>
  <c r="J547" i="18"/>
  <c r="O547" i="18" s="1"/>
  <c r="J548" i="18"/>
  <c r="O548" i="18" s="1"/>
  <c r="J549" i="18"/>
  <c r="O549" i="18" s="1"/>
  <c r="J550" i="18"/>
  <c r="O550" i="18" s="1"/>
  <c r="J551" i="18"/>
  <c r="O551" i="18" s="1"/>
  <c r="J552" i="18"/>
  <c r="O552" i="18" s="1"/>
  <c r="J553" i="18"/>
  <c r="O553" i="18" s="1"/>
  <c r="J554" i="18"/>
  <c r="O554" i="18" s="1"/>
  <c r="J555" i="18"/>
  <c r="O555" i="18" s="1"/>
  <c r="J556" i="18"/>
  <c r="O556" i="18" s="1"/>
  <c r="J557" i="18"/>
  <c r="O557" i="18" s="1"/>
  <c r="J558" i="18"/>
  <c r="O558" i="18" s="1"/>
  <c r="J559" i="18"/>
  <c r="O559" i="18" s="1"/>
  <c r="J560" i="18"/>
  <c r="O560" i="18" s="1"/>
  <c r="J561" i="18"/>
  <c r="O561" i="18" s="1"/>
  <c r="J562" i="18"/>
  <c r="O562" i="18" s="1"/>
  <c r="J563" i="18"/>
  <c r="O563" i="18" s="1"/>
  <c r="J564" i="18"/>
  <c r="O564" i="18" s="1"/>
  <c r="J565" i="18"/>
  <c r="O565" i="18" s="1"/>
  <c r="J566" i="18"/>
  <c r="O566" i="18" s="1"/>
  <c r="J567" i="18"/>
  <c r="O567" i="18" s="1"/>
  <c r="J568" i="18"/>
  <c r="O568" i="18" s="1"/>
  <c r="J569" i="18"/>
  <c r="O569" i="18" s="1"/>
  <c r="J570" i="18"/>
  <c r="O570" i="18" s="1"/>
  <c r="J571" i="18"/>
  <c r="O571" i="18" s="1"/>
  <c r="J572" i="18"/>
  <c r="O572" i="18" s="1"/>
  <c r="J573" i="18"/>
  <c r="O573" i="18" s="1"/>
  <c r="J574" i="18"/>
  <c r="O574" i="18" s="1"/>
  <c r="J575" i="18"/>
  <c r="O575" i="18" s="1"/>
  <c r="J576" i="18"/>
  <c r="O576" i="18" s="1"/>
  <c r="J577" i="18"/>
  <c r="O577" i="18" s="1"/>
  <c r="J578" i="18"/>
  <c r="O578" i="18" s="1"/>
  <c r="J579" i="18"/>
  <c r="O579" i="18" s="1"/>
  <c r="J580" i="18"/>
  <c r="O580" i="18" s="1"/>
  <c r="J581" i="18"/>
  <c r="O581" i="18" s="1"/>
  <c r="J582" i="18"/>
  <c r="O582" i="18" s="1"/>
  <c r="J583" i="18"/>
  <c r="O583" i="18" s="1"/>
  <c r="J584" i="18"/>
  <c r="O584" i="18" s="1"/>
  <c r="J585" i="18"/>
  <c r="O585" i="18" s="1"/>
  <c r="J586" i="18"/>
  <c r="O586" i="18" s="1"/>
  <c r="J587" i="18"/>
  <c r="O587" i="18" s="1"/>
  <c r="J588" i="18"/>
  <c r="O588" i="18" s="1"/>
  <c r="J589" i="18"/>
  <c r="O589" i="18" s="1"/>
  <c r="J590" i="18"/>
  <c r="O590" i="18" s="1"/>
  <c r="J591" i="18"/>
  <c r="O591" i="18" s="1"/>
  <c r="J592" i="18"/>
  <c r="O592" i="18" s="1"/>
  <c r="J593" i="18"/>
  <c r="O593" i="18" s="1"/>
  <c r="J594" i="18"/>
  <c r="O594" i="18" s="1"/>
  <c r="J595" i="18"/>
  <c r="O595" i="18" s="1"/>
  <c r="J596" i="18"/>
  <c r="O596" i="18" s="1"/>
  <c r="J597" i="18"/>
  <c r="O597" i="18" s="1"/>
  <c r="J598" i="18"/>
  <c r="O598" i="18" s="1"/>
  <c r="J599" i="18"/>
  <c r="O599" i="18" s="1"/>
  <c r="J600" i="18"/>
  <c r="O600" i="18" s="1"/>
  <c r="J601" i="18"/>
  <c r="O601" i="18" s="1"/>
  <c r="J602" i="18"/>
  <c r="O602" i="18" s="1"/>
  <c r="J603" i="18"/>
  <c r="O603" i="18" s="1"/>
  <c r="J604" i="18"/>
  <c r="O604" i="18" s="1"/>
  <c r="J605" i="18"/>
  <c r="O605" i="18" s="1"/>
  <c r="J606" i="18"/>
  <c r="O606" i="18" s="1"/>
  <c r="J607" i="18"/>
  <c r="O607" i="18" s="1"/>
  <c r="J608" i="18"/>
  <c r="O608" i="18" s="1"/>
  <c r="J609" i="18"/>
  <c r="O609" i="18" s="1"/>
  <c r="J610" i="18"/>
  <c r="O610" i="18" s="1"/>
  <c r="J611" i="18"/>
  <c r="O611" i="18" s="1"/>
  <c r="J612" i="18"/>
  <c r="O612" i="18" s="1"/>
  <c r="J613" i="18"/>
  <c r="O613" i="18" s="1"/>
  <c r="J614" i="18"/>
  <c r="O614" i="18" s="1"/>
  <c r="J615" i="18"/>
  <c r="O615" i="18" s="1"/>
  <c r="J616" i="18"/>
  <c r="O616" i="18" s="1"/>
  <c r="J617" i="18"/>
  <c r="O617" i="18" s="1"/>
  <c r="J618" i="18"/>
  <c r="O618" i="18" s="1"/>
  <c r="J619" i="18"/>
  <c r="O619" i="18" s="1"/>
  <c r="J620" i="18"/>
  <c r="O620" i="18" s="1"/>
  <c r="J621" i="18"/>
  <c r="O621" i="18" s="1"/>
  <c r="J622" i="18"/>
  <c r="O622" i="18" s="1"/>
  <c r="J623" i="18"/>
  <c r="O623" i="18" s="1"/>
  <c r="J624" i="18"/>
  <c r="O624" i="18" s="1"/>
  <c r="J625" i="18"/>
  <c r="O625" i="18" s="1"/>
  <c r="J626" i="18"/>
  <c r="O626" i="18" s="1"/>
  <c r="J627" i="18"/>
  <c r="O627" i="18" s="1"/>
  <c r="J628" i="18"/>
  <c r="O628" i="18" s="1"/>
  <c r="J629" i="18"/>
  <c r="O629" i="18" s="1"/>
  <c r="J630" i="18"/>
  <c r="O630" i="18" s="1"/>
  <c r="J631" i="18"/>
  <c r="O631" i="18" s="1"/>
  <c r="J632" i="18"/>
  <c r="O632" i="18" s="1"/>
  <c r="J633" i="18"/>
  <c r="O633" i="18" s="1"/>
  <c r="J634" i="18"/>
  <c r="O634" i="18" s="1"/>
  <c r="J635" i="18"/>
  <c r="O635" i="18" s="1"/>
  <c r="J636" i="18"/>
  <c r="O636" i="18" s="1"/>
  <c r="J637" i="18"/>
  <c r="O637" i="18" s="1"/>
  <c r="J638" i="18"/>
  <c r="O638" i="18" s="1"/>
  <c r="J639" i="18"/>
  <c r="O639" i="18" s="1"/>
  <c r="J640" i="18"/>
  <c r="O640" i="18" s="1"/>
  <c r="J641" i="18"/>
  <c r="O641" i="18" s="1"/>
  <c r="J642" i="18"/>
  <c r="O642" i="18" s="1"/>
  <c r="J643" i="18"/>
  <c r="O643" i="18" s="1"/>
  <c r="J644" i="18"/>
  <c r="O644" i="18" s="1"/>
  <c r="J645" i="18"/>
  <c r="O645" i="18" s="1"/>
  <c r="J646" i="18"/>
  <c r="O646" i="18" s="1"/>
  <c r="J647" i="18"/>
  <c r="O647" i="18" s="1"/>
  <c r="J648" i="18"/>
  <c r="O648" i="18" s="1"/>
  <c r="J649" i="18"/>
  <c r="O649" i="18" s="1"/>
  <c r="J650" i="18"/>
  <c r="O650" i="18" s="1"/>
  <c r="J651" i="18"/>
  <c r="O651" i="18" s="1"/>
  <c r="J652" i="18"/>
  <c r="O652" i="18" s="1"/>
  <c r="J653" i="18"/>
  <c r="O653" i="18" s="1"/>
  <c r="J654" i="18"/>
  <c r="O654" i="18" s="1"/>
  <c r="J655" i="18"/>
  <c r="O655" i="18" s="1"/>
  <c r="J656" i="18"/>
  <c r="O656" i="18" s="1"/>
  <c r="J657" i="18"/>
  <c r="O657" i="18" s="1"/>
  <c r="J658" i="18"/>
  <c r="O658" i="18" s="1"/>
  <c r="J659" i="18"/>
  <c r="O659" i="18" s="1"/>
  <c r="J660" i="18"/>
  <c r="O660" i="18" s="1"/>
  <c r="J661" i="18"/>
  <c r="O661" i="18" s="1"/>
  <c r="J662" i="18"/>
  <c r="O662" i="18" s="1"/>
  <c r="J663" i="18"/>
  <c r="O663" i="18" s="1"/>
  <c r="J664" i="18"/>
  <c r="O664" i="18" s="1"/>
  <c r="J665" i="18"/>
  <c r="O665" i="18" s="1"/>
  <c r="J666" i="18"/>
  <c r="O666" i="18" s="1"/>
  <c r="J667" i="18"/>
  <c r="O667" i="18" s="1"/>
  <c r="J668" i="18"/>
  <c r="O668" i="18" s="1"/>
  <c r="J669" i="18"/>
  <c r="O669" i="18" s="1"/>
  <c r="J670" i="18"/>
  <c r="O670" i="18" s="1"/>
  <c r="J671" i="18"/>
  <c r="O671" i="18" s="1"/>
  <c r="J672" i="18"/>
  <c r="O672" i="18" s="1"/>
  <c r="J673" i="18"/>
  <c r="O673" i="18" s="1"/>
  <c r="J674" i="18"/>
  <c r="O674" i="18" s="1"/>
  <c r="J675" i="18"/>
  <c r="O675" i="18" s="1"/>
  <c r="J676" i="18"/>
  <c r="O676" i="18" s="1"/>
  <c r="J677" i="18"/>
  <c r="O677" i="18" s="1"/>
  <c r="J678" i="18"/>
  <c r="O678" i="18" s="1"/>
  <c r="J679" i="18"/>
  <c r="O679" i="18" s="1"/>
  <c r="J680" i="18"/>
  <c r="O680" i="18" s="1"/>
  <c r="J681" i="18"/>
  <c r="O681" i="18" s="1"/>
  <c r="J682" i="18"/>
  <c r="O682" i="18" s="1"/>
  <c r="J683" i="18"/>
  <c r="O683" i="18" s="1"/>
  <c r="J684" i="18"/>
  <c r="O684" i="18" s="1"/>
  <c r="J685" i="18"/>
  <c r="O685" i="18" s="1"/>
  <c r="J686" i="18"/>
  <c r="O686" i="18" s="1"/>
  <c r="J687" i="18"/>
  <c r="O687" i="18" s="1"/>
  <c r="J688" i="18"/>
  <c r="O688" i="18" s="1"/>
  <c r="J689" i="18"/>
  <c r="O689" i="18" s="1"/>
  <c r="J690" i="18"/>
  <c r="O690" i="18" s="1"/>
  <c r="J691" i="18"/>
  <c r="O691" i="18" s="1"/>
  <c r="J692" i="18"/>
  <c r="O692" i="18" s="1"/>
  <c r="J693" i="18"/>
  <c r="O693" i="18" s="1"/>
  <c r="J694" i="18"/>
  <c r="O694" i="18" s="1"/>
  <c r="J695" i="18"/>
  <c r="O695" i="18" s="1"/>
  <c r="J696" i="18"/>
  <c r="O696" i="18" s="1"/>
  <c r="J697" i="18"/>
  <c r="O697" i="18" s="1"/>
  <c r="J698" i="18"/>
  <c r="O698" i="18" s="1"/>
  <c r="J699" i="18"/>
  <c r="O699" i="18" s="1"/>
  <c r="J700" i="18"/>
  <c r="O700" i="18" s="1"/>
  <c r="J701" i="18"/>
  <c r="O701" i="18" s="1"/>
  <c r="J702" i="18"/>
  <c r="O702" i="18" s="1"/>
  <c r="J703" i="18"/>
  <c r="O703" i="18" s="1"/>
  <c r="J704" i="18"/>
  <c r="O704" i="18" s="1"/>
  <c r="J705" i="18"/>
  <c r="O705" i="18" s="1"/>
  <c r="J706" i="18"/>
  <c r="O706" i="18" s="1"/>
  <c r="J707" i="18"/>
  <c r="O707" i="18" s="1"/>
  <c r="J708" i="18"/>
  <c r="O708" i="18" s="1"/>
  <c r="J709" i="18"/>
  <c r="O709" i="18" s="1"/>
  <c r="J710" i="18"/>
  <c r="O710" i="18" s="1"/>
  <c r="J711" i="18"/>
  <c r="O711" i="18" s="1"/>
  <c r="J712" i="18"/>
  <c r="O712" i="18" s="1"/>
  <c r="J713" i="18"/>
  <c r="O713" i="18" s="1"/>
  <c r="J714" i="18"/>
  <c r="O714" i="18" s="1"/>
  <c r="J715" i="18"/>
  <c r="O715" i="18" s="1"/>
  <c r="J716" i="18"/>
  <c r="O716" i="18" s="1"/>
  <c r="J717" i="18"/>
  <c r="O717" i="18" s="1"/>
  <c r="J718" i="18"/>
  <c r="O718" i="18" s="1"/>
  <c r="J719" i="18"/>
  <c r="O719" i="18" s="1"/>
  <c r="J720" i="18"/>
  <c r="O720" i="18" s="1"/>
  <c r="J721" i="18"/>
  <c r="O721" i="18" s="1"/>
  <c r="J722" i="18"/>
  <c r="O722" i="18" s="1"/>
  <c r="J723" i="18"/>
  <c r="O723" i="18" s="1"/>
  <c r="J724" i="18"/>
  <c r="O724" i="18" s="1"/>
  <c r="J725" i="18"/>
  <c r="O725" i="18" s="1"/>
  <c r="J726" i="18"/>
  <c r="O726" i="18" s="1"/>
  <c r="J727" i="18"/>
  <c r="O727" i="18" s="1"/>
  <c r="J728" i="18"/>
  <c r="O728" i="18" s="1"/>
  <c r="J729" i="18"/>
  <c r="O729" i="18" s="1"/>
  <c r="J730" i="18"/>
  <c r="O730" i="18" s="1"/>
  <c r="J731" i="18"/>
  <c r="O731" i="18" s="1"/>
  <c r="J732" i="18"/>
  <c r="O732" i="18" s="1"/>
  <c r="J733" i="18"/>
  <c r="O733" i="18" s="1"/>
  <c r="J734" i="18"/>
  <c r="O734" i="18" s="1"/>
  <c r="J735" i="18"/>
  <c r="O735" i="18" s="1"/>
  <c r="J736" i="18"/>
  <c r="O736" i="18" s="1"/>
  <c r="J737" i="18"/>
  <c r="O737" i="18" s="1"/>
  <c r="J738" i="18"/>
  <c r="O738" i="18" s="1"/>
  <c r="J739" i="18"/>
  <c r="O739" i="18" s="1"/>
  <c r="J740" i="18"/>
  <c r="O740" i="18" s="1"/>
  <c r="J741" i="18"/>
  <c r="O741" i="18" s="1"/>
  <c r="J742" i="18"/>
  <c r="O742" i="18" s="1"/>
  <c r="J743" i="18"/>
  <c r="O743" i="18" s="1"/>
  <c r="J744" i="18"/>
  <c r="O744" i="18" s="1"/>
  <c r="J745" i="18"/>
  <c r="O745" i="18" s="1"/>
  <c r="J746" i="18"/>
  <c r="O746" i="18" s="1"/>
  <c r="J747" i="18"/>
  <c r="O747" i="18" s="1"/>
  <c r="J748" i="18"/>
  <c r="O748" i="18" s="1"/>
  <c r="J749" i="18"/>
  <c r="O749" i="18" s="1"/>
  <c r="J750" i="18"/>
  <c r="O750" i="18" s="1"/>
  <c r="J751" i="18"/>
  <c r="O751" i="18" s="1"/>
  <c r="J752" i="18"/>
  <c r="O752" i="18" s="1"/>
  <c r="J753" i="18"/>
  <c r="O753" i="18" s="1"/>
  <c r="J754" i="18"/>
  <c r="O754" i="18" s="1"/>
  <c r="J755" i="18"/>
  <c r="O755" i="18" s="1"/>
  <c r="J756" i="18"/>
  <c r="O756" i="18" s="1"/>
  <c r="J757" i="18"/>
  <c r="O757" i="18" s="1"/>
  <c r="J758" i="18"/>
  <c r="O758" i="18" s="1"/>
  <c r="J759" i="18"/>
  <c r="O759" i="18" s="1"/>
  <c r="J760" i="18"/>
  <c r="O760" i="18" s="1"/>
  <c r="J761" i="18"/>
  <c r="O761" i="18" s="1"/>
  <c r="J762" i="18"/>
  <c r="O762" i="18" s="1"/>
  <c r="J763" i="18"/>
  <c r="O763" i="18" s="1"/>
  <c r="J764" i="18"/>
  <c r="O764" i="18" s="1"/>
  <c r="J765" i="18"/>
  <c r="O765" i="18" s="1"/>
  <c r="J766" i="18"/>
  <c r="O766" i="18" s="1"/>
  <c r="J767" i="18"/>
  <c r="O767" i="18" s="1"/>
  <c r="J768" i="18"/>
  <c r="O768" i="18" s="1"/>
  <c r="J769" i="18"/>
  <c r="O769" i="18" s="1"/>
  <c r="J770" i="18"/>
  <c r="O770" i="18" s="1"/>
  <c r="J771" i="18"/>
  <c r="O771" i="18" s="1"/>
  <c r="J772" i="18"/>
  <c r="O772" i="18" s="1"/>
  <c r="J773" i="18"/>
  <c r="O773" i="18" s="1"/>
  <c r="J774" i="18"/>
  <c r="O774" i="18" s="1"/>
  <c r="J775" i="18"/>
  <c r="O775" i="18" s="1"/>
  <c r="J776" i="18"/>
  <c r="O776" i="18" s="1"/>
  <c r="J777" i="18"/>
  <c r="O777" i="18" s="1"/>
  <c r="J778" i="18"/>
  <c r="O778" i="18" s="1"/>
  <c r="J779" i="18"/>
  <c r="O779" i="18" s="1"/>
  <c r="J780" i="18"/>
  <c r="O780" i="18" s="1"/>
  <c r="J781" i="18"/>
  <c r="O781" i="18" s="1"/>
  <c r="J782" i="18"/>
  <c r="O782" i="18" s="1"/>
  <c r="J783" i="18"/>
  <c r="O783" i="18" s="1"/>
  <c r="J784" i="18"/>
  <c r="O784" i="18" s="1"/>
  <c r="J785" i="18"/>
  <c r="O785" i="18" s="1"/>
  <c r="J786" i="18"/>
  <c r="O786" i="18" s="1"/>
  <c r="J787" i="18"/>
  <c r="O787" i="18" s="1"/>
  <c r="J788" i="18"/>
  <c r="O788" i="18" s="1"/>
  <c r="J789" i="18"/>
  <c r="O789" i="18" s="1"/>
  <c r="J790" i="18"/>
  <c r="O790" i="18" s="1"/>
  <c r="J791" i="18"/>
  <c r="O791" i="18" s="1"/>
  <c r="J792" i="18"/>
  <c r="O792" i="18" s="1"/>
  <c r="J793" i="18"/>
  <c r="O793" i="18" s="1"/>
  <c r="J794" i="18"/>
  <c r="O794" i="18" s="1"/>
  <c r="J795" i="18"/>
  <c r="O795" i="18" s="1"/>
  <c r="J796" i="18"/>
  <c r="O796" i="18" s="1"/>
  <c r="J797" i="18"/>
  <c r="O797" i="18" s="1"/>
  <c r="J798" i="18"/>
  <c r="O798" i="18" s="1"/>
  <c r="J799" i="18"/>
  <c r="O799" i="18" s="1"/>
  <c r="J800" i="18"/>
  <c r="O800" i="18" s="1"/>
  <c r="J801" i="18"/>
  <c r="O801" i="18" s="1"/>
  <c r="J802" i="18"/>
  <c r="O802" i="18" s="1"/>
  <c r="J803" i="18"/>
  <c r="O803" i="18" s="1"/>
  <c r="J804" i="18"/>
  <c r="O804" i="18" s="1"/>
  <c r="J805" i="18"/>
  <c r="O805" i="18" s="1"/>
  <c r="J806" i="18"/>
  <c r="O806" i="18" s="1"/>
  <c r="J807" i="18"/>
  <c r="O807" i="18" s="1"/>
  <c r="J808" i="18"/>
  <c r="O808" i="18" s="1"/>
  <c r="J809" i="18"/>
  <c r="O809" i="18" s="1"/>
  <c r="J810" i="18"/>
  <c r="O810" i="18" s="1"/>
  <c r="J811" i="18"/>
  <c r="O811" i="18" s="1"/>
  <c r="J812" i="18"/>
  <c r="O812" i="18" s="1"/>
  <c r="J813" i="18"/>
  <c r="O813" i="18" s="1"/>
  <c r="J814" i="18"/>
  <c r="O814" i="18" s="1"/>
  <c r="J815" i="18"/>
  <c r="O815" i="18" s="1"/>
  <c r="J816" i="18"/>
  <c r="O816" i="18" s="1"/>
  <c r="J817" i="18"/>
  <c r="O817" i="18" s="1"/>
  <c r="J818" i="18"/>
  <c r="O818" i="18" s="1"/>
  <c r="J819" i="18"/>
  <c r="O819" i="18" s="1"/>
  <c r="J820" i="18"/>
  <c r="O820" i="18" s="1"/>
  <c r="J821" i="18"/>
  <c r="O821" i="18" s="1"/>
  <c r="J822" i="18"/>
  <c r="O822" i="18" s="1"/>
  <c r="J823" i="18"/>
  <c r="O823" i="18" s="1"/>
  <c r="J824" i="18"/>
  <c r="O824" i="18" s="1"/>
  <c r="J825" i="18"/>
  <c r="O825" i="18" s="1"/>
  <c r="J826" i="18"/>
  <c r="O826" i="18" s="1"/>
  <c r="J827" i="18"/>
  <c r="O827" i="18" s="1"/>
  <c r="J828" i="18"/>
  <c r="O828" i="18" s="1"/>
  <c r="J829" i="18"/>
  <c r="O829" i="18" s="1"/>
  <c r="J830" i="18"/>
  <c r="O830" i="18" s="1"/>
  <c r="J831" i="18"/>
  <c r="O831" i="18" s="1"/>
  <c r="J832" i="18"/>
  <c r="O832" i="18" s="1"/>
  <c r="J833" i="18"/>
  <c r="O833" i="18" s="1"/>
  <c r="J834" i="18"/>
  <c r="O834" i="18" s="1"/>
  <c r="J835" i="18"/>
  <c r="O835" i="18" s="1"/>
  <c r="J836" i="18"/>
  <c r="O836" i="18" s="1"/>
  <c r="J837" i="18"/>
  <c r="O837" i="18" s="1"/>
  <c r="J838" i="18"/>
  <c r="O838" i="18" s="1"/>
  <c r="J839" i="18"/>
  <c r="O839" i="18" s="1"/>
  <c r="J840" i="18"/>
  <c r="O840" i="18" s="1"/>
  <c r="J841" i="18"/>
  <c r="O841" i="18" s="1"/>
  <c r="J842" i="18"/>
  <c r="O842" i="18" s="1"/>
  <c r="J843" i="18"/>
  <c r="O843" i="18" s="1"/>
  <c r="J844" i="18"/>
  <c r="O844" i="18" s="1"/>
  <c r="J845" i="18"/>
  <c r="O845" i="18" s="1"/>
  <c r="J846" i="18"/>
  <c r="O846" i="18" s="1"/>
  <c r="J847" i="18"/>
  <c r="O847" i="18" s="1"/>
  <c r="J848" i="18"/>
  <c r="O848" i="18" s="1"/>
  <c r="J849" i="18"/>
  <c r="O849" i="18" s="1"/>
  <c r="J850" i="18"/>
  <c r="O850" i="18" s="1"/>
  <c r="J851" i="18"/>
  <c r="O851" i="18" s="1"/>
  <c r="J852" i="18"/>
  <c r="O852" i="18" s="1"/>
  <c r="J853" i="18"/>
  <c r="O853" i="18" s="1"/>
  <c r="J854" i="18"/>
  <c r="O854" i="18" s="1"/>
  <c r="J855" i="18"/>
  <c r="O855" i="18" s="1"/>
  <c r="J856" i="18"/>
  <c r="O856" i="18" s="1"/>
  <c r="J857" i="18"/>
  <c r="O857" i="18" s="1"/>
  <c r="J858" i="18"/>
  <c r="O858" i="18" s="1"/>
  <c r="J859" i="18"/>
  <c r="O859" i="18" s="1"/>
  <c r="J860" i="18"/>
  <c r="O860" i="18" s="1"/>
  <c r="J861" i="18"/>
  <c r="O861" i="18" s="1"/>
  <c r="J862" i="18"/>
  <c r="O862" i="18" s="1"/>
  <c r="J863" i="18"/>
  <c r="O863" i="18" s="1"/>
  <c r="J864" i="18"/>
  <c r="O864" i="18" s="1"/>
  <c r="J865" i="18"/>
  <c r="O865" i="18" s="1"/>
  <c r="J866" i="18"/>
  <c r="O866" i="18" s="1"/>
  <c r="J867" i="18"/>
  <c r="O867" i="18" s="1"/>
  <c r="J868" i="18"/>
  <c r="O868" i="18" s="1"/>
  <c r="J869" i="18"/>
  <c r="O869" i="18" s="1"/>
  <c r="J870" i="18"/>
  <c r="O870" i="18" s="1"/>
  <c r="J871" i="18"/>
  <c r="O871" i="18" s="1"/>
  <c r="J872" i="18"/>
  <c r="O872" i="18" s="1"/>
  <c r="J873" i="18"/>
  <c r="O873" i="18" s="1"/>
  <c r="J874" i="18"/>
  <c r="O874" i="18" s="1"/>
  <c r="J875" i="18"/>
  <c r="O875" i="18" s="1"/>
  <c r="J876" i="18"/>
  <c r="O876" i="18" s="1"/>
  <c r="J877" i="18"/>
  <c r="O877" i="18" s="1"/>
  <c r="J878" i="18"/>
  <c r="O878" i="18" s="1"/>
  <c r="J879" i="18"/>
  <c r="O879" i="18" s="1"/>
  <c r="J880" i="18"/>
  <c r="O880" i="18" s="1"/>
  <c r="J881" i="18"/>
  <c r="O881" i="18" s="1"/>
  <c r="J882" i="18"/>
  <c r="O882" i="18" s="1"/>
  <c r="J883" i="18"/>
  <c r="O883" i="18" s="1"/>
  <c r="J884" i="18"/>
  <c r="O884" i="18" s="1"/>
  <c r="J885" i="18"/>
  <c r="O885" i="18" s="1"/>
  <c r="J886" i="18"/>
  <c r="O886" i="18" s="1"/>
  <c r="J887" i="18"/>
  <c r="O887" i="18" s="1"/>
  <c r="J888" i="18"/>
  <c r="O888" i="18" s="1"/>
  <c r="J889" i="18"/>
  <c r="O889" i="18" s="1"/>
  <c r="J890" i="18"/>
  <c r="O890" i="18" s="1"/>
  <c r="J891" i="18"/>
  <c r="O891" i="18" s="1"/>
  <c r="J892" i="18"/>
  <c r="O892" i="18" s="1"/>
  <c r="J893" i="18"/>
  <c r="O893" i="18" s="1"/>
  <c r="J894" i="18"/>
  <c r="O894" i="18" s="1"/>
  <c r="J895" i="18"/>
  <c r="O895" i="18" s="1"/>
  <c r="J896" i="18"/>
  <c r="O896" i="18" s="1"/>
  <c r="J897" i="18"/>
  <c r="O897" i="18" s="1"/>
  <c r="J898" i="18"/>
  <c r="O898" i="18" s="1"/>
  <c r="J899" i="18"/>
  <c r="O899" i="18" s="1"/>
  <c r="J900" i="18"/>
  <c r="O900" i="18" s="1"/>
  <c r="J901" i="18"/>
  <c r="O901" i="18" s="1"/>
  <c r="J902" i="18"/>
  <c r="O902" i="18" s="1"/>
  <c r="J903" i="18"/>
  <c r="O903" i="18" s="1"/>
  <c r="J904" i="18"/>
  <c r="O904" i="18" s="1"/>
  <c r="J905" i="18"/>
  <c r="O905" i="18" s="1"/>
  <c r="J906" i="18"/>
  <c r="O906" i="18" s="1"/>
  <c r="J907" i="18"/>
  <c r="O907" i="18" s="1"/>
  <c r="J908" i="18"/>
  <c r="O908" i="18" s="1"/>
  <c r="J909" i="18"/>
  <c r="O909" i="18" s="1"/>
  <c r="J910" i="18"/>
  <c r="O910" i="18" s="1"/>
  <c r="J911" i="18"/>
  <c r="O911" i="18" s="1"/>
  <c r="J912" i="18"/>
  <c r="O912" i="18" s="1"/>
  <c r="J913" i="18"/>
  <c r="O913" i="18" s="1"/>
  <c r="J914" i="18"/>
  <c r="O914" i="18" s="1"/>
  <c r="J915" i="18"/>
  <c r="O915" i="18" s="1"/>
  <c r="J916" i="18"/>
  <c r="O916" i="18" s="1"/>
  <c r="J917" i="18"/>
  <c r="O917" i="18" s="1"/>
  <c r="J918" i="18"/>
  <c r="O918" i="18" s="1"/>
  <c r="J919" i="18"/>
  <c r="O919" i="18" s="1"/>
  <c r="J920" i="18"/>
  <c r="O920" i="18" s="1"/>
  <c r="J921" i="18"/>
  <c r="O921" i="18" s="1"/>
  <c r="J922" i="18"/>
  <c r="O922" i="18" s="1"/>
  <c r="J923" i="18"/>
  <c r="O923" i="18" s="1"/>
  <c r="J924" i="18"/>
  <c r="O924" i="18" s="1"/>
  <c r="J925" i="18"/>
  <c r="O925" i="18" s="1"/>
  <c r="J926" i="18"/>
  <c r="O926" i="18" s="1"/>
  <c r="J927" i="18"/>
  <c r="O927" i="18" s="1"/>
  <c r="J928" i="18"/>
  <c r="O928" i="18" s="1"/>
  <c r="J929" i="18"/>
  <c r="O929" i="18" s="1"/>
  <c r="J930" i="18"/>
  <c r="O930" i="18" s="1"/>
  <c r="J931" i="18"/>
  <c r="O931" i="18" s="1"/>
  <c r="J932" i="18"/>
  <c r="O932" i="18" s="1"/>
  <c r="J933" i="18"/>
  <c r="O933" i="18" s="1"/>
  <c r="J934" i="18"/>
  <c r="O934" i="18" s="1"/>
  <c r="J935" i="18"/>
  <c r="O935" i="18" s="1"/>
  <c r="J936" i="18"/>
  <c r="O936" i="18" s="1"/>
  <c r="J937" i="18"/>
  <c r="O937" i="18" s="1"/>
  <c r="J938" i="18"/>
  <c r="O938" i="18" s="1"/>
  <c r="J939" i="18"/>
  <c r="O939" i="18" s="1"/>
  <c r="J940" i="18"/>
  <c r="O940" i="18" s="1"/>
  <c r="J941" i="18"/>
  <c r="O941" i="18" s="1"/>
  <c r="J942" i="18"/>
  <c r="O942" i="18" s="1"/>
  <c r="J943" i="18"/>
  <c r="O943" i="18" s="1"/>
  <c r="J944" i="18"/>
  <c r="O944" i="18" s="1"/>
  <c r="J945" i="18"/>
  <c r="O945" i="18" s="1"/>
  <c r="J946" i="18"/>
  <c r="O946" i="18" s="1"/>
  <c r="J947" i="18"/>
  <c r="O947" i="18" s="1"/>
  <c r="J948" i="18"/>
  <c r="O948" i="18" s="1"/>
  <c r="J949" i="18"/>
  <c r="O949" i="18" s="1"/>
  <c r="J950" i="18"/>
  <c r="O950" i="18" s="1"/>
  <c r="J951" i="18"/>
  <c r="O951" i="18" s="1"/>
  <c r="J952" i="18"/>
  <c r="O952" i="18" s="1"/>
  <c r="J953" i="18"/>
  <c r="O953" i="18" s="1"/>
  <c r="J954" i="18"/>
  <c r="O954" i="18" s="1"/>
  <c r="J955" i="18"/>
  <c r="O955" i="18" s="1"/>
  <c r="J956" i="18"/>
  <c r="O956" i="18" s="1"/>
  <c r="J957" i="18"/>
  <c r="O957" i="18" s="1"/>
  <c r="J958" i="18"/>
  <c r="O958" i="18" s="1"/>
  <c r="J959" i="18"/>
  <c r="O959" i="18" s="1"/>
  <c r="J960" i="18"/>
  <c r="O960" i="18" s="1"/>
  <c r="J961" i="18"/>
  <c r="O961" i="18" s="1"/>
  <c r="J962" i="18"/>
  <c r="O962" i="18" s="1"/>
  <c r="J963" i="18"/>
  <c r="O963" i="18" s="1"/>
  <c r="J964" i="18"/>
  <c r="O964" i="18" s="1"/>
  <c r="J965" i="18"/>
  <c r="O965" i="18" s="1"/>
  <c r="J966" i="18"/>
  <c r="O966" i="18" s="1"/>
  <c r="J967" i="18"/>
  <c r="O967" i="18" s="1"/>
  <c r="J968" i="18"/>
  <c r="O968" i="18" s="1"/>
  <c r="J969" i="18"/>
  <c r="O969" i="18" s="1"/>
  <c r="J970" i="18"/>
  <c r="O970" i="18" s="1"/>
  <c r="J971" i="18"/>
  <c r="O971" i="18" s="1"/>
  <c r="J972" i="18"/>
  <c r="O972" i="18" s="1"/>
  <c r="J973" i="18"/>
  <c r="O973" i="18" s="1"/>
  <c r="J974" i="18"/>
  <c r="O974" i="18" s="1"/>
  <c r="J975" i="18"/>
  <c r="O975" i="18" s="1"/>
  <c r="J976" i="18"/>
  <c r="O976" i="18" s="1"/>
  <c r="J977" i="18"/>
  <c r="O977" i="18" s="1"/>
  <c r="J978" i="18"/>
  <c r="O978" i="18" s="1"/>
  <c r="J979" i="18"/>
  <c r="O979" i="18" s="1"/>
  <c r="J980" i="18"/>
  <c r="O980" i="18" s="1"/>
  <c r="J981" i="18"/>
  <c r="O981" i="18" s="1"/>
  <c r="J982" i="18"/>
  <c r="O982" i="18" s="1"/>
  <c r="J983" i="18"/>
  <c r="O983" i="18" s="1"/>
  <c r="J984" i="18"/>
  <c r="O984" i="18" s="1"/>
  <c r="J985" i="18"/>
  <c r="O985" i="18" s="1"/>
  <c r="J986" i="18"/>
  <c r="O986" i="18" s="1"/>
  <c r="J987" i="18"/>
  <c r="O987" i="18" s="1"/>
  <c r="J988" i="18"/>
  <c r="O988" i="18" s="1"/>
  <c r="J989" i="18"/>
  <c r="O989" i="18" s="1"/>
  <c r="J990" i="18"/>
  <c r="O990" i="18" s="1"/>
  <c r="J991" i="18"/>
  <c r="O991" i="18" s="1"/>
  <c r="J992" i="18"/>
  <c r="O992" i="18" s="1"/>
  <c r="J993" i="18"/>
  <c r="O993" i="18" s="1"/>
  <c r="J994" i="18"/>
  <c r="O994" i="18" s="1"/>
  <c r="J995" i="18"/>
  <c r="O995" i="18" s="1"/>
  <c r="J996" i="18"/>
  <c r="O996" i="18" s="1"/>
  <c r="J997" i="18"/>
  <c r="O997" i="18" s="1"/>
  <c r="J998" i="18"/>
  <c r="O998" i="18" s="1"/>
  <c r="J999" i="18"/>
  <c r="O999" i="18" s="1"/>
  <c r="J1000" i="18"/>
  <c r="O1000" i="18" s="1"/>
  <c r="J1001" i="18"/>
  <c r="O1001" i="18" s="1"/>
  <c r="J2" i="18"/>
  <c r="O2" i="18" s="1"/>
  <c r="I3" i="18"/>
  <c r="N3"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N22" i="18" s="1"/>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N34" i="18" s="1"/>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N128" i="18" s="1"/>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I145" i="18"/>
  <c r="N145" i="18" s="1"/>
  <c r="I146" i="18"/>
  <c r="N146" i="18" s="1"/>
  <c r="I147" i="18"/>
  <c r="N147" i="18" s="1"/>
  <c r="I148" i="18"/>
  <c r="N148" i="18" s="1"/>
  <c r="I149" i="18"/>
  <c r="N149" i="18" s="1"/>
  <c r="I150" i="18"/>
  <c r="N150" i="18" s="1"/>
  <c r="I151" i="18"/>
  <c r="N151" i="18" s="1"/>
  <c r="I152" i="18"/>
  <c r="N152" i="18" s="1"/>
  <c r="I153" i="18"/>
  <c r="N153" i="18" s="1"/>
  <c r="I154" i="18"/>
  <c r="N154" i="18" s="1"/>
  <c r="I155" i="18"/>
  <c r="N155" i="18" s="1"/>
  <c r="I156" i="18"/>
  <c r="N156" i="18" s="1"/>
  <c r="I157" i="18"/>
  <c r="N157" i="18" s="1"/>
  <c r="I158" i="18"/>
  <c r="N158" i="18" s="1"/>
  <c r="I159" i="18"/>
  <c r="N159" i="18" s="1"/>
  <c r="I160" i="18"/>
  <c r="N160" i="18" s="1"/>
  <c r="I161" i="18"/>
  <c r="N161" i="18" s="1"/>
  <c r="I162" i="18"/>
  <c r="N162" i="18" s="1"/>
  <c r="I163" i="18"/>
  <c r="N163" i="18" s="1"/>
  <c r="I164" i="18"/>
  <c r="N164" i="18" s="1"/>
  <c r="I165" i="18"/>
  <c r="N165" i="18" s="1"/>
  <c r="I166" i="18"/>
  <c r="N166" i="18" s="1"/>
  <c r="I167" i="18"/>
  <c r="N167" i="18" s="1"/>
  <c r="I168" i="18"/>
  <c r="N168" i="18" s="1"/>
  <c r="I169" i="18"/>
  <c r="N169" i="18" s="1"/>
  <c r="I170" i="18"/>
  <c r="N170" i="18" s="1"/>
  <c r="I171" i="18"/>
  <c r="N171" i="18" s="1"/>
  <c r="I172" i="18"/>
  <c r="N172" i="18" s="1"/>
  <c r="I173" i="18"/>
  <c r="N173" i="18" s="1"/>
  <c r="I174" i="18"/>
  <c r="N174" i="18" s="1"/>
  <c r="I175" i="18"/>
  <c r="N175" i="18" s="1"/>
  <c r="I176" i="18"/>
  <c r="N176" i="18" s="1"/>
  <c r="I177" i="18"/>
  <c r="N177" i="18" s="1"/>
  <c r="I178" i="18"/>
  <c r="N178" i="18" s="1"/>
  <c r="I179" i="18"/>
  <c r="N179" i="18" s="1"/>
  <c r="I180" i="18"/>
  <c r="N180" i="18" s="1"/>
  <c r="I181" i="18"/>
  <c r="N181" i="18" s="1"/>
  <c r="I182" i="18"/>
  <c r="N182" i="18" s="1"/>
  <c r="I183" i="18"/>
  <c r="N183" i="18" s="1"/>
  <c r="I184" i="18"/>
  <c r="N184" i="18" s="1"/>
  <c r="I185" i="18"/>
  <c r="N185" i="18" s="1"/>
  <c r="I186" i="18"/>
  <c r="N186" i="18" s="1"/>
  <c r="I187" i="18"/>
  <c r="N187" i="18" s="1"/>
  <c r="I188" i="18"/>
  <c r="N188" i="18" s="1"/>
  <c r="I189" i="18"/>
  <c r="N189" i="18" s="1"/>
  <c r="I190" i="18"/>
  <c r="N190" i="18" s="1"/>
  <c r="I191" i="18"/>
  <c r="N191" i="18" s="1"/>
  <c r="I192" i="18"/>
  <c r="N192" i="18" s="1"/>
  <c r="I193" i="18"/>
  <c r="N193" i="18" s="1"/>
  <c r="I194" i="18"/>
  <c r="N194" i="18" s="1"/>
  <c r="I195" i="18"/>
  <c r="N195" i="18" s="1"/>
  <c r="I196" i="18"/>
  <c r="N196" i="18" s="1"/>
  <c r="I197" i="18"/>
  <c r="N197" i="18" s="1"/>
  <c r="I198" i="18"/>
  <c r="N198" i="18" s="1"/>
  <c r="I199" i="18"/>
  <c r="N199" i="18" s="1"/>
  <c r="I200" i="18"/>
  <c r="N200" i="18" s="1"/>
  <c r="I201" i="18"/>
  <c r="N201" i="18" s="1"/>
  <c r="I202" i="18"/>
  <c r="N202" i="18" s="1"/>
  <c r="I203" i="18"/>
  <c r="N203" i="18" s="1"/>
  <c r="I204" i="18"/>
  <c r="N204" i="18" s="1"/>
  <c r="I205" i="18"/>
  <c r="N205" i="18" s="1"/>
  <c r="I206" i="18"/>
  <c r="N206" i="18" s="1"/>
  <c r="I207" i="18"/>
  <c r="N207" i="18" s="1"/>
  <c r="I208" i="18"/>
  <c r="N208" i="18" s="1"/>
  <c r="I209" i="18"/>
  <c r="N209" i="18" s="1"/>
  <c r="I210" i="18"/>
  <c r="N210" i="18" s="1"/>
  <c r="I211" i="18"/>
  <c r="N211" i="18" s="1"/>
  <c r="I212" i="18"/>
  <c r="N212" i="18" s="1"/>
  <c r="I213" i="18"/>
  <c r="N213" i="18" s="1"/>
  <c r="I214" i="18"/>
  <c r="N214" i="18" s="1"/>
  <c r="I215" i="18"/>
  <c r="N215" i="18" s="1"/>
  <c r="I216" i="18"/>
  <c r="N216" i="18" s="1"/>
  <c r="I217" i="18"/>
  <c r="N217" i="18" s="1"/>
  <c r="I218" i="18"/>
  <c r="N218" i="18" s="1"/>
  <c r="I219" i="18"/>
  <c r="N219" i="18" s="1"/>
  <c r="I220" i="18"/>
  <c r="N220" i="18" s="1"/>
  <c r="I221" i="18"/>
  <c r="N221" i="18" s="1"/>
  <c r="I222" i="18"/>
  <c r="N222" i="18" s="1"/>
  <c r="I223" i="18"/>
  <c r="N223" i="18" s="1"/>
  <c r="I224" i="18"/>
  <c r="N224" i="18" s="1"/>
  <c r="I225" i="18"/>
  <c r="N225" i="18" s="1"/>
  <c r="I226" i="18"/>
  <c r="N226" i="18" s="1"/>
  <c r="I227" i="18"/>
  <c r="N227" i="18" s="1"/>
  <c r="I228" i="18"/>
  <c r="N228" i="18" s="1"/>
  <c r="I229" i="18"/>
  <c r="N229" i="18" s="1"/>
  <c r="I230" i="18"/>
  <c r="N230" i="18" s="1"/>
  <c r="I231" i="18"/>
  <c r="N231" i="18" s="1"/>
  <c r="I232" i="18"/>
  <c r="N232" i="18" s="1"/>
  <c r="I233" i="18"/>
  <c r="N233" i="18" s="1"/>
  <c r="I234" i="18"/>
  <c r="N234" i="18" s="1"/>
  <c r="I235" i="18"/>
  <c r="N235" i="18" s="1"/>
  <c r="I236" i="18"/>
  <c r="N236" i="18" s="1"/>
  <c r="I237" i="18"/>
  <c r="N237" i="18" s="1"/>
  <c r="I238" i="18"/>
  <c r="N238" i="18" s="1"/>
  <c r="I239" i="18"/>
  <c r="N239" i="18" s="1"/>
  <c r="I240" i="18"/>
  <c r="N240" i="18" s="1"/>
  <c r="I241" i="18"/>
  <c r="N241" i="18" s="1"/>
  <c r="I242" i="18"/>
  <c r="N242" i="18" s="1"/>
  <c r="I243" i="18"/>
  <c r="N243" i="18" s="1"/>
  <c r="I244" i="18"/>
  <c r="N244" i="18" s="1"/>
  <c r="I245" i="18"/>
  <c r="N245" i="18" s="1"/>
  <c r="I246" i="18"/>
  <c r="N246" i="18" s="1"/>
  <c r="I247" i="18"/>
  <c r="N247" i="18" s="1"/>
  <c r="I248" i="18"/>
  <c r="N248" i="18" s="1"/>
  <c r="I249" i="18"/>
  <c r="N249" i="18" s="1"/>
  <c r="I250" i="18"/>
  <c r="N250" i="18" s="1"/>
  <c r="I251" i="18"/>
  <c r="N251" i="18" s="1"/>
  <c r="I252" i="18"/>
  <c r="N252" i="18" s="1"/>
  <c r="I253" i="18"/>
  <c r="N253" i="18" s="1"/>
  <c r="I254" i="18"/>
  <c r="N254" i="18" s="1"/>
  <c r="I255" i="18"/>
  <c r="N255" i="18" s="1"/>
  <c r="I256" i="18"/>
  <c r="N256" i="18" s="1"/>
  <c r="I257" i="18"/>
  <c r="N257" i="18" s="1"/>
  <c r="I258" i="18"/>
  <c r="N258" i="18" s="1"/>
  <c r="I259" i="18"/>
  <c r="N259" i="18" s="1"/>
  <c r="I260" i="18"/>
  <c r="N260" i="18" s="1"/>
  <c r="I261" i="18"/>
  <c r="N261" i="18" s="1"/>
  <c r="I262" i="18"/>
  <c r="N262" i="18" s="1"/>
  <c r="I263" i="18"/>
  <c r="N263" i="18" s="1"/>
  <c r="I264" i="18"/>
  <c r="N264" i="18" s="1"/>
  <c r="I265" i="18"/>
  <c r="N265" i="18" s="1"/>
  <c r="I266" i="18"/>
  <c r="N266" i="18" s="1"/>
  <c r="I267" i="18"/>
  <c r="N267" i="18" s="1"/>
  <c r="I268" i="18"/>
  <c r="N268" i="18" s="1"/>
  <c r="I269" i="18"/>
  <c r="N269" i="18" s="1"/>
  <c r="I270" i="18"/>
  <c r="N270" i="18" s="1"/>
  <c r="I271" i="18"/>
  <c r="N271" i="18" s="1"/>
  <c r="I272" i="18"/>
  <c r="N272" i="18" s="1"/>
  <c r="I273" i="18"/>
  <c r="N273" i="18" s="1"/>
  <c r="I274" i="18"/>
  <c r="N274" i="18" s="1"/>
  <c r="I275" i="18"/>
  <c r="N275" i="18" s="1"/>
  <c r="I276" i="18"/>
  <c r="N276" i="18" s="1"/>
  <c r="I277" i="18"/>
  <c r="N277" i="18" s="1"/>
  <c r="I278" i="18"/>
  <c r="N278" i="18" s="1"/>
  <c r="I279" i="18"/>
  <c r="N279" i="18" s="1"/>
  <c r="I280" i="18"/>
  <c r="N280" i="18" s="1"/>
  <c r="I281" i="18"/>
  <c r="N281" i="18" s="1"/>
  <c r="I282" i="18"/>
  <c r="N282" i="18" s="1"/>
  <c r="I283" i="18"/>
  <c r="N283" i="18" s="1"/>
  <c r="I284" i="18"/>
  <c r="N284" i="18" s="1"/>
  <c r="I285" i="18"/>
  <c r="N285" i="18" s="1"/>
  <c r="I286" i="18"/>
  <c r="N286" i="18" s="1"/>
  <c r="I287" i="18"/>
  <c r="N287" i="18" s="1"/>
  <c r="I288" i="18"/>
  <c r="N288" i="18" s="1"/>
  <c r="I289" i="18"/>
  <c r="N289" i="18" s="1"/>
  <c r="I290" i="18"/>
  <c r="N290" i="18" s="1"/>
  <c r="I291" i="18"/>
  <c r="N291" i="18" s="1"/>
  <c r="I292" i="18"/>
  <c r="N292" i="18" s="1"/>
  <c r="I293" i="18"/>
  <c r="N293" i="18" s="1"/>
  <c r="I294" i="18"/>
  <c r="N294" i="18" s="1"/>
  <c r="I295" i="18"/>
  <c r="N295" i="18" s="1"/>
  <c r="I296" i="18"/>
  <c r="N296" i="18" s="1"/>
  <c r="I297" i="18"/>
  <c r="N297" i="18" s="1"/>
  <c r="I298" i="18"/>
  <c r="N298" i="18" s="1"/>
  <c r="I299" i="18"/>
  <c r="N299" i="18" s="1"/>
  <c r="I300" i="18"/>
  <c r="N300" i="18" s="1"/>
  <c r="I301" i="18"/>
  <c r="N301" i="18" s="1"/>
  <c r="I302" i="18"/>
  <c r="N302" i="18" s="1"/>
  <c r="I303" i="18"/>
  <c r="N303" i="18" s="1"/>
  <c r="I304" i="18"/>
  <c r="N304" i="18" s="1"/>
  <c r="I305" i="18"/>
  <c r="N305" i="18" s="1"/>
  <c r="I306" i="18"/>
  <c r="N306" i="18" s="1"/>
  <c r="I307" i="18"/>
  <c r="N307" i="18" s="1"/>
  <c r="I308" i="18"/>
  <c r="N308" i="18" s="1"/>
  <c r="I309" i="18"/>
  <c r="N309" i="18" s="1"/>
  <c r="I310" i="18"/>
  <c r="N310" i="18" s="1"/>
  <c r="I311" i="18"/>
  <c r="N311" i="18" s="1"/>
  <c r="I312" i="18"/>
  <c r="N312" i="18" s="1"/>
  <c r="I313" i="18"/>
  <c r="N313" i="18" s="1"/>
  <c r="I314" i="18"/>
  <c r="N314" i="18" s="1"/>
  <c r="I315" i="18"/>
  <c r="N315" i="18" s="1"/>
  <c r="I316" i="18"/>
  <c r="N316" i="18" s="1"/>
  <c r="I317" i="18"/>
  <c r="N317" i="18" s="1"/>
  <c r="I318" i="18"/>
  <c r="N318" i="18" s="1"/>
  <c r="I319" i="18"/>
  <c r="N319" i="18" s="1"/>
  <c r="I320" i="18"/>
  <c r="N320" i="18" s="1"/>
  <c r="I321" i="18"/>
  <c r="N321" i="18" s="1"/>
  <c r="I322" i="18"/>
  <c r="N322" i="18" s="1"/>
  <c r="I323" i="18"/>
  <c r="N323" i="18" s="1"/>
  <c r="I324" i="18"/>
  <c r="N324" i="18" s="1"/>
  <c r="I325" i="18"/>
  <c r="N325" i="18" s="1"/>
  <c r="I326" i="18"/>
  <c r="N326" i="18" s="1"/>
  <c r="I327" i="18"/>
  <c r="N327" i="18" s="1"/>
  <c r="I328" i="18"/>
  <c r="N328" i="18" s="1"/>
  <c r="I329" i="18"/>
  <c r="N329" i="18" s="1"/>
  <c r="I330" i="18"/>
  <c r="N330" i="18" s="1"/>
  <c r="I331" i="18"/>
  <c r="N331" i="18" s="1"/>
  <c r="I332" i="18"/>
  <c r="N332" i="18" s="1"/>
  <c r="I333" i="18"/>
  <c r="N333" i="18" s="1"/>
  <c r="I334" i="18"/>
  <c r="N334" i="18" s="1"/>
  <c r="I335" i="18"/>
  <c r="N335" i="18" s="1"/>
  <c r="I336" i="18"/>
  <c r="N336" i="18" s="1"/>
  <c r="I337" i="18"/>
  <c r="N337" i="18" s="1"/>
  <c r="I338" i="18"/>
  <c r="N338" i="18" s="1"/>
  <c r="I339" i="18"/>
  <c r="N339" i="18" s="1"/>
  <c r="I340" i="18"/>
  <c r="N340" i="18" s="1"/>
  <c r="I341" i="18"/>
  <c r="N341" i="18" s="1"/>
  <c r="I342" i="18"/>
  <c r="N342" i="18" s="1"/>
  <c r="I343" i="18"/>
  <c r="N343" i="18" s="1"/>
  <c r="I344" i="18"/>
  <c r="N344" i="18" s="1"/>
  <c r="I345" i="18"/>
  <c r="N345" i="18" s="1"/>
  <c r="I346" i="18"/>
  <c r="N346" i="18" s="1"/>
  <c r="I347" i="18"/>
  <c r="N347" i="18" s="1"/>
  <c r="I348" i="18"/>
  <c r="N348" i="18" s="1"/>
  <c r="I349" i="18"/>
  <c r="N349" i="18" s="1"/>
  <c r="I350" i="18"/>
  <c r="N350" i="18" s="1"/>
  <c r="I351" i="18"/>
  <c r="N351" i="18" s="1"/>
  <c r="I352" i="18"/>
  <c r="N352" i="18" s="1"/>
  <c r="I353" i="18"/>
  <c r="N353" i="18" s="1"/>
  <c r="I354" i="18"/>
  <c r="N354" i="18" s="1"/>
  <c r="I355" i="18"/>
  <c r="N355" i="18" s="1"/>
  <c r="I356" i="18"/>
  <c r="N356" i="18" s="1"/>
  <c r="I357" i="18"/>
  <c r="N357" i="18" s="1"/>
  <c r="I358" i="18"/>
  <c r="N358" i="18" s="1"/>
  <c r="I359" i="18"/>
  <c r="N359" i="18" s="1"/>
  <c r="I360" i="18"/>
  <c r="N360" i="18" s="1"/>
  <c r="I361" i="18"/>
  <c r="N361" i="18" s="1"/>
  <c r="I362" i="18"/>
  <c r="N362" i="18" s="1"/>
  <c r="I363" i="18"/>
  <c r="N363" i="18" s="1"/>
  <c r="I364" i="18"/>
  <c r="N364" i="18" s="1"/>
  <c r="I365" i="18"/>
  <c r="N365" i="18" s="1"/>
  <c r="I366" i="18"/>
  <c r="N366" i="18" s="1"/>
  <c r="I367" i="18"/>
  <c r="N367" i="18" s="1"/>
  <c r="I368" i="18"/>
  <c r="N368" i="18" s="1"/>
  <c r="I369" i="18"/>
  <c r="N369" i="18" s="1"/>
  <c r="I370" i="18"/>
  <c r="N370" i="18" s="1"/>
  <c r="I371" i="18"/>
  <c r="N371" i="18" s="1"/>
  <c r="I372" i="18"/>
  <c r="N372" i="18" s="1"/>
  <c r="I373" i="18"/>
  <c r="N373" i="18" s="1"/>
  <c r="I374" i="18"/>
  <c r="N374" i="18" s="1"/>
  <c r="I375" i="18"/>
  <c r="N375" i="18" s="1"/>
  <c r="I376" i="18"/>
  <c r="N376" i="18" s="1"/>
  <c r="I377" i="18"/>
  <c r="N377" i="18" s="1"/>
  <c r="I378" i="18"/>
  <c r="N378" i="18" s="1"/>
  <c r="I379" i="18"/>
  <c r="N379" i="18" s="1"/>
  <c r="I380" i="18"/>
  <c r="N380" i="18" s="1"/>
  <c r="I381" i="18"/>
  <c r="N381" i="18" s="1"/>
  <c r="I382" i="18"/>
  <c r="N382" i="18" s="1"/>
  <c r="I383" i="18"/>
  <c r="N383" i="18" s="1"/>
  <c r="I384" i="18"/>
  <c r="N384" i="18" s="1"/>
  <c r="I385" i="18"/>
  <c r="N385" i="18" s="1"/>
  <c r="I386" i="18"/>
  <c r="N386" i="18" s="1"/>
  <c r="I387" i="18"/>
  <c r="N387" i="18" s="1"/>
  <c r="I388" i="18"/>
  <c r="N388" i="18" s="1"/>
  <c r="I389" i="18"/>
  <c r="N389" i="18" s="1"/>
  <c r="I390" i="18"/>
  <c r="N390" i="18" s="1"/>
  <c r="I391" i="18"/>
  <c r="N391" i="18" s="1"/>
  <c r="I392" i="18"/>
  <c r="N392" i="18" s="1"/>
  <c r="I393" i="18"/>
  <c r="N393" i="18" s="1"/>
  <c r="I394" i="18"/>
  <c r="N394" i="18" s="1"/>
  <c r="I395" i="18"/>
  <c r="N395" i="18" s="1"/>
  <c r="I396" i="18"/>
  <c r="N396" i="18" s="1"/>
  <c r="I397" i="18"/>
  <c r="N397" i="18" s="1"/>
  <c r="I398" i="18"/>
  <c r="N398" i="18" s="1"/>
  <c r="I399" i="18"/>
  <c r="N399" i="18" s="1"/>
  <c r="I400" i="18"/>
  <c r="N400" i="18" s="1"/>
  <c r="I401" i="18"/>
  <c r="N401" i="18" s="1"/>
  <c r="I402" i="18"/>
  <c r="N402" i="18" s="1"/>
  <c r="I403" i="18"/>
  <c r="N403" i="18" s="1"/>
  <c r="I404" i="18"/>
  <c r="N404" i="18" s="1"/>
  <c r="I405" i="18"/>
  <c r="N405" i="18" s="1"/>
  <c r="I406" i="18"/>
  <c r="N406" i="18" s="1"/>
  <c r="I407" i="18"/>
  <c r="N407" i="18" s="1"/>
  <c r="I408" i="18"/>
  <c r="N408" i="18" s="1"/>
  <c r="I409" i="18"/>
  <c r="N409" i="18" s="1"/>
  <c r="I410" i="18"/>
  <c r="N410" i="18" s="1"/>
  <c r="I411" i="18"/>
  <c r="N411" i="18" s="1"/>
  <c r="I412" i="18"/>
  <c r="N412" i="18" s="1"/>
  <c r="I413" i="18"/>
  <c r="N413" i="18" s="1"/>
  <c r="I414" i="18"/>
  <c r="N414" i="18" s="1"/>
  <c r="I415" i="18"/>
  <c r="N415" i="18" s="1"/>
  <c r="I416" i="18"/>
  <c r="N416" i="18" s="1"/>
  <c r="I417" i="18"/>
  <c r="N417" i="18" s="1"/>
  <c r="I418" i="18"/>
  <c r="N418" i="18" s="1"/>
  <c r="I419" i="18"/>
  <c r="N419" i="18" s="1"/>
  <c r="I420" i="18"/>
  <c r="N420" i="18" s="1"/>
  <c r="I421" i="18"/>
  <c r="N421" i="18" s="1"/>
  <c r="I422" i="18"/>
  <c r="N422" i="18" s="1"/>
  <c r="I423" i="18"/>
  <c r="N423" i="18" s="1"/>
  <c r="I424" i="18"/>
  <c r="N424" i="18" s="1"/>
  <c r="I425" i="18"/>
  <c r="N425" i="18" s="1"/>
  <c r="I426" i="18"/>
  <c r="N426" i="18" s="1"/>
  <c r="I427" i="18"/>
  <c r="N427" i="18" s="1"/>
  <c r="I428" i="18"/>
  <c r="N428" i="18" s="1"/>
  <c r="I429" i="18"/>
  <c r="N429" i="18" s="1"/>
  <c r="I430" i="18"/>
  <c r="N430" i="18" s="1"/>
  <c r="I431" i="18"/>
  <c r="N431" i="18" s="1"/>
  <c r="I432" i="18"/>
  <c r="N432" i="18" s="1"/>
  <c r="I433" i="18"/>
  <c r="N433" i="18" s="1"/>
  <c r="I434" i="18"/>
  <c r="N434" i="18" s="1"/>
  <c r="I435" i="18"/>
  <c r="N435" i="18" s="1"/>
  <c r="I436" i="18"/>
  <c r="N436" i="18" s="1"/>
  <c r="I437" i="18"/>
  <c r="N437" i="18" s="1"/>
  <c r="I438" i="18"/>
  <c r="N438" i="18" s="1"/>
  <c r="I439" i="18"/>
  <c r="N439" i="18" s="1"/>
  <c r="I440" i="18"/>
  <c r="N440" i="18" s="1"/>
  <c r="I441" i="18"/>
  <c r="N441" i="18" s="1"/>
  <c r="I442" i="18"/>
  <c r="N442" i="18" s="1"/>
  <c r="I443" i="18"/>
  <c r="N443" i="18" s="1"/>
  <c r="I444" i="18"/>
  <c r="N444" i="18" s="1"/>
  <c r="I445" i="18"/>
  <c r="N445" i="18" s="1"/>
  <c r="I446" i="18"/>
  <c r="N446" i="18" s="1"/>
  <c r="I447" i="18"/>
  <c r="N447" i="18" s="1"/>
  <c r="I448" i="18"/>
  <c r="N448" i="18" s="1"/>
  <c r="I449" i="18"/>
  <c r="N449" i="18" s="1"/>
  <c r="I450" i="18"/>
  <c r="N450" i="18" s="1"/>
  <c r="I451" i="18"/>
  <c r="N451" i="18" s="1"/>
  <c r="I452" i="18"/>
  <c r="N452" i="18" s="1"/>
  <c r="I453" i="18"/>
  <c r="N453" i="18" s="1"/>
  <c r="I454" i="18"/>
  <c r="N454" i="18" s="1"/>
  <c r="I455" i="18"/>
  <c r="N455" i="18" s="1"/>
  <c r="I456" i="18"/>
  <c r="N456" i="18" s="1"/>
  <c r="I457" i="18"/>
  <c r="N457" i="18" s="1"/>
  <c r="I458" i="18"/>
  <c r="N458" i="18" s="1"/>
  <c r="I459" i="18"/>
  <c r="N459" i="18" s="1"/>
  <c r="I460" i="18"/>
  <c r="N460" i="18" s="1"/>
  <c r="I461" i="18"/>
  <c r="N461" i="18" s="1"/>
  <c r="I462" i="18"/>
  <c r="N462" i="18" s="1"/>
  <c r="I463" i="18"/>
  <c r="N463" i="18" s="1"/>
  <c r="I464" i="18"/>
  <c r="N464" i="18" s="1"/>
  <c r="I465" i="18"/>
  <c r="N465" i="18" s="1"/>
  <c r="I466" i="18"/>
  <c r="N466" i="18" s="1"/>
  <c r="I467" i="18"/>
  <c r="N467" i="18" s="1"/>
  <c r="I468" i="18"/>
  <c r="N468" i="18" s="1"/>
  <c r="I469" i="18"/>
  <c r="N469" i="18" s="1"/>
  <c r="I470" i="18"/>
  <c r="N470" i="18" s="1"/>
  <c r="I471" i="18"/>
  <c r="N471" i="18" s="1"/>
  <c r="I472" i="18"/>
  <c r="N472" i="18" s="1"/>
  <c r="I473" i="18"/>
  <c r="N473" i="18" s="1"/>
  <c r="I474" i="18"/>
  <c r="N474" i="18" s="1"/>
  <c r="I475" i="18"/>
  <c r="N475" i="18" s="1"/>
  <c r="I476" i="18"/>
  <c r="N476" i="18" s="1"/>
  <c r="I477" i="18"/>
  <c r="N477" i="18" s="1"/>
  <c r="I478" i="18"/>
  <c r="N478" i="18" s="1"/>
  <c r="I479" i="18"/>
  <c r="N479" i="18" s="1"/>
  <c r="I480" i="18"/>
  <c r="N480" i="18" s="1"/>
  <c r="I481" i="18"/>
  <c r="N481" i="18" s="1"/>
  <c r="I482" i="18"/>
  <c r="N482" i="18" s="1"/>
  <c r="I483" i="18"/>
  <c r="N483" i="18" s="1"/>
  <c r="I484" i="18"/>
  <c r="N484" i="18" s="1"/>
  <c r="I485" i="18"/>
  <c r="N485" i="18" s="1"/>
  <c r="I486" i="18"/>
  <c r="N486" i="18" s="1"/>
  <c r="I487" i="18"/>
  <c r="N487" i="18" s="1"/>
  <c r="I488" i="18"/>
  <c r="N488" i="18" s="1"/>
  <c r="I489" i="18"/>
  <c r="N489" i="18" s="1"/>
  <c r="I490" i="18"/>
  <c r="N490" i="18" s="1"/>
  <c r="I491" i="18"/>
  <c r="N491" i="18" s="1"/>
  <c r="I492" i="18"/>
  <c r="N492" i="18" s="1"/>
  <c r="I493" i="18"/>
  <c r="N493" i="18" s="1"/>
  <c r="I494" i="18"/>
  <c r="N494" i="18" s="1"/>
  <c r="I495" i="18"/>
  <c r="N495" i="18" s="1"/>
  <c r="I496" i="18"/>
  <c r="N496" i="18" s="1"/>
  <c r="I497" i="18"/>
  <c r="N497" i="18" s="1"/>
  <c r="I498" i="18"/>
  <c r="N498" i="18" s="1"/>
  <c r="I499" i="18"/>
  <c r="N499" i="18" s="1"/>
  <c r="I500" i="18"/>
  <c r="N500" i="18" s="1"/>
  <c r="I501" i="18"/>
  <c r="N501" i="18" s="1"/>
  <c r="I502" i="18"/>
  <c r="N502" i="18" s="1"/>
  <c r="I503" i="18"/>
  <c r="N503" i="18" s="1"/>
  <c r="I504" i="18"/>
  <c r="N504" i="18" s="1"/>
  <c r="I505" i="18"/>
  <c r="N505" i="18" s="1"/>
  <c r="I506" i="18"/>
  <c r="N506" i="18" s="1"/>
  <c r="I507" i="18"/>
  <c r="N507" i="18" s="1"/>
  <c r="I508" i="18"/>
  <c r="N508" i="18" s="1"/>
  <c r="I509" i="18"/>
  <c r="N509" i="18" s="1"/>
  <c r="I510" i="18"/>
  <c r="N510" i="18" s="1"/>
  <c r="I511" i="18"/>
  <c r="N511" i="18" s="1"/>
  <c r="I512" i="18"/>
  <c r="N512" i="18" s="1"/>
  <c r="I513" i="18"/>
  <c r="N513" i="18" s="1"/>
  <c r="I514" i="18"/>
  <c r="N514" i="18" s="1"/>
  <c r="I515" i="18"/>
  <c r="N515" i="18" s="1"/>
  <c r="I516" i="18"/>
  <c r="N516" i="18" s="1"/>
  <c r="I517" i="18"/>
  <c r="N517" i="18" s="1"/>
  <c r="I518" i="18"/>
  <c r="N518" i="18" s="1"/>
  <c r="I519" i="18"/>
  <c r="N519" i="18" s="1"/>
  <c r="I520" i="18"/>
  <c r="N520" i="18" s="1"/>
  <c r="I521" i="18"/>
  <c r="N521" i="18" s="1"/>
  <c r="I522" i="18"/>
  <c r="N522" i="18" s="1"/>
  <c r="I523" i="18"/>
  <c r="N523" i="18" s="1"/>
  <c r="I524" i="18"/>
  <c r="N524" i="18" s="1"/>
  <c r="I525" i="18"/>
  <c r="N525" i="18" s="1"/>
  <c r="I526" i="18"/>
  <c r="N526" i="18" s="1"/>
  <c r="I527" i="18"/>
  <c r="N527" i="18" s="1"/>
  <c r="I528" i="18"/>
  <c r="N528" i="18" s="1"/>
  <c r="I529" i="18"/>
  <c r="N529" i="18" s="1"/>
  <c r="I530" i="18"/>
  <c r="N530" i="18" s="1"/>
  <c r="I531" i="18"/>
  <c r="N531" i="18" s="1"/>
  <c r="I532" i="18"/>
  <c r="N532" i="18" s="1"/>
  <c r="I533" i="18"/>
  <c r="N533" i="18" s="1"/>
  <c r="I534" i="18"/>
  <c r="N534" i="18" s="1"/>
  <c r="I535" i="18"/>
  <c r="N535" i="18" s="1"/>
  <c r="I536" i="18"/>
  <c r="N536" i="18" s="1"/>
  <c r="I537" i="18"/>
  <c r="N537" i="18" s="1"/>
  <c r="I538" i="18"/>
  <c r="N538" i="18" s="1"/>
  <c r="I539" i="18"/>
  <c r="N539" i="18" s="1"/>
  <c r="I540" i="18"/>
  <c r="N540" i="18" s="1"/>
  <c r="I541" i="18"/>
  <c r="N541" i="18" s="1"/>
  <c r="I542" i="18"/>
  <c r="N542" i="18" s="1"/>
  <c r="I543" i="18"/>
  <c r="N543" i="18" s="1"/>
  <c r="I544" i="18"/>
  <c r="N544" i="18" s="1"/>
  <c r="I545" i="18"/>
  <c r="N545" i="18" s="1"/>
  <c r="I546" i="18"/>
  <c r="N546" i="18" s="1"/>
  <c r="I547" i="18"/>
  <c r="N547" i="18" s="1"/>
  <c r="I548" i="18"/>
  <c r="N548" i="18" s="1"/>
  <c r="I549" i="18"/>
  <c r="N549" i="18" s="1"/>
  <c r="I550" i="18"/>
  <c r="N550" i="18" s="1"/>
  <c r="I551" i="18"/>
  <c r="N551" i="18" s="1"/>
  <c r="I552" i="18"/>
  <c r="N552" i="18" s="1"/>
  <c r="I553" i="18"/>
  <c r="N553" i="18" s="1"/>
  <c r="I554" i="18"/>
  <c r="N554" i="18" s="1"/>
  <c r="I555" i="18"/>
  <c r="N555" i="18" s="1"/>
  <c r="I556" i="18"/>
  <c r="N556" i="18" s="1"/>
  <c r="I557" i="18"/>
  <c r="N557" i="18" s="1"/>
  <c r="I558" i="18"/>
  <c r="N558" i="18" s="1"/>
  <c r="I559" i="18"/>
  <c r="N559" i="18" s="1"/>
  <c r="I560" i="18"/>
  <c r="N560" i="18" s="1"/>
  <c r="I561" i="18"/>
  <c r="N561" i="18" s="1"/>
  <c r="I562" i="18"/>
  <c r="N562" i="18" s="1"/>
  <c r="I563" i="18"/>
  <c r="N563" i="18" s="1"/>
  <c r="I564" i="18"/>
  <c r="N564" i="18" s="1"/>
  <c r="I565" i="18"/>
  <c r="N565" i="18" s="1"/>
  <c r="I566" i="18"/>
  <c r="N566" i="18" s="1"/>
  <c r="I567" i="18"/>
  <c r="N567" i="18" s="1"/>
  <c r="I568" i="18"/>
  <c r="N568" i="18" s="1"/>
  <c r="I569" i="18"/>
  <c r="N569" i="18" s="1"/>
  <c r="I570" i="18"/>
  <c r="N570" i="18" s="1"/>
  <c r="I571" i="18"/>
  <c r="N571" i="18" s="1"/>
  <c r="I572" i="18"/>
  <c r="N572" i="18" s="1"/>
  <c r="I573" i="18"/>
  <c r="N573" i="18" s="1"/>
  <c r="I574" i="18"/>
  <c r="N574" i="18" s="1"/>
  <c r="I575" i="18"/>
  <c r="N575" i="18" s="1"/>
  <c r="I576" i="18"/>
  <c r="N576" i="18" s="1"/>
  <c r="I577" i="18"/>
  <c r="N577" i="18" s="1"/>
  <c r="I578" i="18"/>
  <c r="N578" i="18" s="1"/>
  <c r="I579" i="18"/>
  <c r="N579" i="18" s="1"/>
  <c r="I580" i="18"/>
  <c r="N580" i="18" s="1"/>
  <c r="I581" i="18"/>
  <c r="N581" i="18" s="1"/>
  <c r="I582" i="18"/>
  <c r="N582" i="18" s="1"/>
  <c r="I583" i="18"/>
  <c r="N583" i="18" s="1"/>
  <c r="I584" i="18"/>
  <c r="N584" i="18" s="1"/>
  <c r="I585" i="18"/>
  <c r="N585" i="18" s="1"/>
  <c r="I586" i="18"/>
  <c r="N586" i="18" s="1"/>
  <c r="I587" i="18"/>
  <c r="N587" i="18" s="1"/>
  <c r="I588" i="18"/>
  <c r="N588" i="18" s="1"/>
  <c r="I589" i="18"/>
  <c r="N589" i="18" s="1"/>
  <c r="I590" i="18"/>
  <c r="N590" i="18" s="1"/>
  <c r="I591" i="18"/>
  <c r="N591" i="18" s="1"/>
  <c r="I592" i="18"/>
  <c r="N592" i="18" s="1"/>
  <c r="I593" i="18"/>
  <c r="N593" i="18" s="1"/>
  <c r="I594" i="18"/>
  <c r="N594" i="18" s="1"/>
  <c r="I595" i="18"/>
  <c r="N595" i="18" s="1"/>
  <c r="I596" i="18"/>
  <c r="N596" i="18" s="1"/>
  <c r="I597" i="18"/>
  <c r="N597" i="18" s="1"/>
  <c r="I598" i="18"/>
  <c r="N598" i="18" s="1"/>
  <c r="I599" i="18"/>
  <c r="N599" i="18" s="1"/>
  <c r="I600" i="18"/>
  <c r="N600" i="18" s="1"/>
  <c r="I601" i="18"/>
  <c r="N601" i="18" s="1"/>
  <c r="I602" i="18"/>
  <c r="N602" i="18" s="1"/>
  <c r="I603" i="18"/>
  <c r="N603" i="18" s="1"/>
  <c r="I604" i="18"/>
  <c r="N604" i="18" s="1"/>
  <c r="I605" i="18"/>
  <c r="N605" i="18" s="1"/>
  <c r="I606" i="18"/>
  <c r="N606" i="18" s="1"/>
  <c r="I607" i="18"/>
  <c r="N607" i="18" s="1"/>
  <c r="I608" i="18"/>
  <c r="N608" i="18" s="1"/>
  <c r="I609" i="18"/>
  <c r="N609" i="18" s="1"/>
  <c r="I610" i="18"/>
  <c r="N610" i="18" s="1"/>
  <c r="I611" i="18"/>
  <c r="N611" i="18" s="1"/>
  <c r="I612" i="18"/>
  <c r="N612" i="18" s="1"/>
  <c r="I613" i="18"/>
  <c r="N613" i="18" s="1"/>
  <c r="I614" i="18"/>
  <c r="N614" i="18" s="1"/>
  <c r="I615" i="18"/>
  <c r="N615" i="18" s="1"/>
  <c r="I616" i="18"/>
  <c r="N616" i="18" s="1"/>
  <c r="I617" i="18"/>
  <c r="N617" i="18" s="1"/>
  <c r="I618" i="18"/>
  <c r="N618" i="18" s="1"/>
  <c r="I619" i="18"/>
  <c r="N619" i="18" s="1"/>
  <c r="I620" i="18"/>
  <c r="N620" i="18" s="1"/>
  <c r="I621" i="18"/>
  <c r="N621" i="18" s="1"/>
  <c r="I622" i="18"/>
  <c r="N622" i="18" s="1"/>
  <c r="I623" i="18"/>
  <c r="N623" i="18" s="1"/>
  <c r="I624" i="18"/>
  <c r="N624" i="18" s="1"/>
  <c r="I625" i="18"/>
  <c r="N625" i="18" s="1"/>
  <c r="I626" i="18"/>
  <c r="N626" i="18" s="1"/>
  <c r="I627" i="18"/>
  <c r="N627" i="18" s="1"/>
  <c r="I628" i="18"/>
  <c r="N628" i="18" s="1"/>
  <c r="I629" i="18"/>
  <c r="N629" i="18" s="1"/>
  <c r="I630" i="18"/>
  <c r="N630" i="18" s="1"/>
  <c r="I631" i="18"/>
  <c r="N631" i="18" s="1"/>
  <c r="I632" i="18"/>
  <c r="N632" i="18" s="1"/>
  <c r="I633" i="18"/>
  <c r="N633" i="18" s="1"/>
  <c r="I634" i="18"/>
  <c r="N634" i="18" s="1"/>
  <c r="I635" i="18"/>
  <c r="N635" i="18" s="1"/>
  <c r="I636" i="18"/>
  <c r="N636" i="18" s="1"/>
  <c r="I637" i="18"/>
  <c r="N637" i="18" s="1"/>
  <c r="I638" i="18"/>
  <c r="N638" i="18" s="1"/>
  <c r="I639" i="18"/>
  <c r="N639" i="18" s="1"/>
  <c r="I640" i="18"/>
  <c r="N640" i="18" s="1"/>
  <c r="I641" i="18"/>
  <c r="N641" i="18" s="1"/>
  <c r="I642" i="18"/>
  <c r="N642" i="18" s="1"/>
  <c r="I643" i="18"/>
  <c r="N643" i="18" s="1"/>
  <c r="I644" i="18"/>
  <c r="N644" i="18" s="1"/>
  <c r="I645" i="18"/>
  <c r="N645" i="18" s="1"/>
  <c r="I646" i="18"/>
  <c r="N646" i="18" s="1"/>
  <c r="I647" i="18"/>
  <c r="N647" i="18" s="1"/>
  <c r="I648" i="18"/>
  <c r="N648" i="18" s="1"/>
  <c r="I649" i="18"/>
  <c r="N649" i="18" s="1"/>
  <c r="I650" i="18"/>
  <c r="N650" i="18" s="1"/>
  <c r="I651" i="18"/>
  <c r="N651" i="18" s="1"/>
  <c r="I652" i="18"/>
  <c r="N652" i="18" s="1"/>
  <c r="I653" i="18"/>
  <c r="N653" i="18" s="1"/>
  <c r="I654" i="18"/>
  <c r="N654" i="18" s="1"/>
  <c r="I655" i="18"/>
  <c r="N655" i="18" s="1"/>
  <c r="I656" i="18"/>
  <c r="N656" i="18" s="1"/>
  <c r="I657" i="18"/>
  <c r="N657" i="18" s="1"/>
  <c r="I658" i="18"/>
  <c r="N658" i="18" s="1"/>
  <c r="I659" i="18"/>
  <c r="N659" i="18" s="1"/>
  <c r="I660" i="18"/>
  <c r="N660" i="18" s="1"/>
  <c r="I661" i="18"/>
  <c r="N661" i="18" s="1"/>
  <c r="I662" i="18"/>
  <c r="N662" i="18" s="1"/>
  <c r="I663" i="18"/>
  <c r="N663" i="18" s="1"/>
  <c r="I664" i="18"/>
  <c r="N664" i="18" s="1"/>
  <c r="I665" i="18"/>
  <c r="N665" i="18" s="1"/>
  <c r="I666" i="18"/>
  <c r="N666" i="18" s="1"/>
  <c r="I667" i="18"/>
  <c r="N667" i="18" s="1"/>
  <c r="I668" i="18"/>
  <c r="N668" i="18" s="1"/>
  <c r="I669" i="18"/>
  <c r="N669" i="18" s="1"/>
  <c r="I670" i="18"/>
  <c r="N670" i="18" s="1"/>
  <c r="I671" i="18"/>
  <c r="N671" i="18" s="1"/>
  <c r="I672" i="18"/>
  <c r="N672" i="18" s="1"/>
  <c r="I673" i="18"/>
  <c r="N673" i="18" s="1"/>
  <c r="I674" i="18"/>
  <c r="N674" i="18" s="1"/>
  <c r="I675" i="18"/>
  <c r="N675" i="18" s="1"/>
  <c r="I676" i="18"/>
  <c r="N676" i="18" s="1"/>
  <c r="I677" i="18"/>
  <c r="N677" i="18" s="1"/>
  <c r="I678" i="18"/>
  <c r="N678" i="18" s="1"/>
  <c r="I679" i="18"/>
  <c r="N679" i="18" s="1"/>
  <c r="I680" i="18"/>
  <c r="N680" i="18" s="1"/>
  <c r="I681" i="18"/>
  <c r="N681" i="18" s="1"/>
  <c r="I682" i="18"/>
  <c r="N682" i="18" s="1"/>
  <c r="I683" i="18"/>
  <c r="N683" i="18" s="1"/>
  <c r="I684" i="18"/>
  <c r="N684" i="18" s="1"/>
  <c r="I685" i="18"/>
  <c r="N685" i="18" s="1"/>
  <c r="I686" i="18"/>
  <c r="N686" i="18" s="1"/>
  <c r="I687" i="18"/>
  <c r="N687" i="18" s="1"/>
  <c r="I688" i="18"/>
  <c r="N688" i="18" s="1"/>
  <c r="I689" i="18"/>
  <c r="N689" i="18" s="1"/>
  <c r="I690" i="18"/>
  <c r="N690" i="18" s="1"/>
  <c r="I691" i="18"/>
  <c r="N691" i="18" s="1"/>
  <c r="I692" i="18"/>
  <c r="N692" i="18" s="1"/>
  <c r="I693" i="18"/>
  <c r="N693" i="18" s="1"/>
  <c r="I694" i="18"/>
  <c r="N694" i="18" s="1"/>
  <c r="I695" i="18"/>
  <c r="N695" i="18" s="1"/>
  <c r="I696" i="18"/>
  <c r="N696" i="18" s="1"/>
  <c r="I697" i="18"/>
  <c r="N697" i="18" s="1"/>
  <c r="I698" i="18"/>
  <c r="N698" i="18" s="1"/>
  <c r="I699" i="18"/>
  <c r="N699" i="18" s="1"/>
  <c r="I700" i="18"/>
  <c r="N700" i="18" s="1"/>
  <c r="I701" i="18"/>
  <c r="N701" i="18" s="1"/>
  <c r="I702" i="18"/>
  <c r="N702" i="18" s="1"/>
  <c r="I703" i="18"/>
  <c r="N703" i="18" s="1"/>
  <c r="I704" i="18"/>
  <c r="N704" i="18" s="1"/>
  <c r="I705" i="18"/>
  <c r="N705" i="18" s="1"/>
  <c r="I706" i="18"/>
  <c r="N706" i="18" s="1"/>
  <c r="I707" i="18"/>
  <c r="N707" i="18" s="1"/>
  <c r="I708" i="18"/>
  <c r="N708" i="18" s="1"/>
  <c r="I709" i="18"/>
  <c r="N709" i="18" s="1"/>
  <c r="I710" i="18"/>
  <c r="N710" i="18" s="1"/>
  <c r="I711" i="18"/>
  <c r="N711" i="18" s="1"/>
  <c r="I712" i="18"/>
  <c r="N712" i="18" s="1"/>
  <c r="I713" i="18"/>
  <c r="N713" i="18" s="1"/>
  <c r="I714" i="18"/>
  <c r="N714" i="18" s="1"/>
  <c r="I715" i="18"/>
  <c r="N715" i="18" s="1"/>
  <c r="I716" i="18"/>
  <c r="N716" i="18" s="1"/>
  <c r="I717" i="18"/>
  <c r="N717" i="18" s="1"/>
  <c r="I718" i="18"/>
  <c r="N718" i="18" s="1"/>
  <c r="I719" i="18"/>
  <c r="N719" i="18" s="1"/>
  <c r="I720" i="18"/>
  <c r="N720" i="18" s="1"/>
  <c r="I721" i="18"/>
  <c r="N721" i="18" s="1"/>
  <c r="I722" i="18"/>
  <c r="N722" i="18" s="1"/>
  <c r="I723" i="18"/>
  <c r="N723" i="18" s="1"/>
  <c r="I724" i="18"/>
  <c r="N724" i="18" s="1"/>
  <c r="I725" i="18"/>
  <c r="N725" i="18" s="1"/>
  <c r="I726" i="18"/>
  <c r="N726" i="18" s="1"/>
  <c r="I727" i="18"/>
  <c r="N727" i="18" s="1"/>
  <c r="I728" i="18"/>
  <c r="N728" i="18" s="1"/>
  <c r="I729" i="18"/>
  <c r="N729" i="18" s="1"/>
  <c r="I730" i="18"/>
  <c r="N730" i="18" s="1"/>
  <c r="I731" i="18"/>
  <c r="N731" i="18" s="1"/>
  <c r="I732" i="18"/>
  <c r="N732" i="18" s="1"/>
  <c r="I733" i="18"/>
  <c r="N733" i="18" s="1"/>
  <c r="I734" i="18"/>
  <c r="N734" i="18" s="1"/>
  <c r="I735" i="18"/>
  <c r="N735" i="18" s="1"/>
  <c r="I736" i="18"/>
  <c r="N736" i="18" s="1"/>
  <c r="I737" i="18"/>
  <c r="N737" i="18" s="1"/>
  <c r="I738" i="18"/>
  <c r="N738" i="18" s="1"/>
  <c r="I739" i="18"/>
  <c r="N739" i="18" s="1"/>
  <c r="I740" i="18"/>
  <c r="N740" i="18" s="1"/>
  <c r="I741" i="18"/>
  <c r="N741" i="18" s="1"/>
  <c r="I742" i="18"/>
  <c r="N742" i="18" s="1"/>
  <c r="I743" i="18"/>
  <c r="N743" i="18" s="1"/>
  <c r="I744" i="18"/>
  <c r="N744" i="18" s="1"/>
  <c r="I745" i="18"/>
  <c r="N745" i="18" s="1"/>
  <c r="I746" i="18"/>
  <c r="N746" i="18" s="1"/>
  <c r="I747" i="18"/>
  <c r="N747" i="18" s="1"/>
  <c r="I748" i="18"/>
  <c r="N748" i="18" s="1"/>
  <c r="I749" i="18"/>
  <c r="N749" i="18" s="1"/>
  <c r="I750" i="18"/>
  <c r="N750" i="18" s="1"/>
  <c r="I751" i="18"/>
  <c r="N751" i="18" s="1"/>
  <c r="I752" i="18"/>
  <c r="N752" i="18" s="1"/>
  <c r="I753" i="18"/>
  <c r="N753" i="18" s="1"/>
  <c r="I754" i="18"/>
  <c r="N754" i="18" s="1"/>
  <c r="I755" i="18"/>
  <c r="N755" i="18" s="1"/>
  <c r="I756" i="18"/>
  <c r="N756" i="18" s="1"/>
  <c r="I757" i="18"/>
  <c r="N757" i="18" s="1"/>
  <c r="I758" i="18"/>
  <c r="N758" i="18" s="1"/>
  <c r="I759" i="18"/>
  <c r="N759" i="18" s="1"/>
  <c r="I760" i="18"/>
  <c r="N760" i="18" s="1"/>
  <c r="I761" i="18"/>
  <c r="N761" i="18" s="1"/>
  <c r="I762" i="18"/>
  <c r="N762" i="18" s="1"/>
  <c r="I763" i="18"/>
  <c r="N763" i="18" s="1"/>
  <c r="I764" i="18"/>
  <c r="N764" i="18" s="1"/>
  <c r="I765" i="18"/>
  <c r="N765" i="18" s="1"/>
  <c r="I766" i="18"/>
  <c r="N766" i="18" s="1"/>
  <c r="I767" i="18"/>
  <c r="N767" i="18" s="1"/>
  <c r="I768" i="18"/>
  <c r="N768" i="18" s="1"/>
  <c r="I769" i="18"/>
  <c r="N769" i="18" s="1"/>
  <c r="I770" i="18"/>
  <c r="N770" i="18" s="1"/>
  <c r="I771" i="18"/>
  <c r="N771" i="18" s="1"/>
  <c r="I772" i="18"/>
  <c r="N772" i="18" s="1"/>
  <c r="I773" i="18"/>
  <c r="N773" i="18" s="1"/>
  <c r="I774" i="18"/>
  <c r="N774" i="18" s="1"/>
  <c r="I775" i="18"/>
  <c r="N775" i="18" s="1"/>
  <c r="I776" i="18"/>
  <c r="N776" i="18" s="1"/>
  <c r="I777" i="18"/>
  <c r="N777" i="18" s="1"/>
  <c r="I778" i="18"/>
  <c r="N778" i="18" s="1"/>
  <c r="I779" i="18"/>
  <c r="N779" i="18" s="1"/>
  <c r="I780" i="18"/>
  <c r="N780" i="18" s="1"/>
  <c r="I781" i="18"/>
  <c r="N781" i="18" s="1"/>
  <c r="I782" i="18"/>
  <c r="N782" i="18" s="1"/>
  <c r="I783" i="18"/>
  <c r="N783" i="18" s="1"/>
  <c r="I784" i="18"/>
  <c r="N784" i="18" s="1"/>
  <c r="I785" i="18"/>
  <c r="N785" i="18" s="1"/>
  <c r="I786" i="18"/>
  <c r="N786" i="18" s="1"/>
  <c r="I787" i="18"/>
  <c r="N787" i="18" s="1"/>
  <c r="I788" i="18"/>
  <c r="N788" i="18" s="1"/>
  <c r="I789" i="18"/>
  <c r="N789" i="18" s="1"/>
  <c r="I790" i="18"/>
  <c r="N790" i="18" s="1"/>
  <c r="I791" i="18"/>
  <c r="N791" i="18" s="1"/>
  <c r="I792" i="18"/>
  <c r="N792" i="18" s="1"/>
  <c r="I793" i="18"/>
  <c r="N793" i="18" s="1"/>
  <c r="I794" i="18"/>
  <c r="N794" i="18" s="1"/>
  <c r="I795" i="18"/>
  <c r="N795" i="18" s="1"/>
  <c r="I796" i="18"/>
  <c r="N796" i="18" s="1"/>
  <c r="I797" i="18"/>
  <c r="N797" i="18" s="1"/>
  <c r="I798" i="18"/>
  <c r="N798" i="18" s="1"/>
  <c r="I799" i="18"/>
  <c r="N799" i="18" s="1"/>
  <c r="I800" i="18"/>
  <c r="N800" i="18" s="1"/>
  <c r="I801" i="18"/>
  <c r="N801" i="18" s="1"/>
  <c r="I802" i="18"/>
  <c r="N802" i="18" s="1"/>
  <c r="I803" i="18"/>
  <c r="N803" i="18" s="1"/>
  <c r="I804" i="18"/>
  <c r="N804" i="18" s="1"/>
  <c r="I805" i="18"/>
  <c r="N805" i="18" s="1"/>
  <c r="I806" i="18"/>
  <c r="N806" i="18" s="1"/>
  <c r="I807" i="18"/>
  <c r="N807" i="18" s="1"/>
  <c r="I808" i="18"/>
  <c r="N808" i="18" s="1"/>
  <c r="I809" i="18"/>
  <c r="N809" i="18" s="1"/>
  <c r="I810" i="18"/>
  <c r="N810" i="18" s="1"/>
  <c r="I811" i="18"/>
  <c r="N811" i="18" s="1"/>
  <c r="I812" i="18"/>
  <c r="N812" i="18" s="1"/>
  <c r="I813" i="18"/>
  <c r="N813" i="18" s="1"/>
  <c r="I814" i="18"/>
  <c r="N814" i="18" s="1"/>
  <c r="I815" i="18"/>
  <c r="N815" i="18" s="1"/>
  <c r="I816" i="18"/>
  <c r="N816" i="18" s="1"/>
  <c r="I817" i="18"/>
  <c r="N817" i="18" s="1"/>
  <c r="I818" i="18"/>
  <c r="N818" i="18" s="1"/>
  <c r="I819" i="18"/>
  <c r="N819" i="18" s="1"/>
  <c r="I820" i="18"/>
  <c r="N820" i="18" s="1"/>
  <c r="I821" i="18"/>
  <c r="N821" i="18" s="1"/>
  <c r="I822" i="18"/>
  <c r="N822" i="18" s="1"/>
  <c r="I823" i="18"/>
  <c r="N823" i="18" s="1"/>
  <c r="I824" i="18"/>
  <c r="N824" i="18" s="1"/>
  <c r="I825" i="18"/>
  <c r="N825" i="18" s="1"/>
  <c r="I826" i="18"/>
  <c r="N826" i="18" s="1"/>
  <c r="I827" i="18"/>
  <c r="N827" i="18" s="1"/>
  <c r="I828" i="18"/>
  <c r="N828" i="18" s="1"/>
  <c r="I829" i="18"/>
  <c r="N829" i="18" s="1"/>
  <c r="I830" i="18"/>
  <c r="N830" i="18" s="1"/>
  <c r="I831" i="18"/>
  <c r="N831" i="18" s="1"/>
  <c r="I832" i="18"/>
  <c r="N832" i="18" s="1"/>
  <c r="I833" i="18"/>
  <c r="N833" i="18" s="1"/>
  <c r="I834" i="18"/>
  <c r="N834" i="18" s="1"/>
  <c r="I835" i="18"/>
  <c r="N835" i="18" s="1"/>
  <c r="I836" i="18"/>
  <c r="N836" i="18" s="1"/>
  <c r="I837" i="18"/>
  <c r="N837" i="18" s="1"/>
  <c r="I838" i="18"/>
  <c r="N838" i="18" s="1"/>
  <c r="I839" i="18"/>
  <c r="N839" i="18" s="1"/>
  <c r="I840" i="18"/>
  <c r="N840" i="18" s="1"/>
  <c r="I841" i="18"/>
  <c r="N841" i="18" s="1"/>
  <c r="I842" i="18"/>
  <c r="N842" i="18" s="1"/>
  <c r="I843" i="18"/>
  <c r="N843" i="18" s="1"/>
  <c r="I844" i="18"/>
  <c r="N844" i="18" s="1"/>
  <c r="I845" i="18"/>
  <c r="N845" i="18" s="1"/>
  <c r="I846" i="18"/>
  <c r="N846" i="18" s="1"/>
  <c r="I847" i="18"/>
  <c r="N847" i="18" s="1"/>
  <c r="I848" i="18"/>
  <c r="N848" i="18" s="1"/>
  <c r="I849" i="18"/>
  <c r="N849" i="18" s="1"/>
  <c r="I850" i="18"/>
  <c r="N850" i="18" s="1"/>
  <c r="I851" i="18"/>
  <c r="N851" i="18" s="1"/>
  <c r="I852" i="18"/>
  <c r="N852" i="18" s="1"/>
  <c r="I853" i="18"/>
  <c r="N853" i="18" s="1"/>
  <c r="I854" i="18"/>
  <c r="N854" i="18" s="1"/>
  <c r="I855" i="18"/>
  <c r="N855" i="18" s="1"/>
  <c r="I856" i="18"/>
  <c r="N856" i="18" s="1"/>
  <c r="I857" i="18"/>
  <c r="N857" i="18" s="1"/>
  <c r="I858" i="18"/>
  <c r="N858" i="18" s="1"/>
  <c r="I859" i="18"/>
  <c r="N859" i="18" s="1"/>
  <c r="I860" i="18"/>
  <c r="N860" i="18" s="1"/>
  <c r="I861" i="18"/>
  <c r="N861" i="18" s="1"/>
  <c r="I862" i="18"/>
  <c r="N862" i="18" s="1"/>
  <c r="I863" i="18"/>
  <c r="N863" i="18" s="1"/>
  <c r="I864" i="18"/>
  <c r="N864" i="18" s="1"/>
  <c r="I865" i="18"/>
  <c r="N865" i="18" s="1"/>
  <c r="I866" i="18"/>
  <c r="N866" i="18" s="1"/>
  <c r="I867" i="18"/>
  <c r="N867" i="18" s="1"/>
  <c r="I868" i="18"/>
  <c r="N868" i="18" s="1"/>
  <c r="I869" i="18"/>
  <c r="N869" i="18" s="1"/>
  <c r="I870" i="18"/>
  <c r="N870" i="18" s="1"/>
  <c r="I871" i="18"/>
  <c r="N871" i="18" s="1"/>
  <c r="I872" i="18"/>
  <c r="N872" i="18" s="1"/>
  <c r="I873" i="18"/>
  <c r="N873" i="18" s="1"/>
  <c r="I874" i="18"/>
  <c r="N874" i="18" s="1"/>
  <c r="I875" i="18"/>
  <c r="N875" i="18" s="1"/>
  <c r="I876" i="18"/>
  <c r="N876" i="18" s="1"/>
  <c r="I877" i="18"/>
  <c r="N877" i="18" s="1"/>
  <c r="I878" i="18"/>
  <c r="N878" i="18" s="1"/>
  <c r="I879" i="18"/>
  <c r="N879" i="18" s="1"/>
  <c r="I880" i="18"/>
  <c r="N880" i="18" s="1"/>
  <c r="I881" i="18"/>
  <c r="N881" i="18" s="1"/>
  <c r="I882" i="18"/>
  <c r="N882" i="18" s="1"/>
  <c r="I883" i="18"/>
  <c r="N883" i="18" s="1"/>
  <c r="I884" i="18"/>
  <c r="N884" i="18" s="1"/>
  <c r="I885" i="18"/>
  <c r="N885" i="18" s="1"/>
  <c r="I886" i="18"/>
  <c r="N886" i="18" s="1"/>
  <c r="I887" i="18"/>
  <c r="N887" i="18" s="1"/>
  <c r="I888" i="18"/>
  <c r="N888" i="18" s="1"/>
  <c r="I889" i="18"/>
  <c r="N889" i="18" s="1"/>
  <c r="I890" i="18"/>
  <c r="N890" i="18" s="1"/>
  <c r="I891" i="18"/>
  <c r="N891" i="18" s="1"/>
  <c r="I892" i="18"/>
  <c r="N892" i="18" s="1"/>
  <c r="I893" i="18"/>
  <c r="N893" i="18" s="1"/>
  <c r="I894" i="18"/>
  <c r="N894" i="18" s="1"/>
  <c r="I895" i="18"/>
  <c r="N895" i="18" s="1"/>
  <c r="I896" i="18"/>
  <c r="N896" i="18" s="1"/>
  <c r="I897" i="18"/>
  <c r="N897" i="18" s="1"/>
  <c r="I898" i="18"/>
  <c r="N898" i="18" s="1"/>
  <c r="I899" i="18"/>
  <c r="N899" i="18" s="1"/>
  <c r="I900" i="18"/>
  <c r="N900" i="18" s="1"/>
  <c r="I901" i="18"/>
  <c r="N901" i="18" s="1"/>
  <c r="I902" i="18"/>
  <c r="N902" i="18" s="1"/>
  <c r="I903" i="18"/>
  <c r="N903" i="18" s="1"/>
  <c r="I904" i="18"/>
  <c r="N904" i="18" s="1"/>
  <c r="I905" i="18"/>
  <c r="N905" i="18" s="1"/>
  <c r="I906" i="18"/>
  <c r="N906" i="18" s="1"/>
  <c r="I907" i="18"/>
  <c r="N907" i="18" s="1"/>
  <c r="I908" i="18"/>
  <c r="N908" i="18" s="1"/>
  <c r="I909" i="18"/>
  <c r="N909" i="18" s="1"/>
  <c r="I910" i="18"/>
  <c r="N910" i="18" s="1"/>
  <c r="I911" i="18"/>
  <c r="N911" i="18" s="1"/>
  <c r="I912" i="18"/>
  <c r="N912" i="18" s="1"/>
  <c r="I913" i="18"/>
  <c r="N913" i="18" s="1"/>
  <c r="I914" i="18"/>
  <c r="N914" i="18" s="1"/>
  <c r="I915" i="18"/>
  <c r="N915" i="18" s="1"/>
  <c r="I916" i="18"/>
  <c r="N916" i="18" s="1"/>
  <c r="I917" i="18"/>
  <c r="N917" i="18" s="1"/>
  <c r="I918" i="18"/>
  <c r="N918" i="18" s="1"/>
  <c r="I919" i="18"/>
  <c r="N919" i="18" s="1"/>
  <c r="I920" i="18"/>
  <c r="N920" i="18" s="1"/>
  <c r="I921" i="18"/>
  <c r="N921" i="18" s="1"/>
  <c r="I922" i="18"/>
  <c r="N922" i="18" s="1"/>
  <c r="I923" i="18"/>
  <c r="N923" i="18" s="1"/>
  <c r="I924" i="18"/>
  <c r="N924" i="18" s="1"/>
  <c r="I925" i="18"/>
  <c r="N925" i="18" s="1"/>
  <c r="I926" i="18"/>
  <c r="N926" i="18" s="1"/>
  <c r="I927" i="18"/>
  <c r="N927" i="18" s="1"/>
  <c r="I928" i="18"/>
  <c r="N928" i="18" s="1"/>
  <c r="I929" i="18"/>
  <c r="N929" i="18" s="1"/>
  <c r="I930" i="18"/>
  <c r="N930" i="18" s="1"/>
  <c r="I931" i="18"/>
  <c r="N931" i="18" s="1"/>
  <c r="I932" i="18"/>
  <c r="N932" i="18" s="1"/>
  <c r="I933" i="18"/>
  <c r="N933" i="18" s="1"/>
  <c r="I934" i="18"/>
  <c r="N934" i="18" s="1"/>
  <c r="I935" i="18"/>
  <c r="N935" i="18" s="1"/>
  <c r="I936" i="18"/>
  <c r="N936" i="18" s="1"/>
  <c r="I937" i="18"/>
  <c r="N937" i="18" s="1"/>
  <c r="I938" i="18"/>
  <c r="N938" i="18" s="1"/>
  <c r="I939" i="18"/>
  <c r="N939" i="18" s="1"/>
  <c r="I940" i="18"/>
  <c r="N940" i="18" s="1"/>
  <c r="I941" i="18"/>
  <c r="N941" i="18" s="1"/>
  <c r="I942" i="18"/>
  <c r="N942" i="18" s="1"/>
  <c r="I943" i="18"/>
  <c r="N943" i="18" s="1"/>
  <c r="I944" i="18"/>
  <c r="N944" i="18" s="1"/>
  <c r="I945" i="18"/>
  <c r="N945" i="18" s="1"/>
  <c r="I946" i="18"/>
  <c r="N946" i="18" s="1"/>
  <c r="I947" i="18"/>
  <c r="N947" i="18" s="1"/>
  <c r="I948" i="18"/>
  <c r="N948" i="18" s="1"/>
  <c r="I949" i="18"/>
  <c r="N949" i="18" s="1"/>
  <c r="I950" i="18"/>
  <c r="N950" i="18" s="1"/>
  <c r="I951" i="18"/>
  <c r="N951" i="18" s="1"/>
  <c r="I952" i="18"/>
  <c r="N952" i="18" s="1"/>
  <c r="I953" i="18"/>
  <c r="N953" i="18" s="1"/>
  <c r="I954" i="18"/>
  <c r="N954" i="18" s="1"/>
  <c r="I955" i="18"/>
  <c r="N955" i="18" s="1"/>
  <c r="I956" i="18"/>
  <c r="N956" i="18" s="1"/>
  <c r="I957" i="18"/>
  <c r="N957" i="18" s="1"/>
  <c r="I958" i="18"/>
  <c r="N958" i="18" s="1"/>
  <c r="I959" i="18"/>
  <c r="N959" i="18" s="1"/>
  <c r="I960" i="18"/>
  <c r="N960" i="18" s="1"/>
  <c r="I961" i="18"/>
  <c r="N961" i="18" s="1"/>
  <c r="I962" i="18"/>
  <c r="N962" i="18" s="1"/>
  <c r="I963" i="18"/>
  <c r="N963" i="18" s="1"/>
  <c r="I964" i="18"/>
  <c r="N964" i="18" s="1"/>
  <c r="I965" i="18"/>
  <c r="N965" i="18" s="1"/>
  <c r="I966" i="18"/>
  <c r="N966" i="18" s="1"/>
  <c r="I967" i="18"/>
  <c r="N967" i="18" s="1"/>
  <c r="I968" i="18"/>
  <c r="N968" i="18" s="1"/>
  <c r="I969" i="18"/>
  <c r="N969" i="18" s="1"/>
  <c r="I970" i="18"/>
  <c r="N970" i="18" s="1"/>
  <c r="I971" i="18"/>
  <c r="N971" i="18" s="1"/>
  <c r="I972" i="18"/>
  <c r="N972" i="18" s="1"/>
  <c r="I973" i="18"/>
  <c r="N973" i="18" s="1"/>
  <c r="I974" i="18"/>
  <c r="N974" i="18" s="1"/>
  <c r="I975" i="18"/>
  <c r="N975" i="18" s="1"/>
  <c r="I976" i="18"/>
  <c r="N976" i="18" s="1"/>
  <c r="I977" i="18"/>
  <c r="N977" i="18" s="1"/>
  <c r="I978" i="18"/>
  <c r="N978" i="18" s="1"/>
  <c r="I979" i="18"/>
  <c r="N979" i="18" s="1"/>
  <c r="I980" i="18"/>
  <c r="N980" i="18" s="1"/>
  <c r="I981" i="18"/>
  <c r="N981" i="18" s="1"/>
  <c r="I982" i="18"/>
  <c r="N982" i="18" s="1"/>
  <c r="I983" i="18"/>
  <c r="N983" i="18" s="1"/>
  <c r="I984" i="18"/>
  <c r="N984" i="18" s="1"/>
  <c r="I985" i="18"/>
  <c r="N985" i="18" s="1"/>
  <c r="I986" i="18"/>
  <c r="N986" i="18" s="1"/>
  <c r="I987" i="18"/>
  <c r="N987" i="18" s="1"/>
  <c r="I988" i="18"/>
  <c r="N988" i="18" s="1"/>
  <c r="I989" i="18"/>
  <c r="N989" i="18" s="1"/>
  <c r="I990" i="18"/>
  <c r="N990" i="18" s="1"/>
  <c r="I991" i="18"/>
  <c r="N991" i="18" s="1"/>
  <c r="I992" i="18"/>
  <c r="N992" i="18" s="1"/>
  <c r="I993" i="18"/>
  <c r="N993" i="18" s="1"/>
  <c r="I994" i="18"/>
  <c r="N994" i="18" s="1"/>
  <c r="I995" i="18"/>
  <c r="N995" i="18" s="1"/>
  <c r="I996" i="18"/>
  <c r="N996" i="18" s="1"/>
  <c r="I997" i="18"/>
  <c r="N997" i="18" s="1"/>
  <c r="I998" i="18"/>
  <c r="N998" i="18" s="1"/>
  <c r="I999" i="18"/>
  <c r="N999" i="18" s="1"/>
  <c r="I1000" i="18"/>
  <c r="N1000" i="18" s="1"/>
  <c r="I1001" i="18"/>
  <c r="N1001" i="18" s="1"/>
  <c r="I2" i="18"/>
  <c r="N2" i="18" s="1"/>
  <c r="F7"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F3" i="18"/>
  <c r="F4" i="18"/>
  <c r="F5" i="18"/>
  <c r="F6"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alcChain>
</file>

<file path=xl/sharedStrings.xml><?xml version="1.0" encoding="utf-8"?>
<sst xmlns="http://schemas.openxmlformats.org/spreadsheetml/2006/main" count="15145" uniqueCount="6223">
  <si>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</si>
  <si>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</si>
  <si>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</si>
  <si>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</si>
  <si>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</si>
  <si>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</si>
  <si>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</si>
  <si>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</si>
  <si>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</si>
  <si>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</si>
  <si>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</si>
  <si>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</si>
  <si>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</si>
  <si>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</si>
  <si>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</si>
  <si>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</si>
  <si>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</si>
  <si>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</si>
  <si>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</si>
  <si>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</si>
  <si>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</si>
  <si>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</si>
  <si>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</si>
  <si>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</si>
  <si>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</si>
  <si>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</si>
  <si>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</si>
  <si>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</si>
  <si>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</si>
  <si>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</si>
  <si>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</si>
  <si>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</si>
  <si>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</si>
  <si>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</si>
  <si>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</si>
  <si>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</si>
  <si>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</si>
  <si>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</si>
  <si>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</si>
  <si>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</si>
  <si>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</si>
  <si>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</si>
  <si>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</si>
  <si>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</si>
  <si>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</si>
  <si>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</si>
  <si>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</si>
  <si>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</si>
  <si>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</si>
  <si>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</si>
  <si>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</si>
  <si>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</si>
  <si>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</si>
  <si>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</si>
  <si>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</si>
  <si>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</si>
  <si>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</si>
  <si>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</si>
  <si>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</si>
  <si>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</si>
  <si>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</si>
  <si>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</si>
  <si>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</si>
  <si>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</si>
  <si>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</si>
  <si>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</si>
  <si>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</si>
  <si>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</si>
  <si>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</si>
  <si>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</si>
  <si>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</si>
  <si>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</si>
  <si>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</si>
  <si>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</si>
  <si>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</si>
  <si>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</si>
  <si>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</si>
  <si>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</si>
  <si>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</si>
  <si>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</si>
  <si>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</si>
  <si>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</si>
  <si>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</si>
  <si>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</si>
  <si>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</si>
  <si>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</si>
  <si>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</si>
  <si>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</si>
  <si>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</si>
  <si>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</si>
  <si>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</si>
  <si>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</si>
  <si>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</si>
  <si>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</si>
  <si>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</si>
  <si>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</si>
  <si>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</si>
  <si>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</si>
  <si>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</si>
  <si>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</si>
  <si>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</si>
  <si>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</si>
  <si>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</si>
  <si>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</si>
  <si>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</si>
  <si>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</si>
  <si>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</si>
  <si>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</si>
  <si>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</si>
  <si>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</si>
  <si>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</si>
  <si>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</si>
  <si>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</si>
  <si>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</si>
  <si>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</si>
  <si>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</si>
  <si>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</si>
  <si>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</si>
  <si>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</si>
  <si>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</si>
  <si>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</si>
  <si>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</si>
  <si>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</si>
  <si>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</si>
  <si>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</si>
  <si>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</si>
  <si>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</si>
  <si>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</si>
  <si>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</si>
  <si>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</si>
  <si>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</si>
  <si>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</si>
  <si>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</si>
  <si>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</si>
  <si>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</si>
  <si>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</si>
  <si>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</si>
  <si>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</si>
  <si>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</si>
  <si>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</si>
  <si>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</si>
  <si>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</si>
  <si>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</si>
  <si>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</si>
  <si>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</si>
  <si>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</si>
  <si>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</si>
  <si>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</si>
  <si>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</si>
  <si>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</si>
  <si>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</si>
  <si>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</si>
  <si>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</si>
  <si>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</si>
  <si>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</si>
  <si>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</si>
  <si>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</si>
  <si>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</si>
  <si>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</si>
  <si>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</si>
  <si>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</si>
  <si>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</si>
  <si>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</si>
  <si>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</si>
  <si>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</si>
  <si>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</si>
  <si>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</si>
  <si>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</si>
  <si>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</si>
  <si>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</si>
  <si>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</si>
  <si>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</si>
  <si>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</si>
  <si>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</si>
  <si>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</si>
  <si>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</si>
  <si>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</si>
  <si>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</si>
  <si>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</si>
  <si>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</si>
  <si>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</si>
  <si>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</si>
  <si>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</si>
  <si>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</si>
  <si>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</si>
  <si>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</si>
  <si>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</si>
  <si>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</si>
  <si>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</si>
  <si>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</si>
  <si>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</si>
  <si>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</si>
  <si>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</si>
  <si>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</si>
  <si>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</si>
  <si>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</si>
  <si>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</si>
  <si>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</si>
  <si>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</si>
  <si>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</si>
  <si>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</si>
  <si>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</si>
  <si>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</si>
  <si>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</si>
  <si>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</si>
  <si>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</si>
  <si>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</si>
  <si>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</si>
  <si>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</si>
  <si>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</si>
  <si>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</si>
  <si>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</si>
  <si>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</si>
  <si>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</si>
  <si>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</si>
  <si>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</si>
  <si>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</si>
  <si>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</si>
  <si>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</si>
  <si>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</si>
  <si>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</si>
  <si>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</si>
  <si>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</si>
  <si>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</si>
  <si>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</si>
  <si>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</si>
  <si>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</si>
  <si>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</si>
  <si>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</si>
  <si>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</si>
  <si>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</si>
  <si>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</si>
  <si>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</si>
  <si>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</si>
  <si>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</si>
  <si>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</si>
  <si>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</si>
  <si>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</si>
  <si>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</si>
  <si>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</si>
  <si>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</si>
  <si>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</si>
  <si>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</si>
  <si>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</si>
  <si>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</si>
  <si>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</si>
  <si>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</si>
  <si>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</si>
  <si>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</si>
  <si>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</si>
  <si>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</si>
  <si>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</si>
  <si>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</si>
  <si>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</si>
  <si>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</si>
  <si>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</si>
  <si>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</si>
  <si>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</si>
  <si>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</si>
  <si>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</si>
  <si>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</si>
  <si>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</si>
  <si>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</si>
  <si>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</si>
  <si>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</si>
  <si>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</si>
  <si>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</si>
  <si>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</si>
  <si>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</si>
  <si>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</si>
  <si>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</si>
  <si>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</si>
  <si>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</si>
  <si>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</si>
  <si>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</si>
  <si>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</si>
  <si>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</si>
  <si>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</si>
  <si>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</si>
  <si>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</si>
  <si>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</si>
  <si>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</si>
  <si>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</si>
  <si>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</si>
  <si>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</si>
  <si>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</si>
  <si>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</si>
  <si>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</si>
  <si>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</si>
  <si>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</si>
  <si>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</si>
  <si>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</si>
  <si>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</si>
  <si>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</si>
  <si>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</si>
  <si>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</si>
  <si>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</si>
  <si>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</si>
  <si>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</si>
  <si>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</si>
  <si>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</si>
  <si>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</si>
  <si>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</si>
  <si>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</si>
  <si>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</si>
  <si>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</si>
  <si>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</si>
  <si>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</si>
  <si>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</si>
  <si>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</si>
  <si>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</si>
  <si>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</si>
  <si>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</si>
  <si>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</si>
  <si>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</si>
  <si>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</si>
  <si>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</si>
  <si>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</si>
  <si>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</si>
  <si>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</si>
  <si>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</si>
  <si>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</si>
  <si>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</si>
  <si>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</si>
  <si>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</si>
  <si>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</si>
  <si>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</si>
  <si>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</si>
  <si>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</si>
  <si>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</si>
  <si>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</si>
  <si>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</si>
  <si>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</si>
  <si>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</si>
  <si>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</si>
  <si>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</si>
  <si>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</si>
  <si>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</si>
  <si>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</si>
  <si>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</si>
  <si>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</si>
  <si>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</si>
  <si>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</si>
  <si>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</si>
  <si>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</si>
  <si>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</si>
  <si>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</si>
  <si>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</si>
  <si>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</si>
  <si>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</si>
  <si>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</si>
  <si>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</si>
  <si>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</si>
  <si>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</si>
  <si>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</si>
  <si>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</si>
  <si>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</si>
  <si>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</si>
  <si>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</si>
  <si>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</si>
  <si>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</si>
  <si>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</si>
  <si>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</si>
  <si>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</si>
  <si>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</si>
  <si>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</si>
  <si>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</si>
  <si>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</si>
  <si>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</si>
  <si>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</si>
  <si>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</si>
  <si>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</si>
  <si>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</si>
  <si>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</si>
  <si>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</si>
  <si>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</si>
  <si>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</si>
  <si>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</si>
  <si>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</si>
  <si>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</si>
  <si>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</si>
  <si>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</si>
  <si>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</si>
  <si>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</si>
  <si>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</si>
  <si>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</si>
  <si>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</si>
  <si>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</si>
  <si>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</si>
  <si>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</si>
  <si>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</si>
  <si>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</si>
  <si>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</si>
  <si>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</si>
  <si>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</si>
  <si>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</si>
  <si>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</si>
  <si>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</si>
  <si>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</si>
  <si>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</si>
  <si>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</si>
  <si>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</si>
  <si>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</si>
  <si>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</si>
  <si>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</si>
  <si>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</si>
  <si>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</si>
  <si>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</si>
  <si>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</si>
  <si>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</si>
  <si>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</si>
  <si>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</si>
  <si>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</si>
  <si>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</si>
  <si>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</si>
  <si>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</si>
  <si>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</si>
  <si>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</si>
  <si>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</si>
  <si>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</si>
  <si>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</si>
  <si>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</si>
  <si>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</si>
  <si>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</si>
  <si>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</si>
  <si>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</si>
  <si>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</si>
  <si>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</si>
  <si>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</si>
  <si>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</si>
  <si>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</si>
  <si>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</si>
  <si>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</si>
  <si>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</si>
  <si>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</si>
  <si>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</si>
  <si>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</si>
  <si>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</si>
  <si>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</si>
  <si>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</si>
  <si>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</si>
  <si>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</si>
  <si>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</si>
  <si>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</si>
  <si>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</si>
  <si>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</si>
  <si>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</si>
  <si>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</si>
  <si>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</si>
  <si>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</si>
  <si>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</si>
  <si>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</si>
  <si>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</si>
  <si>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</si>
  <si>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</si>
  <si>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</si>
  <si>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</si>
  <si>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</si>
  <si>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</si>
  <si>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</si>
  <si>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</si>
  <si>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</si>
  <si>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</si>
  <si>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</si>
  <si>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</si>
  <si>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</si>
  <si>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</si>
  <si>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</si>
  <si>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</si>
  <si>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</si>
  <si>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</si>
  <si>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</si>
  <si>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</si>
  <si>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</si>
  <si>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</si>
  <si>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</si>
  <si>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</si>
  <si>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</si>
  <si>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</si>
  <si>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</si>
  <si>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</si>
  <si>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</si>
  <si>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</si>
  <si>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</si>
  <si>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</si>
  <si>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</si>
  <si>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</si>
  <si>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</si>
  <si>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</si>
  <si>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</si>
  <si>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</si>
  <si>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</si>
  <si>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</si>
  <si>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</si>
  <si>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</si>
  <si>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</si>
  <si>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</si>
  <si>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</si>
  <si>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</si>
  <si>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</si>
  <si>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</si>
  <si>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</si>
  <si>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</si>
  <si>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</si>
  <si>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</si>
  <si>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</si>
  <si>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</si>
  <si>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</si>
  <si>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</si>
  <si>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</si>
  <si>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</si>
  <si>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</si>
  <si>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</si>
  <si>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</si>
  <si>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</si>
  <si>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</si>
  <si>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</si>
  <si>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</si>
  <si>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</si>
  <si>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</si>
  <si>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</si>
  <si>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</si>
  <si>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</si>
  <si>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</si>
  <si>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</si>
  <si>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</si>
  <si>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</si>
  <si>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</si>
  <si>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</si>
  <si>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</si>
  <si>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</si>
  <si>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</si>
  <si>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</si>
  <si>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</si>
  <si>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</si>
  <si>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</si>
  <si>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</si>
  <si>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</si>
  <si>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</si>
  <si>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</si>
  <si>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</si>
  <si>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</si>
  <si>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</si>
  <si>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</si>
  <si>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</si>
  <si>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</si>
  <si>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</si>
  <si>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</si>
  <si>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</si>
  <si>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</si>
  <si>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</si>
  <si>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</si>
  <si>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</si>
  <si>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</si>
  <si>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</si>
  <si>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</si>
  <si>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</si>
  <si>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</si>
  <si>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</si>
  <si>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</si>
  <si>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</si>
  <si>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</si>
  <si>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</si>
  <si>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</si>
  <si>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</si>
  <si>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</si>
  <si>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</si>
  <si>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</si>
  <si>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</si>
  <si>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</si>
  <si>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</si>
  <si>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</si>
  <si>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</si>
  <si>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</si>
  <si>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</si>
  <si>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</si>
  <si>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</si>
  <si>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</si>
  <si>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</si>
  <si>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</si>
  <si>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</si>
  <si>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</si>
  <si>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</si>
  <si>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</si>
  <si>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</si>
  <si>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</si>
  <si>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</si>
  <si>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</si>
  <si>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</si>
  <si>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</si>
  <si>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</si>
  <si>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</si>
  <si>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</si>
  <si>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</si>
  <si>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</si>
  <si>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</si>
  <si>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</si>
  <si>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</si>
  <si>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</si>
  <si>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</si>
  <si>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</si>
  <si>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</si>
  <si>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</si>
  <si>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</si>
  <si>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</si>
  <si>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</si>
  <si>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</si>
  <si>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</si>
  <si>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</si>
  <si>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</si>
  <si>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</si>
  <si>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</si>
  <si>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</si>
  <si>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</si>
  <si>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</si>
  <si>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</si>
  <si>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</si>
  <si>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</si>
  <si>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</si>
  <si>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</si>
  <si>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</si>
  <si>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</si>
  <si>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</si>
  <si>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</si>
  <si>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</si>
  <si>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</si>
  <si>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</si>
  <si>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</si>
  <si>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</si>
  <si>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</si>
  <si>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</si>
  <si>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</si>
  <si>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</si>
  <si>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</si>
  <si>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</si>
  <si>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</si>
  <si>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</si>
  <si>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</si>
  <si>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</si>
  <si>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</si>
  <si>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</si>
  <si>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</si>
  <si>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</si>
  <si>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</si>
  <si>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</si>
  <si>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</si>
  <si>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</si>
  <si>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</si>
  <si>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</si>
  <si>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</si>
  <si>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</si>
  <si>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</si>
  <si>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</si>
  <si>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</si>
  <si>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</si>
  <si>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</si>
  <si>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</si>
  <si>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</si>
  <si>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</si>
  <si>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</si>
  <si>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</si>
  <si>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</si>
  <si>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</si>
  <si>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</si>
  <si>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</si>
  <si>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</si>
  <si>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</si>
  <si>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</si>
  <si>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</si>
  <si>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</si>
  <si>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</si>
  <si>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</si>
  <si>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</si>
  <si>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</si>
  <si>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</si>
  <si>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</si>
  <si>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</si>
  <si>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</si>
  <si>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</si>
  <si>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</si>
  <si>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</si>
  <si>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</si>
  <si>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</si>
  <si>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</si>
  <si>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</si>
  <si>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</si>
  <si>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</si>
  <si>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</si>
  <si>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</si>
  <si>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</si>
  <si>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</si>
  <si>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</si>
  <si>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</si>
  <si>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</si>
  <si>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</si>
  <si>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</si>
  <si>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</si>
  <si>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</si>
  <si>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</si>
  <si>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</si>
  <si>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</si>
  <si>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</si>
  <si>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</si>
  <si>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</si>
  <si>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</si>
  <si>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</si>
  <si>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</si>
  <si>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</si>
  <si>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</si>
  <si>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</si>
  <si>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</si>
  <si>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</si>
  <si>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</si>
  <si>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</si>
  <si>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</si>
  <si>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</si>
  <si>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</si>
  <si>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</si>
  <si>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</si>
  <si>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</si>
  <si>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</si>
  <si>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</si>
  <si>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</si>
  <si>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</si>
  <si>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</si>
  <si>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</si>
  <si>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</si>
  <si>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</si>
  <si>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</si>
  <si>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</si>
  <si>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</si>
  <si>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</si>
  <si>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</si>
  <si>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</si>
  <si>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</si>
  <si>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</si>
  <si>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</si>
  <si>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</si>
  <si>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</si>
  <si>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</si>
  <si>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</si>
  <si>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</si>
  <si>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</si>
  <si>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</si>
  <si>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</si>
  <si>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</si>
  <si>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</si>
  <si>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</si>
  <si>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</si>
  <si>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</si>
  <si>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</si>
  <si>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</si>
  <si>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</si>
  <si>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</si>
  <si>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</si>
  <si>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</si>
  <si>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</si>
  <si>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</si>
  <si>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</si>
  <si>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</si>
  <si>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</si>
  <si>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</si>
  <si>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</si>
  <si>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</si>
  <si>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</si>
  <si>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</si>
  <si>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</si>
  <si>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</si>
  <si>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</si>
  <si>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</si>
  <si>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</si>
  <si>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</si>
  <si>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</si>
  <si>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</si>
  <si>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</si>
  <si>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</si>
  <si>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</si>
  <si>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</si>
  <si>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</si>
  <si>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</si>
  <si>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</si>
  <si>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</si>
  <si>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</si>
  <si>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</si>
  <si>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</si>
  <si>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</si>
  <si>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</si>
  <si>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</si>
  <si>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</si>
  <si>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</si>
  <si>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</si>
  <si>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</si>
  <si>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</si>
  <si>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</si>
  <si>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</si>
  <si>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</si>
  <si>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</si>
  <si>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</si>
  <si>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</si>
  <si>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</si>
  <si>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</si>
  <si>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</si>
  <si>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</si>
  <si>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</si>
  <si>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</si>
  <si>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</si>
  <si>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</si>
  <si>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</si>
  <si>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</si>
  <si>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</si>
  <si>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</si>
  <si>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</si>
  <si>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</si>
  <si>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</si>
  <si>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</si>
  <si>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</si>
  <si>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</si>
  <si>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</si>
  <si>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</si>
  <si>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</si>
  <si>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</si>
  <si>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</si>
  <si>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</si>
  <si>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</si>
  <si>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</si>
  <si>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</si>
  <si>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</si>
  <si>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</si>
  <si>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</si>
  <si>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</si>
  <si>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</si>
  <si>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</si>
  <si>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</si>
  <si>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</si>
  <si>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</si>
  <si>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</si>
  <si>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</si>
  <si>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</si>
  <si>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</si>
  <si>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</si>
  <si>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</si>
  <si>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</si>
  <si>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</si>
  <si>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</si>
  <si>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</si>
  <si>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</si>
  <si>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</si>
  <si>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</si>
  <si>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</si>
  <si>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</si>
  <si>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</si>
  <si>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</si>
  <si>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</si>
  <si>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</si>
  <si>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</si>
  <si>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</si>
  <si>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</si>
  <si>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</si>
  <si>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</si>
  <si>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</si>
  <si>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</si>
  <si>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</si>
  <si>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</si>
  <si>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</si>
  <si>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</si>
  <si>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</si>
  <si>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</si>
  <si>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</si>
  <si>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</si>
  <si>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</si>
  <si>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</si>
  <si>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</si>
  <si>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</si>
  <si>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</si>
  <si>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</si>
  <si>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</si>
  <si>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</si>
  <si>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</si>
  <si>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</si>
  <si>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</si>
  <si>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</si>
  <si>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</si>
  <si>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</si>
  <si>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</si>
  <si>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</si>
  <si>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</si>
  <si>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</si>
  <si>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</si>
  <si>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</si>
  <si>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</si>
  <si>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</si>
  <si>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</si>
  <si>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</si>
  <si>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</si>
  <si>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</si>
  <si>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</si>
  <si>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</si>
  <si>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</si>
  <si>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</si>
  <si>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</si>
  <si>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</si>
  <si>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</si>
  <si>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</si>
  <si>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</si>
  <si>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</si>
  <si>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</si>
  <si>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</si>
  <si>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</si>
  <si>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</si>
  <si>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</si>
  <si>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</si>
  <si>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</si>
  <si>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</si>
  <si>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</si>
  <si>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</si>
  <si>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</si>
  <si>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</si>
  <si>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</si>
  <si>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</si>
  <si>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</si>
  <si>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</si>
  <si>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</si>
  <si>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</si>
  <si>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</si>
  <si>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</si>
  <si>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</si>
  <si>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</si>
  <si>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</si>
  <si>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</si>
  <si>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</si>
  <si>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</si>
  <si>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</si>
  <si>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</si>
  <si>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</si>
  <si>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</si>
  <si>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</si>
  <si>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</si>
  <si>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</si>
  <si>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</si>
  <si>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</si>
  <si>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</si>
  <si>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</si>
  <si>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</si>
  <si>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</si>
  <si>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</si>
  <si>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</si>
  <si>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</si>
  <si>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</si>
  <si>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</si>
  <si>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</si>
  <si>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</si>
  <si>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</si>
  <si>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</si>
  <si>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</si>
  <si>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</si>
  <si>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</si>
  <si>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</si>
  <si>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</si>
  <si>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</si>
  <si>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</si>
  <si>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</si>
  <si>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</si>
  <si>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</si>
  <si>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</si>
  <si>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</si>
  <si>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</si>
  <si>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</si>
  <si>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</si>
  <si>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</si>
  <si>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</si>
  <si>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</si>
  <si>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</si>
  <si>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</si>
  <si>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</si>
  <si>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</si>
  <si>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</si>
  <si>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</si>
  <si>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</si>
  <si>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</si>
  <si>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</si>
  <si>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</si>
  <si>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</si>
  <si>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</si>
  <si>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</si>
  <si>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</si>
  <si>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</si>
  <si>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</si>
  <si>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</si>
  <si>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</si>
  <si>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</si>
  <si>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</si>
  <si>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</si>
  <si>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</si>
  <si>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</si>
  <si>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</si>
  <si>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</si>
  <si>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</si>
  <si>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</si>
  <si>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</si>
  <si>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</si>
  <si>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</si>
  <si>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</si>
  <si>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</si>
  <si>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</si>
  <si>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</si>
  <si>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</si>
  <si>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</si>
  <si>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</si>
  <si>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</si>
  <si>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</si>
  <si>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</si>
  <si>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</si>
  <si>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</si>
  <si>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</si>
  <si>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</si>
  <si>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</si>
  <si>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</si>
  <si>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</si>
  <si>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</si>
  <si>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</si>
  <si>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</si>
  <si>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</si>
  <si>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</si>
  <si>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</si>
  <si>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</si>
  <si>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</si>
  <si>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</si>
  <si>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</si>
  <si>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</si>
  <si>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</si>
  <si>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</si>
  <si>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</si>
  <si>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</si>
  <si>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</si>
  <si>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</si>
  <si>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</si>
  <si>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</si>
  <si>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</si>
  <si>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</si>
  <si>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</si>
  <si>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</si>
  <si>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</si>
  <si>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</si>
  <si>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</si>
  <si>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</si>
  <si>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</si>
  <si>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</si>
  <si>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</si>
  <si>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</si>
  <si>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</si>
  <si>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</si>
  <si>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</si>
  <si>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</si>
  <si>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</si>
  <si>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</si>
  <si>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</si>
  <si>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</si>
  <si>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</si>
  <si>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</si>
  <si>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</si>
  <si>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</si>
  <si>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</si>
  <si>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</si>
  <si>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</si>
  <si>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</si>
  <si>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</si>
  <si>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</si>
  <si>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</si>
  <si>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</si>
  <si>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</si>
  <si>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</si>
  <si>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</si>
  <si>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</si>
  <si>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</si>
  <si>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</si>
  <si>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</si>
  <si>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</si>
  <si>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</si>
  <si>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</si>
  <si>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</si>
  <si>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</si>
  <si>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</si>
  <si>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</si>
  <si>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</si>
  <si>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</si>
  <si>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</si>
  <si>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</si>
  <si>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</si>
  <si>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</si>
  <si>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</si>
  <si>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</si>
  <si>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</si>
  <si>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</si>
  <si>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</si>
  <si>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</si>
  <si>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</si>
  <si>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</si>
  <si>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</si>
  <si>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</si>
  <si>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</si>
  <si>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</si>
  <si>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</si>
  <si>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</si>
  <si>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</si>
  <si>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</si>
  <si>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</si>
  <si>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</si>
  <si>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</si>
  <si>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</si>
  <si>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</si>
  <si>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</si>
  <si>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</si>
  <si>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</si>
  <si>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</si>
  <si>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</si>
  <si>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</si>
  <si>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</si>
  <si>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</si>
  <si>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</si>
  <si>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</si>
  <si>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</si>
  <si>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</si>
  <si>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</si>
  <si>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</si>
  <si>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</si>
  <si>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</si>
  <si>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</si>
  <si>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</si>
  <si>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</si>
  <si>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</si>
  <si>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</si>
  <si>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</si>
  <si>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</si>
  <si>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</si>
  <si>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</si>
  <si>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</si>
  <si>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</si>
  <si>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</si>
  <si>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</si>
  <si>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</si>
  <si>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</si>
  <si>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</si>
  <si>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</si>
  <si>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</si>
  <si>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</si>
  <si>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</si>
  <si>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</si>
  <si>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</si>
  <si>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</si>
  <si>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</si>
  <si>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</si>
  <si>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</si>
  <si>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</si>
  <si>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</si>
  <si>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</si>
  <si>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</si>
  <si>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</si>
  <si>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</si>
  <si>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</si>
  <si>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</si>
  <si>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</si>
  <si>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</si>
  <si>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</si>
  <si>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</si>
  <si>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</si>
  <si>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</si>
  <si>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</si>
  <si>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</si>
  <si>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</si>
  <si>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</si>
  <si>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</si>
  <si>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</si>
  <si>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</si>
  <si>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</si>
  <si>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</si>
  <si>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</si>
  <si>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</si>
  <si>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</si>
  <si>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</si>
  <si>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</si>
  <si>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</si>
  <si>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</si>
  <si>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</si>
  <si>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</si>
  <si>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</si>
  <si>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</si>
  <si>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</si>
  <si>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</si>
  <si>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</si>
  <si>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</si>
  <si>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</si>
  <si>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</si>
  <si>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</si>
  <si>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</si>
  <si>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</si>
  <si>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</si>
  <si>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</si>
  <si>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</si>
  <si>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</si>
  <si>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</si>
  <si>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</si>
  <si>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</si>
  <si>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</si>
  <si>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</si>
  <si>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</si>
  <si>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</si>
  <si>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</si>
  <si>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</si>
  <si>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</si>
  <si>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</si>
  <si>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</si>
  <si>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</si>
  <si>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</si>
  <si>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</si>
  <si>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</si>
  <si>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</si>
  <si>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</si>
  <si>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</si>
  <si>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</si>
  <si>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</si>
  <si>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</si>
  <si>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</si>
  <si>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</si>
  <si>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</si>
  <si>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</si>
  <si>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</si>
  <si>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</si>
  <si>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</si>
  <si>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</si>
  <si>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</si>
  <si>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</si>
  <si>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</si>
  <si>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</si>
  <si>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</si>
  <si>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</si>
  <si>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</si>
  <si>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</si>
  <si>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</si>
  <si>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</si>
  <si>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</si>
  <si>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</si>
  <si>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</si>
  <si>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</si>
  <si>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</si>
  <si>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</si>
  <si>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</si>
  <si>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</si>
  <si>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</si>
  <si>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</si>
  <si>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</si>
  <si>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</si>
  <si>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</si>
  <si>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</si>
  <si>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</si>
  <si>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</si>
  <si>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</si>
  <si>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</si>
  <si>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</si>
  <si>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</si>
  <si>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</si>
  <si>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</si>
  <si>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</si>
  <si>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</si>
  <si>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</si>
  <si>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</si>
  <si>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</si>
  <si>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</si>
  <si>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</si>
  <si>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</si>
  <si>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</si>
  <si>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</si>
  <si>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</si>
  <si>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</si>
  <si>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</si>
  <si>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</si>
  <si>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</si>
  <si>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</si>
  <si>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</si>
  <si>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</si>
  <si>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</si>
  <si>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</si>
  <si>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</si>
  <si>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</si>
  <si>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</si>
  <si>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</si>
  <si>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</si>
  <si>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</si>
  <si>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</si>
  <si>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</si>
  <si>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</si>
  <si>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</si>
  <si>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</si>
  <si>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</si>
  <si>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</si>
  <si>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</si>
  <si>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</si>
  <si>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</si>
  <si>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</si>
  <si>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</si>
  <si>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</si>
  <si>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</si>
  <si>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</si>
  <si>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</si>
  <si>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</si>
  <si>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</si>
  <si>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</si>
  <si>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</si>
  <si>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</si>
  <si>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</si>
  <si>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</si>
  <si>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</si>
  <si>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</si>
  <si>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</si>
  <si>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</si>
  <si>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</si>
  <si>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</si>
  <si>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</si>
  <si>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</si>
  <si>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</si>
  <si>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</si>
  <si>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</si>
  <si>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</si>
  <si>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</si>
  <si>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</si>
  <si>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</si>
  <si>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</si>
  <si>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</si>
  <si>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</si>
  <si>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</si>
  <si>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</si>
  <si>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</si>
  <si>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</si>
  <si>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</si>
  <si>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</si>
  <si>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</si>
  <si>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</si>
  <si>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</si>
  <si>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</si>
  <si>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</si>
  <si>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</si>
  <si>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</si>
  <si>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</si>
  <si>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</si>
  <si>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</si>
  <si>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</si>
  <si>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</si>
  <si>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</si>
  <si>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</si>
  <si>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</si>
  <si>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</si>
  <si>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</si>
  <si>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</si>
  <si>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</si>
  <si>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</si>
  <si>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</si>
  <si>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</si>
  <si>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</si>
  <si>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</si>
  <si>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</si>
  <si>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</si>
  <si>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</si>
  <si>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</si>
  <si>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</si>
  <si>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</si>
  <si>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</si>
  <si>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</si>
  <si>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</si>
  <si>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</si>
  <si>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</si>
  <si>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</si>
  <si>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</si>
  <si>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</si>
  <si>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</si>
  <si>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</si>
  <si>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</si>
  <si>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</si>
  <si>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</si>
  <si>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</si>
  <si>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</si>
  <si>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</si>
  <si>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</si>
  <si>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</si>
  <si>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</si>
  <si>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</si>
  <si>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</si>
  <si>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</si>
  <si>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</si>
  <si>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</si>
  <si>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</si>
  <si>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</si>
  <si>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</si>
  <si>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</si>
  <si>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</si>
  <si>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</si>
  <si>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</si>
  <si>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</si>
  <si>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</si>
  <si>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</si>
  <si>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</si>
  <si>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</si>
  <si>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</si>
  <si>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</si>
  <si>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</si>
  <si>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</si>
  <si>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</si>
  <si>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</si>
  <si>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</si>
  <si>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</si>
  <si>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</si>
  <si>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</si>
  <si>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</si>
  <si>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</si>
  <si>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</si>
  <si>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</si>
  <si>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</si>
  <si>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</si>
  <si>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</si>
  <si>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</si>
  <si>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</si>
  <si>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</si>
  <si>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</si>
  <si>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</si>
  <si>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</si>
  <si>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</si>
  <si>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</si>
  <si>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</si>
  <si>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</si>
  <si>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</si>
  <si>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</si>
  <si>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</si>
  <si>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</si>
  <si>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</si>
  <si>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</si>
  <si>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</si>
  <si>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</si>
  <si>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</si>
  <si>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</si>
  <si>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</si>
  <si>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</si>
  <si>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</si>
  <si>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</si>
  <si>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</si>
  <si>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</si>
  <si>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</si>
  <si>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</si>
  <si>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</si>
  <si>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</si>
  <si>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</si>
  <si>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</si>
  <si>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</si>
  <si>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</si>
  <si>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</si>
  <si>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</si>
  <si>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</si>
  <si>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</si>
  <si>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</si>
  <si>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</si>
  <si>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</si>
  <si>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</si>
  <si>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</si>
  <si>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</si>
  <si>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</si>
  <si>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</si>
  <si>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</si>
  <si>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</si>
  <si>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</si>
  <si>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</si>
  <si>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</si>
  <si>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</si>
  <si>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</si>
  <si>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</si>
  <si>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</si>
  <si>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</si>
  <si>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</si>
  <si>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</si>
  <si>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</si>
  <si>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</si>
  <si>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</si>
  <si>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</si>
  <si>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</si>
  <si>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</si>
  <si>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</si>
  <si>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</si>
  <si>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</si>
  <si>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</si>
  <si>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</si>
  <si>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</si>
  <si>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</si>
  <si>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</si>
  <si>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</si>
  <si>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</si>
  <si>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</si>
  <si>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</si>
  <si>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</si>
  <si>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</si>
  <si>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</si>
  <si>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</si>
  <si>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</si>
  <si>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</si>
  <si>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</si>
  <si>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</si>
  <si>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</si>
  <si>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</si>
  <si>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</si>
  <si>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</si>
  <si>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</si>
  <si>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</si>
  <si>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</si>
  <si>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</si>
  <si>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</si>
  <si>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</si>
  <si>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</si>
  <si>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</si>
  <si>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</si>
  <si>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</si>
  <si>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</si>
  <si>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</si>
  <si>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</si>
  <si>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</si>
  <si>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</si>
  <si>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</si>
  <si>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</si>
  <si>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</si>
  <si>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</si>
  <si>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</si>
  <si>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</si>
  <si>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</si>
  <si>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</si>
  <si>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</si>
  <si>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</si>
  <si>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</si>
  <si>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</si>
  <si>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</si>
  <si>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</si>
  <si>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</si>
  <si>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</si>
  <si>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</si>
  <si>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</si>
  <si>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</si>
  <si>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</si>
  <si>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</si>
  <si>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</si>
  <si>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</si>
  <si>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</si>
  <si>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</si>
  <si>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</si>
  <si>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</si>
  <si>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</si>
  <si>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</si>
  <si>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</si>
  <si>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</si>
  <si>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</si>
  <si>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</si>
  <si>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</si>
  <si>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</si>
  <si>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</si>
  <si>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</si>
  <si>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</si>
  <si>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</si>
  <si>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</si>
  <si>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</si>
  <si>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</si>
  <si>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</si>
  <si>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</si>
  <si>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</si>
  <si>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</si>
  <si>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</si>
  <si>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</si>
  <si>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</si>
  <si>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</si>
  <si>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</si>
  <si>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</si>
  <si>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</si>
  <si>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</si>
  <si>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</si>
  <si>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</si>
  <si>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</si>
  <si>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</si>
  <si>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</si>
  <si>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</si>
  <si>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</si>
  <si>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</si>
  <si>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</si>
  <si>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</si>
  <si>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</si>
  <si>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</si>
  <si>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</si>
  <si>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</si>
  <si>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</si>
  <si>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</si>
  <si>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</si>
  <si>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</si>
  <si>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</si>
  <si>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</si>
  <si>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</si>
  <si>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</si>
  <si>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</si>
  <si>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</si>
  <si>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</si>
  <si>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</si>
  <si>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</si>
  <si>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</si>
  <si>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</si>
  <si>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</si>
  <si>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</si>
  <si>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</si>
  <si>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</si>
  <si>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</si>
  <si>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</si>
  <si>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</si>
  <si>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</si>
  <si>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</si>
  <si>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</si>
  <si>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</si>
  <si>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</si>
  <si>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</si>
  <si>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</si>
  <si>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</si>
  <si>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</si>
  <si>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</si>
  <si>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</si>
  <si>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</si>
  <si>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</si>
  <si>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</si>
  <si>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</si>
  <si>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</si>
  <si>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</si>
  <si>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</si>
  <si>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</si>
  <si>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</si>
  <si>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</si>
  <si>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</si>
  <si>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</si>
  <si>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</si>
  <si>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</si>
  <si>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</si>
  <si>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</si>
  <si>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</si>
  <si>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</si>
  <si>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</si>
  <si>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</si>
  <si>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</si>
  <si>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</si>
  <si>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</si>
  <si>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</si>
  <si>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</si>
  <si>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</si>
  <si>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</si>
  <si>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</si>
  <si>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</si>
  <si>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</si>
  <si>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</si>
  <si>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</si>
  <si>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</si>
  <si>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</si>
  <si>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</si>
  <si>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</si>
  <si>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</si>
  <si>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</si>
  <si>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</si>
  <si>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</si>
  <si>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</si>
  <si>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</si>
  <si>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</si>
  <si>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</si>
  <si>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</si>
  <si>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</si>
  <si>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</si>
  <si>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</si>
  <si>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</si>
  <si>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</si>
  <si>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</si>
  <si>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</si>
  <si>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</si>
  <si>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</si>
  <si>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</si>
  <si>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</si>
  <si>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</si>
  <si>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</si>
  <si>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</si>
  <si>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</si>
  <si>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</si>
  <si>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</si>
  <si>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</si>
  <si>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</si>
  <si>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</si>
  <si>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</si>
  <si>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</si>
  <si>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</si>
  <si>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</si>
  <si>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</si>
  <si>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</si>
  <si>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</si>
  <si>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</si>
  <si>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</si>
  <si>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</si>
  <si>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</si>
  <si>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</si>
  <si>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</si>
  <si>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</si>
  <si>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</si>
  <si>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</si>
  <si>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</si>
  <si>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</si>
  <si>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</si>
  <si>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</si>
  <si>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</si>
  <si>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</si>
  <si>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</si>
  <si>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</si>
  <si>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</si>
  <si>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</si>
  <si>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</si>
  <si>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</si>
  <si>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</si>
  <si>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</si>
  <si>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</si>
  <si>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</si>
  <si>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</si>
  <si>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</si>
  <si>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</si>
  <si>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</si>
  <si>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</si>
  <si>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</si>
  <si>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</si>
  <si>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</si>
  <si>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</si>
  <si>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</si>
  <si>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</si>
  <si>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</si>
  <si>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</si>
  <si>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</si>
  <si>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</si>
  <si>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</si>
  <si>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</si>
  <si>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</si>
  <si>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</si>
  <si>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</si>
  <si>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</si>
  <si>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</si>
  <si>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</si>
  <si>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</si>
  <si>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</si>
  <si>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</si>
  <si>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</si>
  <si>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</si>
  <si>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</si>
  <si>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</si>
  <si>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</si>
  <si>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</si>
  <si>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</si>
  <si>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</si>
  <si>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</si>
  <si>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</si>
  <si>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</si>
  <si>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</si>
  <si>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</si>
  <si>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</si>
  <si>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</si>
  <si>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</si>
  <si>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</si>
  <si>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</si>
  <si>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</si>
  <si>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</si>
  <si>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</si>
  <si>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</si>
  <si>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</si>
  <si>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</si>
  <si>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</si>
  <si>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</si>
  <si>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</si>
  <si>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</si>
  <si>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</si>
  <si>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</si>
  <si>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</si>
  <si>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</si>
  <si>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</si>
  <si>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</si>
  <si>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</si>
  <si>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</si>
  <si>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</si>
  <si>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</si>
  <si>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</si>
  <si>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</si>
  <si>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</si>
  <si>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</si>
  <si>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</si>
  <si>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</si>
  <si>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</si>
  <si>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</si>
  <si>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</si>
  <si>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</si>
  <si>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</si>
  <si>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</si>
  <si>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</si>
  <si>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</si>
  <si>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</si>
  <si>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</si>
  <si>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</si>
  <si>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</si>
  <si>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</si>
  <si>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</si>
  <si>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</si>
  <si>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</si>
  <si>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</si>
  <si>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</si>
  <si>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</si>
  <si>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</si>
  <si>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</si>
  <si>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</si>
  <si>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</si>
  <si>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</si>
  <si>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</si>
  <si>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</si>
  <si>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</si>
  <si>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</si>
  <si>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</si>
  <si>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</si>
  <si>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</si>
  <si>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</si>
  <si>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</si>
  <si>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</si>
  <si>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</si>
  <si>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</si>
  <si>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</si>
  <si>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</si>
  <si>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</si>
  <si>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</si>
  <si>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</si>
  <si>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</si>
  <si>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</si>
  <si>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</si>
  <si>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</si>
  <si>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</si>
  <si>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</si>
  <si>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</si>
  <si>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</si>
  <si>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</si>
  <si>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</si>
  <si>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</si>
  <si>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</si>
  <si>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</si>
  <si>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</si>
  <si>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</si>
  <si>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</si>
  <si>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</si>
  <si>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</si>
  <si>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</si>
  <si>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</si>
  <si>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</si>
  <si>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</si>
  <si>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</si>
  <si>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</si>
  <si>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</si>
  <si>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</si>
  <si>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</si>
  <si>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</si>
  <si>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</si>
  <si>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</si>
  <si>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</si>
  <si>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</si>
  <si>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</si>
  <si>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</si>
  <si>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</si>
  <si>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</si>
  <si>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</si>
  <si>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</si>
  <si>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</si>
  <si>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</si>
  <si>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</si>
  <si>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</si>
  <si>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</si>
  <si>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</si>
  <si>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</si>
  <si>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</si>
  <si>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</si>
  <si>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</si>
  <si>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</si>
  <si>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</si>
  <si>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</si>
  <si>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</si>
  <si>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</si>
  <si>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</si>
  <si>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</si>
  <si>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</si>
  <si>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</si>
  <si>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</si>
  <si>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</si>
  <si>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</si>
  <si>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</si>
  <si>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</si>
  <si>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</si>
  <si>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</si>
  <si>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</si>
  <si>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</si>
  <si>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</si>
  <si>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</si>
  <si>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</si>
  <si>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</si>
  <si>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</si>
  <si>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</si>
  <si>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</si>
  <si>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</si>
  <si>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</si>
  <si>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</si>
  <si>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</si>
  <si>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</si>
  <si>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</si>
  <si>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</si>
  <si>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</si>
  <si>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</si>
  <si>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</si>
  <si>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</si>
  <si>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</si>
  <si>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</si>
  <si>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</si>
  <si>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</si>
  <si>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</si>
  <si>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</si>
  <si>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</si>
  <si>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</si>
  <si>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</si>
  <si>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</si>
  <si>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</si>
  <si>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</si>
  <si>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</si>
  <si>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</si>
  <si>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</si>
  <si>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</si>
  <si>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</si>
  <si>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</si>
  <si>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</si>
  <si>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</si>
  <si>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</si>
  <si>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</si>
  <si>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</si>
  <si>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</si>
  <si>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</si>
  <si>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</si>
  <si>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</si>
  <si>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</si>
  <si>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</si>
  <si>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</si>
  <si>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</si>
  <si>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</si>
  <si>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</si>
  <si>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</si>
  <si>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</si>
  <si>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</si>
  <si>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</si>
  <si>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</si>
  <si>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</si>
  <si>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</si>
  <si>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</si>
  <si>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</si>
  <si>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</si>
  <si>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</si>
  <si>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</si>
  <si>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</si>
  <si>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</si>
  <si>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</si>
  <si>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</si>
  <si>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</si>
  <si>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</si>
  <si>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</si>
  <si>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</si>
  <si>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</si>
  <si>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</si>
  <si>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</si>
  <si>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</si>
  <si>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</si>
  <si>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</si>
  <si>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</si>
  <si>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</si>
  <si>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</si>
  <si>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</si>
  <si>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</si>
  <si>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</si>
  <si>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</si>
  <si>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</si>
  <si>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</si>
  <si>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</si>
  <si>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</si>
  <si>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</si>
  <si>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</si>
  <si>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</si>
  <si>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</si>
  <si>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</si>
  <si>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</si>
  <si>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</si>
  <si>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</si>
  <si>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</si>
  <si>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</si>
  <si>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</si>
  <si>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</si>
  <si>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</si>
  <si>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</si>
  <si>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</si>
  <si>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</si>
  <si>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</si>
  <si>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</si>
  <si>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</si>
  <si>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</si>
  <si>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</si>
  <si>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</si>
  <si>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</si>
  <si>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</si>
  <si>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</si>
  <si>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</si>
  <si>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</si>
  <si>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</si>
  <si>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</si>
  <si>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</si>
  <si>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</si>
  <si>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</si>
  <si>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</si>
  <si>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</si>
  <si>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</si>
  <si>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</si>
  <si>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</si>
  <si>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</si>
  <si>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</si>
  <si>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</si>
  <si>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</si>
  <si>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</si>
  <si>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</si>
  <si>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</si>
  <si>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</si>
  <si>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</si>
  <si>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</si>
  <si>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</si>
  <si>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</si>
  <si>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</si>
  <si>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</si>
  <si>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</si>
  <si>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</si>
  <si>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</si>
  <si>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</si>
  <si>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</si>
  <si>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</si>
  <si>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</si>
  <si>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</si>
  <si>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</si>
  <si>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</si>
  <si>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</si>
  <si>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</si>
  <si>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</si>
  <si>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</si>
  <si>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</si>
  <si>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</si>
  <si>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</si>
  <si>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</si>
  <si>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</si>
  <si>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</si>
  <si>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</si>
  <si>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</si>
  <si>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</si>
  <si>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</si>
  <si>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</si>
  <si>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</si>
  <si>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</si>
  <si>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</si>
  <si>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</si>
  <si>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</si>
  <si>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</si>
  <si>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</si>
  <si>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</si>
  <si>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</si>
  <si>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</si>
  <si>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</si>
  <si>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</si>
  <si>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</si>
  <si>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</si>
  <si>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</si>
  <si>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</si>
  <si>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</si>
  <si>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</si>
  <si>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</si>
  <si>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</si>
  <si>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</si>
  <si>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</si>
  <si>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</si>
  <si>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</si>
  <si>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</si>
  <si>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</si>
  <si>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</si>
  <si>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</si>
  <si>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</si>
  <si>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</si>
  <si>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</si>
  <si>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</si>
  <si>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</si>
  <si>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</si>
  <si>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</si>
  <si>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</si>
  <si>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</si>
  <si>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</si>
  <si>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</si>
  <si>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</si>
  <si>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</si>
  <si>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</si>
  <si>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</si>
  <si>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</si>
  <si>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</si>
  <si>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</si>
  <si>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</si>
  <si>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</si>
  <si>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</si>
  <si>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</si>
  <si>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</si>
  <si>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</si>
  <si>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</si>
  <si>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</si>
  <si>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</si>
  <si>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</si>
  <si>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</si>
  <si>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</si>
  <si>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</si>
  <si>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</si>
  <si>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</si>
  <si>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</si>
  <si>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</si>
  <si>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</si>
  <si>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</si>
  <si>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</si>
  <si>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</si>
  <si>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</si>
  <si>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</si>
  <si>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</si>
  <si>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</si>
  <si>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</si>
  <si>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</si>
  <si>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</si>
  <si>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</si>
  <si>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</si>
  <si>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</si>
  <si>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</si>
  <si>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</si>
  <si>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</si>
  <si>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</si>
  <si>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</si>
  <si>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</si>
  <si>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</si>
  <si>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</si>
  <si>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</si>
  <si>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</si>
  <si>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</si>
  <si>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</si>
  <si>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</si>
  <si>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</si>
  <si>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</si>
  <si>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</si>
  <si>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</si>
  <si>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</si>
  <si>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</si>
  <si>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</si>
  <si>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</si>
  <si>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</si>
  <si>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</si>
  <si>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</si>
  <si>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</si>
  <si>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</si>
  <si>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</si>
  <si>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</si>
  <si>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</si>
  <si>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</si>
  <si>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</si>
  <si>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</si>
  <si>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</si>
  <si>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</si>
  <si>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</si>
  <si>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</si>
  <si>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</si>
  <si>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</si>
  <si>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</si>
  <si>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</si>
  <si>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</si>
  <si>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</si>
  <si>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</si>
  <si>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</si>
  <si>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</si>
  <si>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</si>
  <si>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</si>
  <si>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</si>
  <si>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</si>
  <si>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</si>
  <si>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</si>
  <si>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</si>
  <si>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</si>
  <si>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</si>
  <si>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</si>
  <si>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</si>
  <si>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</si>
  <si>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</si>
  <si>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</si>
  <si>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</si>
  <si>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</si>
  <si>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</si>
  <si>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</si>
  <si>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</si>
  <si>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</si>
  <si>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</si>
  <si>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</si>
  <si>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</si>
  <si>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</si>
  <si>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</si>
  <si>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</si>
  <si>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</si>
  <si>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</si>
  <si>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</si>
  <si>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</si>
  <si>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</si>
  <si>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</si>
  <si>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</si>
  <si>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</si>
  <si>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</si>
  <si>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</si>
  <si>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</si>
  <si>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</si>
  <si>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</si>
  <si>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</si>
  <si>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</si>
  <si>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</si>
  <si>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</si>
  <si>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</si>
  <si>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</si>
  <si>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</si>
  <si>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</si>
  <si>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</si>
  <si>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</si>
  <si>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</si>
  <si>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</si>
  <si>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</si>
  <si>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</si>
  <si>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</si>
  <si>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</si>
  <si>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</si>
  <si>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</si>
  <si>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</si>
  <si>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</si>
  <si>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</si>
  <si>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</si>
  <si>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</si>
  <si>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</si>
  <si>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</si>
  <si>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</si>
  <si>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</si>
  <si>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</si>
  <si>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</si>
  <si>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</si>
  <si>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</si>
  <si>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</si>
  <si>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</si>
  <si>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</si>
  <si>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</si>
  <si>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</si>
  <si>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</si>
  <si>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</si>
  <si>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</si>
  <si>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</si>
  <si>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</si>
  <si>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</si>
  <si>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</si>
  <si>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</si>
  <si>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</si>
  <si>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</si>
  <si>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</si>
  <si>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</si>
  <si>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</si>
  <si>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</si>
  <si>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</si>
  <si>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</si>
  <si>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</si>
  <si>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</si>
  <si>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</si>
  <si>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</si>
  <si>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</si>
  <si>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</si>
  <si>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</si>
  <si>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</si>
  <si>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</si>
  <si>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</si>
  <si>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</si>
  <si>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</si>
  <si>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</si>
  <si>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</si>
  <si>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</si>
  <si>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</si>
  <si>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</si>
  <si>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</si>
  <si>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</si>
  <si>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</si>
  <si>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</si>
  <si>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</si>
  <si>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</si>
  <si>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</si>
  <si>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</si>
  <si>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</si>
  <si>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</si>
  <si>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</si>
  <si>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</si>
  <si>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</si>
  <si>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</si>
  <si>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</si>
  <si>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</si>
  <si>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</si>
  <si>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</si>
  <si>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</si>
  <si>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</si>
  <si>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</si>
  <si>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</si>
  <si>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</si>
  <si>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</si>
  <si>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</si>
  <si>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</si>
  <si>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</si>
  <si>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</si>
  <si>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</si>
  <si>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</si>
  <si>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</si>
  <si>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</si>
  <si>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</si>
  <si>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</si>
  <si>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</si>
  <si>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</si>
  <si>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</si>
  <si>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</si>
  <si>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</si>
  <si>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</si>
  <si>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</si>
  <si>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</si>
  <si>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</si>
  <si>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</si>
  <si>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</si>
  <si>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</si>
  <si>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</si>
  <si>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</si>
  <si>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</si>
  <si>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</si>
  <si>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</si>
  <si>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</si>
  <si>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</si>
  <si>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</si>
  <si>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</si>
  <si>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</si>
  <si>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</si>
  <si>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</si>
  <si>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</si>
  <si>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</si>
  <si>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</si>
  <si>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</si>
  <si>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</si>
  <si>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</si>
  <si>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</si>
  <si>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</si>
  <si>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</si>
  <si>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</si>
  <si>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</si>
  <si>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</si>
  <si>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</si>
  <si>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</si>
  <si>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</si>
  <si>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</si>
  <si>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</si>
  <si>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</si>
  <si>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</si>
  <si>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</si>
  <si>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</si>
  <si>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</si>
  <si>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</si>
  <si>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</si>
  <si>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</si>
  <si>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</si>
  <si>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</si>
  <si>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</si>
  <si>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</si>
  <si>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</si>
  <si>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</si>
  <si>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</si>
  <si>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</si>
  <si>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</si>
  <si>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</si>
  <si>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</si>
  <si>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</si>
  <si>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</si>
  <si>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</si>
  <si>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</si>
  <si>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</si>
  <si>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</si>
  <si>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</si>
  <si>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</si>
  <si>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</si>
  <si>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</si>
  <si>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</si>
  <si>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</si>
  <si>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</si>
  <si>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</si>
  <si>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</si>
  <si>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</si>
  <si>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</si>
  <si>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</si>
  <si>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</si>
  <si>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</si>
  <si>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</si>
  <si>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</si>
  <si>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</si>
  <si>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</si>
  <si>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</si>
  <si>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</si>
  <si>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</si>
  <si>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</si>
  <si>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</si>
  <si>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</si>
  <si>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</si>
  <si>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</si>
  <si>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</si>
  <si>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</si>
  <si>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</si>
  <si>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</si>
  <si>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</si>
  <si>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</si>
  <si>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</si>
  <si>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</si>
  <si>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</si>
  <si>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</si>
  <si>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</si>
  <si>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</si>
  <si>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</si>
  <si>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</si>
  <si>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</si>
  <si>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</si>
  <si>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</si>
  <si>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</si>
  <si>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</si>
  <si>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</si>
  <si>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</si>
  <si>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</si>
  <si>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</si>
  <si>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</si>
  <si>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</si>
  <si>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</si>
  <si>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</si>
  <si>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</si>
  <si>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</si>
  <si>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</si>
  <si>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</si>
  <si>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</si>
  <si>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</si>
  <si>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</si>
  <si>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</si>
  <si>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</si>
  <si>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</si>
  <si>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</si>
  <si>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</si>
  <si>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</si>
  <si>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</si>
  <si>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</si>
  <si>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</si>
  <si>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</si>
  <si>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</si>
  <si>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</si>
  <si>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</si>
  <si>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</si>
  <si>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</si>
  <si>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</si>
  <si>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</si>
  <si>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</si>
  <si>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</si>
  <si>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</si>
  <si>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</si>
  <si>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</si>
  <si>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</si>
  <si>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</si>
  <si>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</si>
  <si>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</si>
  <si>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</si>
  <si>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</si>
  <si>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</si>
  <si>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</si>
  <si>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</si>
  <si>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</si>
  <si>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</si>
  <si>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</si>
  <si>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</si>
  <si>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</si>
  <si>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</si>
  <si>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</si>
  <si>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</si>
  <si>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</si>
  <si>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</si>
  <si>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</si>
  <si>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</si>
  <si>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</si>
  <si>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</si>
  <si>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</si>
  <si>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</si>
  <si>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</si>
  <si>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</si>
  <si>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</si>
  <si>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</si>
  <si>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</si>
  <si>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</si>
  <si>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</si>
  <si>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</si>
  <si>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</si>
  <si>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</si>
  <si>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</si>
  <si>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</si>
  <si>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</si>
  <si>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</si>
  <si>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</si>
  <si>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</si>
  <si>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</si>
  <si>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</si>
  <si>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</si>
  <si>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</si>
  <si>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</si>
  <si>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</si>
  <si>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</si>
  <si>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</si>
  <si>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</si>
  <si>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</si>
  <si>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</si>
  <si>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</si>
  <si>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</si>
  <si>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</si>
  <si>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</si>
  <si>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</si>
  <si>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</si>
  <si>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</si>
  <si>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</si>
  <si>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</si>
  <si>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</si>
  <si>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</si>
  <si>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</si>
  <si>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</si>
  <si>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</si>
  <si>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</si>
  <si>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</si>
  <si>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</si>
  <si>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</si>
  <si>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</si>
  <si>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</si>
  <si>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</si>
  <si>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</si>
  <si>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</si>
  <si>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</si>
  <si>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</si>
  <si>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</si>
  <si>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</si>
  <si>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</si>
  <si>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</si>
  <si>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</si>
  <si>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</si>
  <si>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</si>
  <si>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</si>
  <si>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</si>
  <si>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</si>
  <si>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</si>
  <si>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</si>
  <si>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</si>
  <si>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</si>
  <si>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</si>
  <si>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</si>
  <si>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</si>
  <si>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</si>
  <si>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</si>
  <si>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</si>
  <si>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</si>
  <si>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</si>
  <si>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</si>
  <si>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</si>
  <si>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</si>
  <si>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</si>
  <si>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</si>
  <si>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</si>
  <si>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</si>
  <si>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</si>
  <si>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</si>
  <si>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</si>
  <si>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</si>
  <si>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</si>
  <si>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</si>
  <si>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</si>
  <si>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</si>
  <si>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</si>
  <si>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</si>
  <si>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</si>
  <si>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</si>
  <si>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</si>
  <si>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</si>
  <si>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</si>
  <si>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</si>
  <si>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</si>
  <si>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</si>
  <si>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</si>
  <si>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</si>
  <si>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</si>
  <si>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</si>
  <si>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</si>
  <si>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</si>
  <si>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</si>
  <si>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</si>
  <si>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</si>
  <si>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</si>
  <si>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</si>
  <si>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</si>
  <si>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</si>
  <si>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</si>
  <si>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</si>
  <si>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</si>
  <si>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</si>
  <si>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</si>
  <si>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</si>
  <si>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</si>
  <si>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</si>
  <si>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</si>
  <si>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</si>
  <si>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</si>
  <si>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</si>
  <si>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</si>
  <si>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</si>
  <si>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</si>
  <si>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</si>
  <si>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</si>
  <si>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</si>
  <si>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</si>
  <si>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</si>
  <si>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</si>
  <si>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</si>
  <si>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</si>
  <si>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</si>
  <si>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</si>
  <si>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</si>
  <si>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</si>
  <si>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</si>
  <si>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</si>
  <si>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</si>
  <si>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</si>
  <si>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</si>
  <si>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</si>
  <si>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</si>
  <si>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</si>
  <si>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</si>
  <si>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</si>
  <si>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</si>
  <si>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</si>
  <si>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</si>
  <si>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</si>
  <si>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</si>
  <si>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</si>
  <si>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</si>
  <si>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</si>
  <si>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</si>
  <si>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</si>
  <si>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</si>
  <si>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</si>
  <si>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</si>
  <si>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</si>
  <si>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</si>
  <si>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</si>
  <si>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</si>
  <si>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</si>
  <si>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</si>
  <si>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</si>
  <si>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</si>
  <si>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</si>
  <si>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</si>
  <si>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</si>
  <si>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</si>
  <si>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</si>
  <si>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</si>
  <si>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</si>
  <si>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</si>
  <si>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</si>
  <si>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</si>
  <si>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</si>
  <si>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</si>
  <si>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</si>
  <si>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</si>
  <si>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</si>
  <si>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</si>
  <si>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</si>
  <si>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</si>
  <si>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</si>
  <si>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</si>
  <si>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</si>
  <si>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</si>
  <si>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</si>
  <si>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</si>
  <si>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</si>
  <si>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</si>
  <si>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</si>
  <si>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</si>
  <si>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</si>
  <si>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</si>
  <si>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</si>
  <si>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</si>
  <si>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</si>
  <si>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</si>
  <si>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</si>
  <si>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</si>
  <si>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</si>
  <si>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</si>
  <si>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</si>
  <si>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</si>
  <si>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</si>
  <si>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</si>
  <si>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</si>
  <si>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</si>
  <si>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</si>
  <si>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</si>
  <si>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</si>
  <si>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</si>
  <si>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</si>
  <si>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</si>
  <si>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</si>
  <si>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</si>
  <si>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</si>
  <si>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</si>
  <si>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</si>
  <si>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</si>
  <si>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</si>
  <si>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</si>
  <si>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</si>
  <si>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</si>
  <si>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</si>
  <si>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</si>
  <si>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</si>
  <si>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</si>
  <si>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</si>
  <si>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</si>
  <si>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</si>
  <si>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</si>
  <si>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</si>
  <si>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</si>
  <si>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</si>
  <si>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</si>
  <si>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</si>
  <si>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</si>
  <si>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</si>
  <si>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</si>
  <si>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</si>
  <si>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</si>
  <si>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</si>
  <si>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</si>
  <si>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</si>
  <si>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</si>
  <si>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</si>
  <si>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</si>
  <si>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</si>
  <si>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</si>
  <si>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</si>
  <si>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</si>
  <si>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</si>
  <si>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</si>
  <si>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</si>
  <si>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</si>
  <si>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</si>
  <si>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</si>
  <si>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</si>
  <si>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</si>
  <si>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</si>
  <si>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</si>
  <si>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</si>
  <si>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</si>
  <si>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</si>
  <si>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</si>
  <si>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</si>
  <si>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</si>
  <si>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</si>
  <si>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</si>
  <si>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</si>
  <si>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</si>
  <si>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</si>
  <si>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</si>
  <si>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</si>
  <si>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</si>
  <si>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</si>
  <si>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</si>
  <si>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</si>
  <si>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</si>
  <si>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</si>
  <si>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</si>
  <si>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</si>
  <si>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</si>
  <si>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</si>
  <si>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</si>
  <si>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</si>
  <si>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</si>
  <si>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</si>
  <si>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</si>
  <si>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</si>
  <si>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</si>
  <si>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</si>
  <si>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</si>
  <si>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</si>
  <si>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</si>
  <si>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</si>
  <si>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</si>
  <si>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</si>
  <si>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</si>
  <si>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</si>
  <si>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</si>
  <si>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</si>
  <si>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</si>
  <si>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</si>
  <si>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</si>
  <si>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</si>
  <si>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</si>
  <si>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</si>
  <si>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</si>
  <si>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</si>
  <si>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</si>
  <si>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</si>
  <si>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</si>
  <si>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</si>
  <si>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</si>
  <si>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</si>
  <si>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</si>
  <si>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</si>
  <si>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</si>
  <si>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</si>
  <si>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</si>
  <si>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</si>
  <si>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</si>
  <si>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</si>
  <si>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</si>
  <si>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</si>
  <si>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</si>
  <si>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</si>
  <si>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</si>
  <si>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</si>
  <si>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</si>
  <si>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</si>
  <si>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</si>
  <si>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</si>
  <si>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</si>
  <si>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</si>
  <si>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</si>
  <si>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</si>
  <si>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</si>
  <si>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</si>
  <si>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</si>
  <si>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</si>
  <si>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</si>
  <si>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</si>
  <si>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</si>
  <si>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</si>
  <si>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</si>
  <si>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</si>
  <si>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</si>
  <si>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</si>
  <si>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</si>
  <si>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</si>
  <si>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</si>
  <si>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</si>
  <si>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</si>
  <si>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</si>
  <si>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</si>
  <si>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</si>
  <si>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</si>
  <si>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</si>
  <si>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</si>
  <si>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</si>
  <si>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</si>
  <si>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</si>
  <si>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</si>
  <si>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</si>
  <si>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</si>
  <si>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</si>
  <si>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</si>
  <si>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</si>
  <si>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</si>
  <si>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</si>
  <si>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</si>
  <si>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</si>
  <si>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</si>
  <si>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</si>
  <si>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</si>
  <si>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</si>
  <si>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</si>
  <si>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</si>
  <si>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</si>
  <si>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</si>
  <si>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</si>
  <si>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</si>
  <si>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</si>
  <si>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</si>
  <si>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</si>
  <si>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</si>
  <si>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</si>
  <si>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</si>
  <si>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</si>
  <si>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</si>
  <si>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</si>
  <si>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</si>
  <si>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</si>
  <si>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</si>
  <si>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</si>
  <si>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</si>
  <si>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</si>
  <si>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</si>
  <si>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</si>
  <si>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</si>
  <si>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</si>
  <si>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</si>
  <si>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</si>
  <si>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</si>
  <si>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</si>
  <si>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</si>
  <si>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</si>
  <si>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</si>
  <si>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</si>
  <si>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</si>
  <si>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</si>
  <si>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</si>
  <si>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</si>
  <si>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</si>
  <si>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</si>
  <si>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</si>
  <si>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</si>
  <si>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</si>
  <si>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</si>
  <si>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</si>
  <si>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</si>
  <si>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</si>
  <si>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</si>
  <si>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</si>
  <si>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</si>
  <si>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</si>
  <si>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</si>
  <si>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</si>
  <si>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</si>
  <si>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</si>
  <si>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</si>
  <si>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</si>
  <si>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</si>
  <si>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</si>
  <si>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</si>
  <si>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</si>
  <si>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</si>
  <si>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</si>
  <si>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</si>
  <si>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</si>
  <si>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</si>
  <si>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</si>
  <si>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</si>
  <si>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</si>
  <si>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</si>
  <si>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</si>
  <si>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</si>
  <si>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</si>
  <si>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</si>
  <si>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</si>
  <si>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</si>
  <si>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</si>
  <si>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</si>
  <si>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</si>
  <si>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</si>
  <si>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</si>
  <si>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</si>
  <si>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</si>
  <si>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</si>
  <si>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</si>
  <si>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</si>
  <si>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</si>
  <si>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</si>
  <si>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</si>
  <si>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</si>
  <si>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</si>
  <si>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</si>
  <si>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</si>
  <si>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</si>
  <si>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</si>
  <si>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</si>
  <si>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</si>
  <si>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</si>
  <si>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</si>
  <si>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</si>
  <si>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</si>
  <si>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</si>
  <si>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</si>
  <si>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</si>
  <si>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</si>
  <si>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</si>
  <si>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</si>
  <si>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</si>
  <si>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</si>
  <si>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</si>
  <si>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</si>
  <si>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</si>
  <si>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</si>
  <si>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</si>
  <si>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</si>
  <si>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</si>
  <si>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</si>
  <si>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</si>
  <si>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</si>
  <si>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</si>
  <si>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</si>
  <si>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</si>
  <si>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</si>
  <si>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</si>
  <si>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</si>
  <si>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</si>
  <si>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</si>
  <si>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</si>
  <si>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</si>
  <si>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</si>
  <si>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</si>
  <si>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</si>
  <si>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</si>
  <si>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</si>
  <si>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</si>
  <si>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</si>
  <si>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</si>
  <si>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</si>
  <si>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</si>
  <si>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</si>
  <si>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</si>
  <si>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</si>
  <si>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</si>
  <si>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</si>
  <si>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</si>
  <si>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</si>
  <si>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</si>
  <si>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</si>
  <si>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</si>
  <si>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</si>
  <si>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</si>
  <si>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</si>
  <si>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</si>
  <si>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</si>
  <si>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</si>
  <si>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</si>
  <si>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</si>
  <si>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</si>
  <si>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</si>
  <si>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</si>
  <si>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</si>
  <si>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</si>
  <si>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</si>
  <si>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</si>
  <si>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</si>
  <si>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</si>
  <si>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</si>
  <si>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</si>
  <si>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</si>
  <si>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</si>
  <si>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</si>
  <si>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</si>
  <si>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</si>
  <si>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</si>
  <si>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</si>
  <si>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</si>
  <si>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</si>
  <si>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</si>
  <si>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</si>
  <si>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</si>
  <si>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</si>
  <si>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</si>
  <si>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</si>
  <si>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</si>
  <si>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</si>
  <si>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</si>
  <si>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</si>
  <si>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</si>
  <si>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</si>
  <si>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</si>
  <si>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</si>
  <si>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</si>
  <si>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</si>
  <si>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</si>
  <si>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</si>
  <si>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</si>
  <si>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</si>
  <si>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</si>
  <si>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</si>
  <si>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</si>
  <si>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</si>
  <si>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</si>
  <si>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</si>
  <si>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</si>
  <si>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</si>
  <si>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</si>
  <si>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</si>
  <si>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</si>
  <si>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</si>
  <si>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</si>
  <si>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</si>
  <si>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</si>
  <si>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</si>
  <si>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</si>
  <si>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</si>
  <si>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</si>
  <si>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</si>
  <si>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</si>
  <si>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</si>
  <si>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</si>
  <si>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</si>
  <si>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</si>
  <si>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</si>
  <si>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</si>
  <si>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</si>
  <si>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</si>
  <si>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</si>
  <si>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</si>
  <si>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</si>
  <si>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</si>
  <si>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</si>
  <si>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</si>
  <si>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</si>
  <si>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</si>
  <si>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</si>
  <si>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</si>
  <si>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</si>
  <si>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</si>
  <si>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</si>
  <si>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</si>
  <si>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</si>
  <si>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</si>
  <si>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</si>
  <si>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</si>
  <si>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</si>
  <si>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</si>
  <si>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</si>
  <si>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</si>
  <si>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</si>
  <si>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</si>
  <si>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</si>
  <si>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</si>
  <si>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</si>
  <si>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</si>
  <si>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</si>
  <si>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</si>
  <si>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</si>
  <si>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</si>
  <si>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</si>
  <si>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</si>
  <si>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</si>
  <si>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</si>
  <si>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</si>
  <si>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</si>
  <si>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</si>
  <si>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</si>
  <si>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</si>
  <si>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</si>
  <si>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</si>
  <si>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</si>
  <si>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</si>
  <si>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</si>
  <si>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</si>
  <si>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</si>
  <si>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</si>
  <si>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</si>
  <si>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</si>
  <si>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</si>
  <si>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</si>
  <si>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</si>
  <si>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</si>
  <si>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</si>
  <si>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</si>
  <si>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</si>
  <si>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</si>
  <si>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</si>
  <si>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</si>
  <si>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</si>
  <si>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</si>
  <si>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</si>
  <si>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</si>
  <si>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</si>
  <si>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</si>
  <si>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</si>
  <si>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</si>
  <si>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</si>
  <si>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</si>
  <si>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</si>
  <si>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</si>
  <si>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</si>
  <si>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</si>
  <si>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</si>
  <si>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</si>
  <si>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</si>
  <si>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</si>
  <si>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</si>
  <si>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</si>
  <si>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</si>
  <si>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</si>
  <si>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</si>
  <si>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</si>
  <si>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</si>
  <si>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</si>
  <si>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</si>
  <si>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</si>
  <si>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</si>
  <si>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</si>
  <si>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</si>
  <si>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</si>
  <si>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</si>
  <si>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</si>
  <si>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</si>
  <si>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</si>
  <si>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</si>
  <si>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</si>
  <si>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</si>
  <si>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</si>
  <si>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</si>
  <si>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</si>
  <si>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</si>
  <si>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</si>
  <si>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</si>
  <si>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</si>
  <si>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</si>
  <si>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</si>
  <si>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</si>
  <si>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</si>
  <si>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</si>
  <si>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</si>
  <si>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</si>
  <si>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</si>
  <si>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</si>
  <si>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</si>
  <si>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</si>
  <si>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</si>
  <si>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</si>
  <si>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</si>
  <si>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</si>
  <si>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</si>
  <si>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</si>
  <si>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</si>
  <si>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</si>
  <si>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</si>
  <si>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</si>
  <si>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</si>
  <si>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</si>
  <si>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</si>
  <si>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</si>
  <si>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</si>
  <si>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</si>
  <si>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</si>
  <si>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</si>
  <si>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</si>
  <si>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</si>
  <si>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</si>
  <si>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</si>
  <si>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</si>
  <si>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</si>
  <si>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</si>
  <si>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</si>
  <si>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</si>
  <si>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</si>
  <si>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</si>
  <si>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</si>
  <si>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</si>
  <si>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</si>
  <si>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</si>
  <si>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</si>
  <si>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</si>
  <si>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</si>
  <si>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</si>
  <si>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</si>
  <si>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</si>
  <si>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</si>
  <si>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</si>
  <si>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</si>
  <si>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</si>
  <si>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</si>
  <si>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</si>
  <si>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</si>
  <si>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</si>
  <si>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</si>
  <si>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</si>
  <si>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</si>
  <si>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</si>
  <si>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</si>
  <si>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</si>
  <si>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</si>
  <si>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</si>
  <si>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</si>
  <si>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</si>
  <si>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</si>
  <si>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</si>
  <si>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</si>
  <si>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</si>
  <si>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</si>
  <si>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</si>
  <si>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</si>
  <si>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</si>
  <si>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</si>
  <si>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</si>
  <si>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</si>
  <si>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</si>
  <si>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</si>
  <si>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</si>
  <si>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</si>
  <si>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</si>
  <si>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</si>
  <si>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</si>
  <si>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</si>
  <si>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</si>
  <si>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</si>
  <si>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</si>
  <si>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</si>
  <si>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</si>
  <si>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</si>
  <si>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</si>
  <si>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</si>
  <si>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</si>
  <si>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</si>
  <si>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</si>
  <si>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</si>
  <si>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</si>
  <si>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</si>
  <si>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</si>
  <si>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</si>
  <si>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</si>
  <si>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</si>
  <si>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</si>
  <si>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</si>
  <si>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</si>
  <si>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</si>
  <si>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</si>
  <si>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</si>
  <si>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</si>
  <si>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</si>
  <si>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</si>
  <si>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</si>
  <si>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</si>
  <si>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</si>
  <si>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</si>
  <si>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</si>
  <si>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</si>
  <si>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</si>
  <si>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</si>
  <si>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</si>
  <si>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</si>
  <si>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</si>
  <si>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</si>
  <si>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</si>
  <si>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</si>
  <si>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</si>
  <si>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</si>
  <si>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</si>
  <si>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</si>
  <si>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</si>
  <si>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</si>
  <si>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</si>
  <si>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</si>
  <si>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</si>
  <si>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</si>
  <si>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</si>
  <si>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</si>
  <si>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</si>
  <si>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</si>
  <si>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</si>
  <si>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</si>
  <si>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</si>
  <si>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</si>
  <si>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</si>
  <si>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</si>
  <si>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</si>
  <si>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</si>
  <si>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</si>
  <si>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</si>
  <si>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</si>
  <si>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</si>
  <si>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</si>
  <si>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</si>
  <si>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</si>
  <si>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</si>
  <si>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</si>
  <si>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</si>
  <si>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</si>
  <si>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</si>
  <si>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</si>
  <si>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</si>
  <si>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</si>
  <si>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</si>
  <si>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</si>
  <si>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</si>
  <si>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</si>
  <si>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</si>
  <si>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</si>
  <si>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</si>
  <si>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</si>
  <si>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</si>
  <si>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</si>
  <si>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</si>
  <si>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</si>
  <si>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</si>
  <si>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</si>
  <si>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</si>
  <si>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</si>
  <si>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</si>
  <si>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</si>
  <si>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</si>
  <si>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</si>
  <si>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</si>
  <si>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</si>
  <si>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</si>
  <si>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</si>
  <si>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</si>
  <si>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</si>
  <si>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</si>
  <si>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</si>
  <si>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</si>
  <si>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</si>
  <si>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</si>
  <si>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</si>
  <si>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</si>
  <si>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</si>
  <si>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</si>
  <si>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</si>
  <si>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</si>
  <si>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</si>
  <si>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</si>
  <si>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</si>
  <si>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</si>
  <si>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</si>
  <si>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</si>
  <si>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</si>
  <si>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</si>
  <si>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</si>
  <si>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</si>
  <si>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</si>
  <si>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</si>
  <si>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</si>
  <si>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</si>
  <si>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</si>
  <si>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</si>
  <si>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</si>
  <si>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</si>
  <si>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</si>
  <si>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</si>
  <si>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</si>
  <si>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</si>
  <si>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</si>
  <si>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</si>
  <si>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</si>
  <si>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</si>
  <si>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</si>
  <si>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</si>
  <si>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</si>
  <si>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</si>
  <si>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</si>
  <si>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</si>
  <si>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</si>
  <si>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</si>
  <si>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</si>
  <si>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</si>
  <si>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</si>
  <si>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</si>
  <si>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</si>
  <si>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</si>
  <si>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</si>
  <si>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</si>
  <si>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</si>
  <si>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</si>
  <si>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</si>
  <si>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</si>
  <si>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</si>
  <si>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</si>
  <si>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</si>
  <si>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</si>
  <si>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</si>
  <si>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</si>
  <si>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</si>
  <si>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</si>
  <si>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</si>
  <si>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</si>
  <si>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</si>
  <si>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</si>
  <si>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</si>
  <si>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</si>
  <si>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</si>
  <si>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</si>
  <si>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</si>
  <si>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</si>
  <si>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</si>
  <si>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</si>
  <si>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</si>
  <si>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</si>
  <si>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</si>
  <si>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</si>
  <si>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</si>
  <si>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</si>
  <si>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</si>
  <si>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</si>
  <si>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</si>
  <si>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</si>
  <si>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</si>
  <si>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</si>
  <si>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</si>
  <si>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</si>
  <si>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</si>
  <si>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</si>
  <si>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</si>
  <si>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</si>
  <si>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</si>
  <si>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</si>
  <si>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</si>
  <si>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</si>
  <si>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</si>
  <si>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</si>
  <si>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</si>
  <si>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</si>
  <si>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</si>
  <si>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</si>
  <si>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</si>
  <si>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</si>
  <si>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</si>
  <si>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</si>
  <si>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</si>
  <si>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</si>
  <si>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</si>
  <si>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</si>
  <si>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</si>
  <si>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</si>
  <si>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</si>
  <si>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</si>
  <si>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</si>
  <si>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</si>
  <si>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</si>
  <si>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</si>
  <si>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</si>
  <si>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</si>
  <si>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</si>
  <si>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</si>
  <si>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</si>
  <si>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</si>
  <si>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</si>
  <si>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</si>
  <si>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</si>
  <si>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</si>
  <si>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</si>
  <si>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</si>
  <si>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</si>
  <si>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</si>
  <si>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</si>
  <si>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</si>
  <si>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</si>
  <si>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</si>
  <si>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</si>
  <si>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</si>
  <si>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</si>
  <si>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</si>
  <si>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</si>
  <si>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</si>
  <si>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</si>
  <si>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</si>
  <si>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</si>
  <si>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</si>
  <si>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</si>
  <si>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</si>
  <si>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</si>
  <si>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</si>
  <si>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</si>
  <si>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</si>
  <si>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</si>
  <si>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</si>
  <si>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</si>
  <si>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</si>
  <si>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</si>
  <si>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</si>
  <si>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</si>
  <si>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</si>
  <si>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</si>
  <si>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</si>
  <si>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</si>
  <si>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</si>
  <si>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</si>
  <si>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</si>
  <si>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</si>
  <si>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</si>
  <si>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</si>
  <si>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</si>
  <si>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</si>
  <si>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</si>
  <si>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</si>
  <si>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</si>
  <si>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</si>
  <si>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</si>
  <si>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</si>
  <si>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</si>
  <si>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</si>
  <si>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</si>
  <si>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</si>
  <si>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</si>
  <si>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</si>
  <si>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</si>
  <si>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</si>
  <si>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</si>
  <si>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</si>
  <si>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</si>
  <si>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</si>
  <si>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</si>
  <si>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</si>
  <si>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</si>
  <si>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</si>
  <si>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</si>
  <si>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</si>
  <si>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</si>
  <si>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</si>
  <si>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</si>
  <si>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</si>
  <si>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</si>
  <si>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</si>
  <si>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</si>
  <si>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</si>
  <si>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</si>
  <si>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</si>
  <si>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</si>
  <si>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</si>
  <si>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</si>
  <si>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</si>
  <si>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</si>
  <si>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</si>
  <si>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</si>
  <si>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</si>
  <si>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</si>
  <si>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</si>
  <si>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</si>
  <si>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</si>
  <si>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</si>
  <si>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</si>
  <si>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</si>
  <si>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</si>
  <si>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</si>
  <si>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</si>
  <si>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</si>
  <si>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</si>
  <si>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</si>
  <si>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</si>
  <si>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</si>
  <si>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</si>
  <si>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</si>
  <si>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</si>
  <si>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</si>
  <si>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</si>
  <si>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</si>
  <si>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</si>
  <si>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</si>
  <si>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</si>
  <si>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</si>
  <si>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</si>
  <si>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</si>
  <si>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</si>
  <si>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</si>
  <si>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</si>
  <si>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</si>
  <si>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</si>
  <si>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</si>
  <si>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</si>
  <si>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</si>
  <si>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</si>
  <si>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</si>
  <si>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</si>
  <si>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</si>
  <si>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</si>
  <si>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</si>
  <si>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</si>
  <si>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</si>
  <si>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</si>
  <si>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</si>
  <si>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</si>
  <si>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</si>
  <si>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</si>
  <si>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</si>
  <si>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</si>
  <si>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</si>
  <si>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</si>
  <si>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</si>
  <si>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</si>
  <si>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</si>
  <si>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</si>
  <si>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</si>
  <si>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</si>
  <si>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</si>
  <si>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</si>
  <si>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</si>
  <si>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</si>
  <si>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</si>
  <si>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</si>
  <si>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</si>
  <si>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</si>
  <si>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</si>
  <si>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</si>
  <si>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</si>
  <si>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</si>
  <si>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</si>
  <si>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</si>
  <si>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</si>
  <si>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</si>
  <si>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</si>
  <si>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</si>
  <si>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</si>
  <si>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</si>
  <si>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</si>
  <si>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</si>
  <si>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</si>
  <si>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</si>
  <si>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</si>
  <si>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</si>
  <si>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</si>
  <si>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</si>
  <si>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</si>
  <si>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</si>
  <si>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</si>
  <si>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</si>
  <si>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</si>
  <si>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</si>
  <si>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</si>
  <si>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</si>
  <si>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</si>
  <si>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</si>
  <si>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</si>
  <si>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</si>
  <si>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</si>
  <si>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</si>
  <si>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</si>
  <si>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</si>
  <si>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</si>
  <si>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</si>
  <si>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</si>
  <si>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</si>
  <si>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</si>
  <si>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</si>
  <si>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</si>
  <si>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</si>
  <si>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</si>
  <si>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</si>
  <si>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</si>
  <si>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</si>
  <si>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</si>
  <si>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</si>
  <si>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</si>
  <si>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</si>
  <si>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</si>
  <si>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</si>
  <si>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</si>
  <si>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</si>
  <si>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</si>
  <si>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</si>
  <si>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</si>
  <si>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</si>
  <si>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</si>
  <si>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</si>
  <si>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</si>
  <si>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</si>
  <si>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</si>
  <si>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</si>
  <si>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</si>
  <si>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</si>
  <si>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</si>
  <si>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</si>
  <si>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</si>
  <si>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</si>
  <si>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</si>
  <si>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</si>
  <si>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</si>
  <si>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</si>
  <si>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</si>
  <si>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</si>
  <si>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</si>
  <si>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</si>
  <si>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</si>
  <si>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</si>
  <si>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</si>
  <si>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</si>
  <si>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</si>
  <si>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</si>
  <si>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</si>
  <si>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</si>
  <si>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</si>
  <si>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</si>
  <si>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</si>
  <si>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</si>
  <si>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</si>
  <si>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</si>
  <si>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</si>
  <si>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</si>
  <si>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</si>
  <si>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</si>
  <si>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</si>
  <si>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</si>
  <si>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</si>
  <si>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</si>
  <si>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</si>
  <si>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</si>
  <si>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</si>
  <si>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</si>
  <si>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</si>
  <si>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</si>
  <si>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</si>
  <si>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</si>
  <si>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</si>
  <si>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</si>
  <si>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</si>
  <si>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</si>
  <si>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</si>
  <si>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</si>
  <si>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</si>
  <si>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</si>
  <si>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</si>
  <si>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</si>
  <si>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</si>
  <si>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</si>
  <si>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</si>
  <si>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</si>
  <si>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</si>
  <si>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</si>
  <si>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</si>
  <si>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</si>
  <si>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</si>
  <si>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</si>
  <si>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</si>
  <si>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</si>
  <si>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</si>
  <si>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</si>
  <si>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</si>
  <si>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</si>
  <si>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</si>
  <si>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</si>
  <si>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</si>
  <si>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</si>
  <si>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</si>
  <si>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</si>
  <si>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</si>
  <si>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</si>
  <si>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</si>
  <si>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</si>
  <si>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</si>
  <si>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</si>
  <si>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</si>
  <si>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</si>
  <si>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</si>
  <si>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</si>
  <si>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</si>
  <si>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</si>
  <si>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</si>
  <si>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</si>
  <si>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</si>
  <si>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</si>
  <si>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</si>
  <si>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</si>
  <si>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</si>
  <si>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</si>
  <si>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</si>
  <si>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</si>
  <si>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</si>
  <si>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</si>
  <si>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</si>
  <si>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</si>
  <si>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</si>
  <si>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</si>
  <si>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</si>
  <si>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</si>
  <si>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</si>
  <si>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</si>
  <si>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</si>
  <si>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</si>
  <si>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</si>
  <si>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</si>
  <si>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</si>
  <si>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</si>
  <si>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</si>
  <si>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</si>
  <si>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</si>
  <si>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</si>
  <si>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</si>
  <si>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</si>
  <si>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</si>
  <si>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</si>
  <si>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</si>
  <si>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</si>
  <si>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</si>
  <si>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</si>
  <si>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</si>
  <si>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</si>
  <si>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</si>
  <si>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</si>
  <si>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</si>
  <si>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</si>
  <si>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</si>
  <si>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</si>
  <si>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</si>
  <si>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</si>
  <si>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</si>
  <si>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</si>
  <si>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</si>
  <si>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</si>
  <si>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</si>
  <si>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</si>
  <si>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</si>
  <si>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</si>
  <si>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</si>
  <si>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</si>
  <si>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</si>
  <si>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</si>
  <si>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</si>
  <si>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</si>
  <si>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</si>
  <si>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</si>
  <si>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</si>
  <si>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</si>
  <si>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</si>
  <si>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</si>
  <si>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</si>
  <si>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</si>
  <si>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</si>
  <si>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</si>
  <si>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</si>
  <si>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</si>
  <si>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</si>
  <si>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</si>
  <si>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</si>
  <si>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</si>
  <si>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</si>
  <si>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</si>
  <si>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</si>
  <si>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</si>
  <si>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</si>
  <si>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</si>
  <si>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</si>
  <si>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</si>
  <si>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</si>
  <si>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</si>
  <si>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</si>
  <si>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</si>
  <si>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</si>
  <si>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</si>
  <si>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</si>
  <si>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</si>
  <si>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</si>
  <si>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</si>
  <si>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</si>
  <si>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</si>
  <si>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</si>
  <si>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</si>
  <si>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</si>
  <si>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</si>
  <si>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</si>
  <si>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</si>
  <si>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</si>
  <si>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</si>
  <si>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</si>
  <si>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</si>
  <si>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</si>
  <si>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</si>
  <si>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</si>
  <si>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</si>
  <si>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</si>
  <si>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</si>
  <si>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</si>
  <si>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</si>
  <si>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</si>
  <si>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</si>
  <si>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</si>
  <si>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</si>
  <si>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</si>
  <si>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</si>
  <si>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</si>
  <si>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</si>
  <si>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</si>
  <si>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</si>
  <si>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</si>
  <si>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</si>
  <si>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</si>
  <si>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</si>
  <si>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</si>
  <si>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</si>
  <si>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</si>
  <si>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</si>
  <si>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</si>
  <si>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</si>
  <si>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</si>
  <si>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</si>
  <si>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</si>
  <si>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</si>
  <si>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</si>
  <si>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</si>
  <si>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</si>
  <si>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</si>
  <si>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</si>
  <si>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</si>
  <si>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</si>
  <si>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</si>
  <si>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</si>
  <si>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</si>
  <si>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</si>
  <si>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</si>
  <si>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</si>
  <si>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</si>
  <si>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</si>
  <si>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</si>
  <si>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</si>
  <si>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</si>
  <si>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</si>
  <si>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</si>
  <si>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</si>
  <si>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</si>
  <si>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</si>
  <si>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</si>
  <si>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</si>
  <si>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</si>
  <si>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</si>
  <si>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</si>
  <si>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</si>
  <si>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</si>
  <si>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</si>
  <si>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</si>
  <si>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</si>
  <si>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</si>
  <si>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</si>
  <si>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</si>
  <si>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</si>
  <si>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</si>
  <si>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</si>
  <si>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</si>
  <si>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</si>
  <si>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</si>
  <si>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</si>
  <si>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</si>
  <si>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</si>
  <si>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</si>
  <si>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</si>
  <si>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</si>
  <si>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</si>
  <si>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</si>
  <si>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</si>
  <si>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</si>
  <si>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</si>
  <si>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</si>
  <si>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</si>
  <si>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</si>
  <si>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</si>
  <si>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</si>
  <si>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</si>
  <si>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</si>
  <si>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</si>
  <si>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</si>
  <si>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</si>
  <si>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</si>
  <si>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</si>
  <si>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</si>
  <si>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</si>
  <si>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</si>
  <si>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</si>
  <si>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</si>
  <si>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</si>
  <si>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</si>
  <si>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</si>
  <si>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</si>
  <si>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</si>
  <si>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</si>
  <si>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</si>
  <si>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</si>
  <si>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</si>
  <si>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</si>
  <si>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</si>
  <si>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</si>
  <si>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</si>
  <si>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</si>
  <si>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</si>
  <si>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</si>
  <si>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</si>
  <si>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</si>
  <si>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</si>
  <si>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</si>
  <si>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</si>
  <si>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</si>
  <si>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</si>
  <si>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</si>
  <si>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</si>
  <si>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</si>
  <si>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</si>
  <si>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</si>
  <si>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</si>
  <si>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</si>
  <si>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</si>
  <si>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</si>
  <si>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</si>
  <si>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</si>
  <si>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</si>
  <si>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</si>
  <si>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</si>
  <si>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</si>
  <si>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</si>
  <si>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</si>
  <si>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</si>
  <si>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</si>
  <si>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</si>
  <si>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</si>
  <si>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</si>
  <si>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</si>
  <si>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</si>
  <si>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</si>
  <si>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</si>
  <si>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</si>
  <si>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</si>
  <si>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</si>
  <si>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</si>
  <si>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</si>
  <si>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</si>
  <si>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</si>
  <si>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</si>
  <si>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</si>
  <si>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</si>
  <si>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</si>
  <si>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</si>
  <si>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</si>
  <si>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</si>
  <si>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</si>
  <si>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</si>
  <si>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</si>
  <si>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</si>
  <si>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</si>
  <si>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</si>
  <si>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</si>
  <si>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</si>
  <si>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</si>
  <si>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</si>
  <si>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</si>
  <si>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</si>
  <si>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</si>
  <si>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</si>
  <si>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</si>
  <si>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</si>
  <si>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</si>
  <si>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</si>
  <si>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</si>
  <si>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</si>
  <si>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</si>
  <si>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</si>
  <si>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</si>
  <si>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</si>
  <si>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</si>
  <si>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</si>
  <si>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</si>
  <si>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</si>
  <si>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</si>
  <si>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</si>
  <si>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</si>
  <si>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</si>
  <si>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</si>
  <si>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</si>
  <si>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</si>
  <si>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</si>
  <si>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</si>
  <si>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</si>
  <si>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</si>
  <si>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</si>
  <si>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</si>
  <si>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</si>
  <si>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</si>
  <si>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</si>
  <si>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</si>
  <si>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</si>
  <si>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</si>
  <si>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</si>
  <si>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</si>
  <si>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</si>
  <si>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</si>
  <si>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</si>
  <si>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</si>
  <si>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</si>
  <si>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</si>
  <si>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</si>
  <si>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</si>
  <si>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</si>
  <si>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</si>
  <si>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</si>
  <si>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</si>
  <si>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</si>
  <si>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</si>
  <si>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</si>
  <si>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</si>
  <si>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</si>
  <si>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</si>
  <si>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</si>
  <si>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</si>
  <si>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</si>
  <si>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</si>
  <si>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</si>
  <si>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</si>
  <si>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</si>
  <si>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</si>
  <si>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</si>
  <si>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</si>
  <si>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</si>
  <si>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</si>
  <si>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</si>
  <si>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</si>
  <si>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</si>
  <si>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</si>
  <si>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</si>
  <si>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</si>
  <si>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</si>
  <si>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</si>
  <si>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</si>
  <si>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</si>
  <si>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</si>
  <si>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</si>
  <si>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</si>
  <si>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</si>
  <si>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</si>
  <si>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</si>
  <si>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</si>
  <si>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</si>
  <si>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</si>
  <si>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</si>
  <si>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</si>
  <si>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</si>
  <si>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</si>
  <si>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</si>
  <si>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</si>
  <si>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</si>
  <si>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</si>
  <si>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</si>
  <si>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</si>
  <si>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</si>
  <si>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</si>
  <si>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</si>
  <si>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</si>
  <si>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</si>
  <si>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</si>
  <si>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</si>
  <si>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</si>
  <si>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</si>
  <si>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</si>
  <si>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</si>
  <si>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</si>
  <si>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</si>
  <si>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</si>
  <si>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</si>
  <si>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</si>
  <si>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</si>
  <si>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</si>
  <si>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</si>
  <si>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</si>
  <si>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</si>
  <si>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</si>
  <si>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</si>
  <si>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</si>
  <si>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</si>
  <si>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</si>
  <si>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</si>
  <si>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</si>
  <si>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</si>
  <si>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</si>
  <si>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</si>
  <si>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</si>
  <si>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</si>
  <si>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</si>
  <si>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</si>
  <si>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</si>
  <si>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</si>
  <si>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</si>
  <si>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</si>
  <si>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</si>
  <si>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</si>
  <si>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</si>
  <si>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</si>
  <si>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</si>
  <si>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</si>
  <si>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</si>
  <si>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</si>
  <si>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</si>
  <si>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</si>
  <si>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</si>
  <si>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</si>
  <si>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</si>
  <si>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</si>
  <si>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</si>
  <si>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</si>
  <si>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</si>
  <si>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</si>
  <si>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</si>
  <si>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</si>
  <si>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</si>
  <si>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</si>
  <si>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</si>
  <si>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</si>
  <si>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</si>
  <si>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</si>
  <si>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</si>
  <si>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</si>
  <si>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</si>
  <si>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</si>
  <si>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</si>
  <si>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</si>
  <si>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</si>
  <si>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</si>
  <si>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</si>
  <si>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</si>
  <si>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</si>
  <si>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</si>
  <si>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</si>
  <si>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</si>
  <si>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</si>
  <si>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</si>
  <si>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</si>
  <si>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</si>
  <si>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</si>
  <si>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</si>
  <si>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</si>
  <si>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</si>
  <si>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</si>
  <si>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</si>
  <si>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</si>
  <si>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</si>
  <si>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</si>
  <si>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</si>
  <si>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</si>
  <si>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</si>
  <si>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</si>
  <si>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</si>
  <si>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</si>
  <si>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</si>
  <si>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</si>
  <si>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</si>
  <si>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</si>
  <si>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</si>
  <si>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</si>
  <si>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</si>
  <si>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</si>
  <si>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</si>
  <si>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</si>
  <si>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</si>
  <si>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</si>
  <si>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</si>
  <si>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</si>
  <si>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</si>
  <si>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</si>
  <si>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</si>
  <si>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</si>
  <si>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</si>
  <si>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</si>
  <si>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</si>
  <si>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</si>
  <si>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</si>
  <si>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</si>
  <si>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</si>
  <si>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</si>
  <si>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</si>
  <si>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</si>
  <si>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</si>
  <si>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</si>
  <si>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</si>
  <si>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</si>
  <si>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</si>
  <si>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</si>
  <si>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</si>
  <si>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</si>
  <si>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</si>
  <si>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</si>
  <si>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</si>
  <si>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</si>
  <si>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</si>
  <si>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</si>
  <si>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</si>
  <si>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</si>
  <si>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</si>
  <si>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</si>
  <si>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</si>
  <si>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</si>
  <si>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</si>
  <si>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</si>
  <si>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</si>
  <si>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</si>
  <si>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</si>
  <si>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</si>
  <si>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</si>
  <si>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</si>
  <si>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</si>
  <si>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</si>
  <si>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</si>
  <si>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</si>
  <si>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</si>
  <si>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</si>
  <si>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</si>
  <si>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</si>
  <si>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</si>
  <si>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</si>
  <si>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</si>
  <si>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</si>
  <si>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</si>
  <si>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</si>
  <si>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</si>
  <si>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</si>
  <si>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</si>
  <si>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</si>
  <si>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</si>
  <si>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</si>
  <si>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</si>
  <si>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</si>
  <si>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</si>
  <si>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</si>
  <si>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</si>
  <si>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</si>
  <si>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</si>
  <si>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</si>
  <si>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</si>
  <si>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</si>
  <si>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</si>
  <si>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</si>
  <si>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</si>
  <si>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</si>
  <si>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</si>
  <si>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</si>
  <si>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</si>
  <si>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</si>
  <si>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</si>
  <si>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</si>
  <si>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</si>
  <si>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</si>
  <si>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</si>
  <si>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</si>
  <si>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</si>
  <si>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</si>
  <si>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</si>
  <si>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</si>
  <si>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</si>
  <si>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</si>
  <si>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</si>
  <si>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</si>
  <si>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</si>
  <si>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</si>
  <si>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</si>
  <si>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</si>
  <si>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</si>
  <si>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</si>
  <si>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</si>
  <si>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</si>
  <si>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</si>
  <si>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</si>
  <si>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</si>
  <si>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</si>
  <si>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</si>
  <si>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</si>
  <si>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</si>
  <si>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</si>
  <si>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</si>
  <si>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</si>
  <si>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</si>
  <si>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</si>
  <si>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</si>
  <si>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</si>
  <si>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</si>
  <si>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</si>
  <si>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</si>
  <si>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</si>
  <si>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</si>
  <si>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</si>
  <si>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</si>
  <si>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</si>
  <si>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</si>
  <si>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</si>
  <si>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</si>
  <si>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</si>
  <si>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</si>
  <si>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</si>
  <si>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</si>
  <si>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</si>
  <si>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</si>
  <si>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</si>
  <si>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</si>
  <si>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</si>
  <si>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</si>
  <si>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</si>
  <si>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</si>
  <si>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</si>
  <si>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</si>
  <si>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</si>
  <si>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</si>
  <si>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</si>
  <si>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</si>
  <si>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</si>
  <si>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</si>
  <si>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</si>
  <si>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</si>
  <si>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</si>
  <si>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</si>
  <si>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</si>
  <si>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</si>
  <si>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</si>
  <si>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</si>
  <si>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</si>
  <si>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</si>
  <si>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</si>
  <si>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</si>
  <si>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</si>
  <si>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</si>
  <si>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</si>
  <si>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</si>
  <si>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</si>
  <si>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</si>
  <si>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</si>
  <si>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</si>
  <si>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</si>
  <si>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</si>
  <si>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</si>
  <si>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</si>
  <si>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</si>
  <si>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</si>
  <si>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</si>
  <si>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</si>
  <si>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</si>
  <si>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</si>
  <si>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</si>
  <si>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</si>
  <si>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</si>
  <si>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</si>
  <si>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</si>
  <si>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</si>
  <si>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</si>
  <si>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</si>
  <si>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</si>
  <si>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</si>
  <si>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</si>
  <si>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</si>
  <si>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</si>
  <si>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</si>
  <si>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</si>
  <si>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</si>
  <si>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</si>
  <si>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</si>
  <si>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</si>
  <si>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</si>
  <si>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</si>
  <si>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</si>
  <si>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</si>
  <si>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</si>
  <si>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</si>
  <si>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</si>
  <si>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</si>
  <si>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</si>
  <si>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</si>
  <si>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</si>
  <si>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</si>
  <si>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</si>
  <si>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</si>
  <si>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</si>
  <si>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</si>
  <si>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</si>
  <si>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</si>
  <si>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</si>
  <si>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</si>
  <si>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</si>
  <si>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</si>
  <si>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</si>
  <si>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</si>
  <si>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</si>
  <si>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</si>
  <si>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</si>
  <si>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</si>
  <si>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</si>
  <si>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</si>
  <si>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</si>
  <si>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</si>
  <si>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</si>
  <si>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</si>
  <si>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</si>
  <si>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</si>
  <si>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</si>
  <si>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</si>
  <si>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</si>
  <si>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</si>
  <si>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</si>
  <si>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</si>
  <si>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</si>
  <si>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</si>
  <si>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</si>
  <si>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</si>
  <si>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</si>
  <si>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</si>
  <si>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</si>
  <si>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</si>
  <si>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</si>
  <si>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</si>
  <si>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</si>
  <si>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</si>
  <si>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</si>
  <si>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</si>
  <si>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</si>
  <si>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</si>
  <si>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</si>
  <si>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</si>
  <si>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</si>
  <si>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</si>
  <si>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</si>
  <si>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</si>
  <si>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</si>
  <si>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</si>
  <si>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</si>
  <si>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</si>
  <si>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</si>
  <si>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</si>
  <si>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</si>
  <si>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</si>
  <si>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</si>
  <si>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</si>
  <si>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</si>
  <si>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</si>
  <si>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</si>
  <si>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</si>
  <si>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</si>
  <si>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</si>
  <si>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</si>
  <si>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</si>
  <si>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</si>
  <si>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</si>
  <si>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</si>
  <si>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</si>
  <si>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</si>
  <si>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</si>
  <si>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</si>
  <si>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</si>
  <si>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</si>
  <si>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</si>
  <si>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</si>
  <si>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</si>
  <si>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</si>
  <si>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</si>
  <si>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</si>
  <si>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</si>
  <si>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</si>
  <si>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</si>
  <si>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</si>
  <si>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</si>
  <si>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</si>
  <si>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</si>
  <si>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</si>
  <si>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</si>
  <si>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</si>
  <si>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</si>
  <si>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</si>
  <si>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</si>
  <si>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</si>
  <si>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</si>
  <si>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</si>
  <si>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</si>
  <si>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</si>
  <si>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</si>
  <si>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</si>
  <si>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</si>
  <si>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</si>
  <si>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</si>
  <si>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</si>
  <si>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</si>
  <si>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</si>
  <si>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</si>
  <si>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</si>
  <si>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</si>
  <si>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</si>
  <si>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</si>
  <si>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</si>
  <si>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</si>
  <si>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</si>
  <si>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</si>
  <si>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</si>
  <si>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</si>
  <si>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</si>
  <si>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</si>
  <si>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</si>
  <si>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</si>
  <si>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</si>
  <si>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</si>
  <si>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</si>
  <si>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</si>
  <si>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</si>
  <si>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</si>
  <si>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</si>
  <si>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</si>
  <si>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</si>
  <si>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</si>
  <si>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</si>
  <si>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</si>
  <si>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</si>
  <si>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</si>
  <si>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</si>
  <si>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</si>
  <si>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</si>
  <si>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</si>
  <si>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</si>
  <si>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</si>
  <si>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</si>
  <si>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</si>
  <si>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</si>
  <si>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</si>
  <si>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</si>
  <si>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</si>
  <si>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</si>
  <si>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</si>
  <si>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</si>
  <si>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</si>
  <si>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</si>
  <si>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</si>
  <si>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</si>
  <si>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</si>
  <si>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</si>
  <si>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</si>
  <si>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</si>
  <si>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</si>
  <si>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</si>
  <si>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</si>
  <si>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</si>
  <si>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</si>
  <si>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</si>
  <si>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</si>
  <si>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</si>
  <si>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</si>
  <si>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</si>
  <si>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</si>
  <si>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</si>
  <si>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</si>
  <si>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</si>
  <si>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</si>
  <si>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</si>
  <si>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</si>
  <si>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</si>
  <si>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</si>
  <si>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</si>
  <si>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</si>
  <si>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</si>
  <si>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</si>
  <si>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</si>
  <si>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</si>
  <si>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</si>
  <si>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</si>
  <si>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</si>
  <si>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</si>
  <si>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</si>
  <si>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</si>
  <si>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</si>
  <si>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</si>
  <si>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</si>
  <si>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</si>
  <si>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</si>
  <si>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</si>
  <si>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</si>
  <si>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</si>
  <si>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</si>
  <si>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</si>
  <si>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</si>
  <si>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</si>
  <si>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</si>
  <si>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</si>
  <si>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</si>
  <si>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</si>
  <si>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</si>
  <si>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</si>
  <si>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</si>
  <si>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</si>
  <si>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</si>
  <si>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</si>
  <si>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</si>
  <si>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</si>
  <si>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</si>
  <si>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</si>
  <si>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</si>
  <si>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</si>
  <si>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</si>
  <si>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</si>
  <si>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</si>
  <si>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</si>
  <si>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</si>
  <si>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</si>
  <si>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</si>
  <si>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</si>
  <si>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</si>
  <si>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</si>
  <si>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</si>
  <si>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</si>
  <si>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</si>
  <si>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</si>
  <si>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</si>
  <si>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</si>
  <si>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</si>
  <si>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</si>
  <si>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</si>
  <si>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</si>
  <si>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</si>
  <si>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</si>
  <si>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</si>
  <si>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</si>
  <si>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</si>
  <si>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</si>
  <si>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</si>
  <si>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</si>
  <si>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</si>
  <si>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</si>
  <si>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</si>
  <si>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</si>
  <si>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</si>
  <si>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</si>
  <si>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</si>
  <si>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</si>
  <si>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</si>
  <si>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</si>
  <si>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</si>
  <si>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</si>
  <si>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</si>
  <si>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</si>
  <si>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</si>
  <si>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</si>
  <si>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</si>
  <si>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</si>
  <si>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</si>
  <si>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</si>
  <si>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</si>
  <si>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</si>
  <si>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</si>
  <si>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</si>
  <si>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</si>
  <si>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</si>
  <si>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</si>
  <si>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</si>
  <si>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</si>
  <si>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</si>
  <si>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</si>
  <si>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</si>
  <si>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</si>
  <si>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</si>
  <si>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</si>
  <si>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</si>
  <si>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</si>
  <si>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</si>
  <si>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</si>
  <si>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</si>
  <si>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</si>
  <si>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</si>
  <si>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</si>
  <si>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</si>
  <si>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</si>
  <si>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</si>
  <si>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</si>
  <si>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</si>
  <si>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</si>
  <si>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</si>
  <si>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</si>
  <si>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</si>
  <si>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</si>
  <si>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</si>
  <si>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</si>
  <si>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</si>
  <si>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</si>
  <si>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</si>
  <si>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</si>
  <si>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</si>
  <si>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</si>
  <si>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</si>
  <si>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</si>
  <si>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</si>
  <si>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</si>
  <si>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</si>
  <si>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</si>
  <si>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</si>
  <si>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</si>
  <si>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</si>
  <si>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</si>
  <si>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</si>
  <si>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</si>
  <si>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</si>
  <si>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</si>
  <si>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</si>
  <si>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</si>
  <si>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</si>
  <si>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</si>
  <si>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</si>
  <si>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</si>
  <si>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</si>
  <si>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</si>
  <si>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</si>
  <si>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</si>
  <si>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</si>
  <si>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</si>
  <si>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</si>
  <si>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</si>
  <si>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</si>
  <si>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</si>
  <si>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</si>
  <si>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</si>
  <si>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</si>
  <si>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</si>
  <si>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</si>
  <si>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</si>
  <si>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</si>
  <si>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</si>
  <si>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</si>
  <si>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</si>
  <si>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</si>
  <si>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</si>
  <si>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</si>
  <si>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</si>
  <si>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</si>
  <si>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</si>
  <si>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</si>
  <si>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</si>
  <si>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</si>
  <si>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</si>
  <si>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</si>
  <si>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</si>
  <si>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</si>
  <si>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</si>
  <si>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</si>
  <si>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</si>
  <si>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</si>
  <si>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</si>
  <si>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</si>
  <si>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</si>
  <si>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</si>
  <si>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</si>
  <si>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</si>
  <si>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</si>
  <si>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</si>
  <si>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</si>
  <si>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</si>
  <si>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</si>
  <si>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</si>
  <si>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</si>
  <si>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</si>
  <si>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</si>
  <si>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</si>
  <si>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</si>
  <si>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</si>
  <si>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</si>
  <si>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</si>
  <si>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</si>
  <si>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</si>
  <si>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</si>
  <si>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</si>
  <si>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</si>
  <si>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</si>
  <si>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</si>
  <si>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</si>
  <si>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</si>
  <si>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</si>
  <si>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</si>
  <si>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</si>
  <si>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</si>
  <si>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</si>
  <si>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</si>
  <si>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</si>
  <si>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</si>
  <si>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</si>
  <si>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</si>
  <si>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</si>
  <si>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</si>
  <si>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</si>
  <si>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</si>
  <si>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</si>
  <si>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</si>
  <si>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</si>
  <si>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</si>
  <si>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</si>
  <si>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</si>
  <si>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</si>
  <si>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</si>
  <si>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</si>
  <si>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</si>
  <si>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</si>
  <si>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</si>
  <si>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</si>
  <si>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</si>
  <si>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</si>
  <si>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</si>
  <si>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</si>
  <si>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</si>
  <si>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</si>
  <si>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</si>
  <si>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</si>
  <si>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</si>
  <si>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</si>
  <si>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</si>
  <si>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</si>
  <si>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</si>
  <si>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</si>
  <si>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</si>
  <si>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</si>
  <si>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</si>
  <si>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</si>
  <si>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</si>
  <si>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</si>
  <si>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</si>
  <si>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</si>
  <si>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</si>
  <si>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</si>
  <si>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</si>
  <si>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</si>
  <si>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</si>
  <si>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</si>
  <si>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</si>
  <si>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</si>
  <si>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</si>
  <si>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</si>
  <si>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</si>
  <si>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</si>
  <si>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</si>
  <si>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</si>
  <si>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</si>
  <si>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</si>
  <si>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</si>
  <si>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</si>
  <si>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</si>
  <si>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</si>
  <si>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</si>
  <si>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</si>
  <si>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</si>
  <si>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</si>
  <si>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</si>
  <si>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</si>
  <si>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</si>
  <si>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</si>
  <si>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</si>
  <si>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</si>
  <si>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</si>
  <si>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</si>
  <si>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</si>
  <si>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</si>
  <si>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</si>
  <si>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</si>
  <si>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</si>
  <si>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</si>
  <si>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</si>
  <si>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</si>
  <si>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</si>
  <si>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</si>
  <si>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</si>
  <si>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</si>
  <si>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</si>
  <si>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</si>
  <si>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</si>
  <si>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</si>
  <si>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</si>
  <si>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</si>
  <si>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</si>
  <si>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</si>
  <si>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</si>
  <si>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</si>
  <si>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</si>
  <si>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</si>
  <si>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</si>
  <si>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</si>
  <si>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</si>
  <si>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</si>
  <si>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</si>
  <si>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</si>
  <si>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</si>
  <si>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</si>
  <si>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</si>
  <si>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</si>
  <si>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</si>
  <si>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</si>
  <si>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</si>
  <si>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</si>
  <si>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</si>
  <si>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</si>
  <si>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</si>
  <si>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</si>
  <si>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</si>
  <si>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</si>
  <si>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</si>
  <si>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</si>
  <si>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</si>
  <si>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</si>
  <si>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</si>
  <si>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</si>
  <si>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</si>
  <si>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</si>
  <si>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</si>
  <si>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</si>
  <si>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</si>
  <si>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</si>
  <si>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</si>
  <si>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</si>
  <si>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</si>
  <si>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</si>
  <si>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</si>
  <si>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</si>
  <si>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</si>
  <si>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</si>
  <si>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</si>
  <si>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</si>
  <si>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</si>
  <si>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</si>
  <si>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</si>
  <si>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</si>
  <si>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</si>
  <si>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</si>
  <si>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</si>
  <si>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</si>
  <si>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</si>
  <si>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</si>
  <si>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</si>
  <si>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</si>
  <si>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</si>
  <si>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</si>
  <si>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</si>
  <si>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</si>
  <si>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</si>
  <si>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</si>
  <si>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</si>
  <si>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</si>
  <si>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</si>
  <si>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</si>
  <si>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</si>
  <si>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</si>
  <si>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</si>
  <si>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</si>
  <si>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</si>
  <si>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</si>
  <si>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</si>
  <si>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</si>
  <si>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</si>
  <si>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</si>
  <si>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</si>
  <si>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</si>
  <si>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</si>
  <si>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</si>
  <si>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</si>
  <si>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</si>
  <si>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</si>
  <si>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</si>
  <si>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</si>
  <si>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</si>
  <si>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</si>
  <si>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</si>
  <si>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</si>
  <si>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</si>
  <si>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</si>
  <si>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</si>
  <si>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</si>
  <si>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</si>
  <si>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</si>
  <si>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</si>
  <si>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</si>
  <si>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</si>
  <si>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</si>
  <si>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</si>
  <si>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</si>
  <si>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</si>
  <si>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</si>
  <si>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</si>
  <si>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</si>
  <si>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</si>
  <si>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</si>
  <si>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</si>
  <si>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</si>
  <si>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</si>
  <si>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</si>
  <si>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</si>
  <si>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</si>
  <si>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</si>
  <si>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</si>
  <si>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</si>
  <si>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</si>
  <si>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</si>
  <si>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</si>
  <si>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</si>
  <si>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</si>
  <si>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</si>
  <si>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</si>
  <si>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</si>
  <si>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</si>
  <si>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</si>
  <si>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</si>
  <si>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</si>
  <si>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</si>
  <si>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</si>
  <si>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</si>
  <si>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</si>
  <si>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</si>
  <si>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</si>
  <si>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</si>
  <si>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</si>
  <si>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</si>
  <si>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</si>
  <si>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</si>
  <si>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</si>
  <si>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</si>
  <si>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</si>
  <si>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</si>
  <si>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</si>
  <si>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</si>
  <si>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</si>
  <si>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</si>
  <si>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</si>
  <si>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</si>
  <si>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</si>
  <si>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</si>
  <si>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</si>
  <si>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</si>
  <si>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</si>
  <si>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</si>
  <si>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</si>
  <si>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</si>
  <si>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</si>
  <si>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</si>
  <si>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</si>
  <si>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</si>
  <si>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</si>
  <si>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</si>
  <si>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</si>
  <si>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</si>
  <si>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</si>
  <si>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</si>
  <si>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</si>
  <si>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</si>
  <si>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</si>
  <si>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</si>
  <si>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</si>
  <si>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</si>
  <si>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</si>
  <si>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</si>
  <si>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</si>
  <si>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</si>
  <si>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</si>
  <si>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</si>
  <si>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</si>
  <si>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</si>
  <si>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</si>
  <si>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</si>
  <si>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</si>
  <si>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</si>
  <si>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</si>
  <si>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</si>
  <si>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</si>
  <si>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</si>
  <si>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</si>
  <si>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</si>
  <si>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</si>
  <si>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</si>
  <si>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</si>
  <si>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</si>
  <si>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</si>
  <si>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</si>
  <si>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</si>
  <si>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</si>
  <si>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</si>
  <si>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</si>
  <si>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</si>
  <si>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</si>
  <si>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</si>
  <si>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</si>
  <si>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</si>
  <si>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</si>
  <si>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</si>
  <si>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</si>
  <si>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</si>
  <si>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</si>
  <si>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</si>
  <si>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</si>
  <si>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</si>
  <si>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</si>
  <si>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</si>
  <si>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</si>
  <si>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</si>
  <si>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</si>
  <si>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</si>
  <si>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</si>
  <si>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</si>
  <si>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</si>
  <si>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</si>
  <si>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</si>
  <si>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</si>
  <si>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</si>
  <si>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</si>
  <si>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</si>
  <si>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</si>
  <si>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</si>
  <si>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</si>
  <si>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</si>
  <si>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</si>
  <si>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</si>
  <si>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</si>
  <si>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</si>
  <si>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</si>
  <si>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</si>
  <si>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</si>
  <si>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</si>
  <si>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</si>
  <si>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</si>
  <si>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</si>
  <si>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</si>
  <si>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</si>
  <si>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</si>
  <si>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</si>
  <si>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</si>
  <si>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</si>
  <si>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</si>
  <si>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</si>
  <si>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</si>
  <si>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</si>
  <si>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</si>
  <si>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</si>
  <si>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</si>
  <si>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</si>
  <si>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</si>
  <si>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</si>
  <si>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</si>
  <si>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</si>
  <si>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</si>
  <si>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</si>
  <si>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</si>
  <si>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</si>
  <si>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</si>
  <si>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</si>
  <si>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</si>
  <si>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</si>
  <si>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</si>
  <si>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</si>
  <si>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</si>
  <si>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</si>
  <si>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</si>
  <si>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</si>
  <si>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</si>
  <si>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</si>
  <si>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</si>
  <si>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</si>
  <si>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</si>
  <si>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</si>
  <si>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</si>
  <si>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</si>
  <si>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</si>
  <si>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</si>
  <si>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</si>
  <si>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</si>
  <si>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</si>
  <si>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</si>
  <si>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</si>
  <si>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</si>
  <si>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</si>
  <si>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</si>
  <si>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</si>
  <si>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</si>
  <si>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</si>
  <si>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</si>
  <si>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</si>
  <si>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</si>
  <si>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</si>
  <si>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</si>
  <si>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</si>
  <si>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</si>
  <si>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</si>
  <si>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</si>
  <si>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</si>
  <si>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</si>
  <si>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</si>
  <si>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</si>
  <si>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</si>
  <si>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</si>
  <si>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</si>
  <si>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</si>
  <si>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</si>
  <si>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</si>
  <si>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</si>
  <si>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</si>
  <si>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</si>
  <si>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</si>
  <si>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</si>
  <si>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</si>
  <si>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</si>
  <si>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</si>
  <si>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</si>
  <si>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</si>
  <si>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</si>
  <si>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</si>
  <si>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</si>
  <si>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</si>
  <si>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</si>
  <si>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</si>
  <si>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</si>
  <si>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</si>
  <si>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</si>
  <si>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</si>
  <si>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</si>
  <si>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</si>
  <si>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</si>
  <si>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</si>
  <si>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</si>
  <si>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</si>
  <si>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</si>
  <si>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</si>
  <si>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</si>
  <si>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</si>
  <si>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</si>
  <si>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</si>
  <si>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</si>
  <si>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</si>
  <si>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</si>
  <si>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</si>
  <si>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</si>
  <si>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</si>
  <si>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</si>
  <si>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</si>
  <si>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</si>
  <si>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</si>
  <si>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</si>
  <si>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</si>
  <si>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</si>
  <si>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</si>
  <si>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</si>
  <si>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</si>
  <si>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</si>
  <si>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</si>
  <si>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</si>
  <si>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</si>
  <si>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</si>
  <si>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</si>
  <si>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</si>
  <si>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</si>
  <si>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</si>
  <si>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</si>
  <si>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</si>
  <si>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</si>
  <si>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</si>
  <si>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</si>
  <si>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</si>
  <si>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</si>
  <si>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</si>
  <si>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</si>
  <si>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</si>
  <si>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</si>
  <si>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</si>
  <si>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</si>
  <si>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</si>
  <si>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</si>
  <si>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</si>
  <si>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</si>
  <si>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</si>
  <si>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</si>
  <si>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</si>
  <si>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</si>
  <si>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</si>
  <si>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</si>
  <si>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</si>
  <si>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</si>
  <si>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</si>
  <si>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</si>
  <si>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</si>
  <si>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</si>
  <si>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</si>
  <si>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</si>
  <si>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</si>
  <si>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</si>
  <si>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</si>
  <si>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</si>
  <si>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</si>
  <si>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</si>
  <si>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</si>
  <si>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</si>
  <si>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</si>
  <si>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</si>
  <si>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</si>
  <si>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</si>
  <si>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</si>
  <si>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</si>
  <si>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</si>
  <si>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</si>
  <si>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</si>
  <si>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</si>
  <si>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</si>
  <si>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</si>
  <si>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</si>
  <si>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</si>
  <si>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</si>
  <si>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</si>
  <si>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</si>
  <si>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</si>
  <si>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</si>
  <si>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</si>
  <si>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</si>
  <si>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</si>
  <si>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</si>
  <si>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</si>
  <si>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</si>
  <si>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</si>
  <si>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</si>
  <si>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</si>
  <si>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</si>
  <si>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</si>
  <si>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</si>
  <si>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</si>
  <si>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</si>
  <si>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</si>
  <si>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</si>
  <si>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</si>
  <si>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</si>
  <si>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</si>
  <si>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</si>
  <si>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</si>
  <si>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</si>
  <si>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</si>
  <si>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</si>
  <si>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</si>
  <si>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</si>
  <si>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</si>
  <si>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</si>
  <si>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</si>
  <si>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</si>
  <si>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</si>
  <si>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</si>
  <si>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</si>
  <si>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</si>
  <si>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</si>
  <si>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</si>
  <si>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</si>
  <si>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</si>
  <si>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</si>
  <si>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</si>
  <si>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</si>
  <si>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</si>
  <si>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</si>
  <si>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</si>
  <si>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</si>
  <si>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</si>
  <si>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</si>
  <si>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</si>
  <si>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</si>
  <si>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</si>
  <si>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</si>
  <si>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</si>
  <si>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</si>
  <si>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</si>
  <si>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</si>
  <si>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</si>
  <si>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</si>
  <si>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</si>
  <si>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</si>
  <si>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</si>
  <si>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</si>
  <si>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</si>
  <si>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</si>
  <si>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</si>
  <si>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</si>
  <si>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</si>
  <si>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</si>
  <si>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</si>
  <si>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</si>
  <si>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</si>
  <si>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</si>
  <si>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</si>
  <si>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</si>
  <si>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</si>
  <si>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</si>
  <si>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</si>
  <si>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</si>
  <si>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</si>
  <si>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</si>
  <si>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</si>
  <si>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</si>
  <si>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</si>
  <si>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</si>
  <si>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</si>
  <si>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</si>
  <si>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</si>
  <si>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</si>
  <si>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</si>
  <si>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</si>
  <si>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</si>
  <si>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</si>
  <si>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</si>
  <si>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</si>
  <si>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</si>
  <si>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</si>
  <si>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</si>
  <si>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</si>
  <si>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</si>
  <si>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</si>
  <si>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</si>
  <si>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</si>
  <si>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</si>
  <si>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</si>
  <si>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</si>
  <si>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</si>
  <si>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</si>
  <si>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</si>
  <si>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</si>
  <si>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</si>
  <si>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</si>
  <si>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</si>
  <si>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</si>
  <si>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</si>
  <si>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</si>
  <si>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</si>
  <si>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</si>
  <si>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</si>
  <si>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</si>
  <si>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</si>
  <si>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</si>
  <si>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</si>
  <si>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</si>
  <si>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</si>
  <si>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</si>
  <si>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</si>
  <si>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</si>
  <si>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</si>
  <si>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</si>
  <si>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</si>
  <si>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</si>
  <si>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</si>
  <si>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</si>
  <si>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</si>
  <si>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</si>
  <si>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</si>
  <si>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</si>
  <si>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</si>
  <si>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</si>
  <si>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</si>
  <si>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</si>
  <si>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</si>
  <si>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</si>
  <si>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</si>
  <si>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</si>
  <si>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</si>
  <si>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</si>
  <si>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</si>
  <si>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</si>
  <si>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</si>
  <si>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</si>
  <si>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</si>
  <si>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</si>
  <si>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</si>
  <si>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</si>
  <si>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</si>
  <si>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</si>
  <si>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</si>
  <si>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</si>
  <si>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</si>
  <si>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</si>
  <si>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</si>
  <si>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</si>
  <si>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</si>
  <si>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</si>
  <si>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</si>
  <si>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</si>
  <si>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</si>
  <si>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</si>
  <si>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</si>
  <si>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</si>
  <si>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</si>
  <si>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</si>
  <si>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</si>
  <si>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</si>
  <si>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</si>
  <si>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</si>
  <si>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</si>
  <si>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</si>
  <si>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</si>
  <si>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</si>
  <si>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</si>
  <si>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</si>
  <si>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</si>
  <si>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</si>
  <si>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</si>
  <si>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</si>
  <si>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</si>
  <si>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</si>
  <si>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</si>
  <si>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</si>
  <si>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</si>
  <si>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</si>
  <si>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</si>
  <si>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</si>
  <si>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</si>
  <si>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</si>
  <si>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</si>
  <si>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</si>
  <si>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</si>
  <si>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</si>
  <si>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</si>
  <si>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</si>
  <si>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</si>
  <si>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</si>
  <si>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</si>
  <si>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</si>
  <si>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</si>
  <si>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</si>
  <si>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</si>
  <si>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</si>
  <si>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</si>
  <si>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</si>
  <si>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</si>
  <si>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</si>
  <si>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</si>
  <si>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</si>
  <si>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</si>
  <si>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</si>
  <si>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</si>
  <si>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</si>
  <si>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</si>
  <si>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</si>
  <si>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</si>
  <si>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</si>
  <si>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</si>
  <si>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</si>
  <si>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</si>
  <si>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</si>
  <si>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</si>
  <si>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</si>
  <si>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</si>
  <si>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</si>
  <si>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</si>
  <si>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</si>
  <si>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</si>
  <si>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</si>
  <si>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</si>
  <si>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</si>
  <si>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</si>
  <si>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</si>
  <si>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</si>
  <si>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</si>
  <si>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</si>
  <si>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</si>
  <si>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</si>
  <si>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</si>
  <si>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</si>
  <si>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</si>
  <si>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</si>
  <si>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</si>
  <si>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</si>
  <si>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</si>
  <si>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</si>
  <si>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</si>
  <si>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</si>
  <si>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</si>
  <si>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</si>
  <si>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</si>
  <si>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</si>
  <si>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</si>
  <si>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</si>
  <si>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</si>
  <si>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</si>
  <si>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</si>
  <si>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</si>
  <si>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</si>
  <si>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</si>
  <si>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</si>
  <si>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</si>
  <si>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</si>
  <si>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</si>
  <si>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</si>
  <si>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</si>
  <si>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</si>
  <si>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</si>
  <si>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</si>
  <si>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</si>
  <si>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</si>
  <si>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</si>
  <si>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</si>
  <si>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</si>
  <si>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</si>
  <si>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</si>
  <si>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</si>
  <si>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</si>
  <si>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</si>
  <si>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</si>
  <si>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</si>
  <si>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</si>
  <si>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</si>
  <si>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</si>
  <si>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</si>
  <si>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</si>
  <si>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</si>
  <si>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</si>
  <si>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</si>
  <si>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</si>
  <si>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</si>
  <si>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</si>
  <si>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</si>
  <si>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</si>
  <si>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</si>
  <si>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</si>
  <si>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</si>
  <si>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</si>
  <si>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</si>
  <si>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</si>
  <si>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</si>
  <si>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</si>
  <si>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</si>
  <si>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</si>
  <si>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</si>
  <si>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</si>
  <si>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</si>
  <si>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</si>
  <si>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</si>
  <si>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</si>
  <si>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</si>
  <si>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</si>
  <si>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</si>
  <si>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</si>
  <si>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</si>
  <si>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</si>
  <si>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</si>
  <si>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</si>
  <si>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</si>
  <si>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</si>
  <si>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</si>
  <si>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</si>
  <si>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</si>
  <si>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</si>
  <si>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</si>
  <si>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</si>
  <si>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</si>
  <si>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</si>
  <si>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</si>
  <si>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</si>
  <si>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</si>
  <si>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</si>
  <si>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</si>
  <si>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</si>
  <si>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</si>
  <si>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</si>
  <si>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</si>
  <si>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</si>
  <si>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</si>
  <si>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</si>
  <si>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</si>
  <si>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</si>
  <si>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</si>
  <si>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</si>
  <si>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</si>
  <si>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</si>
  <si>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</si>
  <si>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</si>
  <si>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</si>
  <si>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</si>
  <si>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</si>
  <si>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</si>
  <si>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</si>
  <si>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</si>
  <si>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</si>
  <si>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</si>
  <si>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</si>
  <si>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</si>
  <si>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</si>
  <si>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</si>
  <si>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</si>
  <si>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</si>
  <si>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</si>
  <si>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</si>
  <si>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</si>
  <si>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</si>
  <si>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</si>
  <si>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</si>
  <si>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</si>
  <si>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</si>
  <si>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</si>
  <si>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</si>
  <si>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</si>
  <si>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</si>
  <si>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</si>
  <si>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</si>
  <si>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</si>
  <si>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</si>
  <si>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</si>
  <si>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</si>
  <si>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</si>
  <si>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</si>
  <si>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</si>
  <si>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</si>
  <si>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</si>
  <si>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</si>
  <si>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</si>
  <si>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</si>
  <si>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</si>
  <si>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</si>
  <si>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</si>
  <si>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</si>
  <si>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</si>
  <si>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</si>
  <si>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</si>
  <si>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</si>
  <si>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</si>
  <si>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</si>
  <si>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</si>
  <si>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</si>
  <si>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</si>
  <si>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</si>
  <si>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</si>
  <si>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</si>
  <si>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</si>
  <si>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</si>
  <si>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</si>
  <si>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</si>
  <si>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</si>
  <si>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</si>
  <si>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</si>
  <si>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</si>
  <si>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</si>
  <si>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</si>
  <si>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</si>
  <si>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</si>
  <si>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</si>
  <si>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</si>
  <si>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</si>
  <si>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</si>
  <si>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</si>
  <si>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</si>
  <si>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</si>
  <si>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</si>
  <si>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</si>
  <si>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</si>
  <si>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</si>
  <si>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</si>
  <si>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</si>
  <si>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</si>
  <si>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</si>
  <si>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</si>
  <si>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</si>
  <si>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</si>
  <si>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</si>
  <si>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</si>
  <si>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</si>
  <si>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</si>
  <si>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</si>
  <si>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</si>
  <si>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</si>
  <si>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</si>
  <si>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</si>
  <si>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</si>
  <si>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</si>
  <si>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</si>
  <si>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</si>
  <si>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</si>
  <si>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</si>
  <si>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</si>
  <si>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</si>
  <si>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</si>
  <si>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</si>
  <si>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</si>
  <si>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</si>
  <si>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</si>
  <si>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</si>
  <si>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</si>
  <si>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</si>
  <si>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</si>
  <si>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</si>
  <si>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</si>
  <si>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</si>
  <si>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</si>
  <si>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</si>
  <si>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</si>
  <si>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</si>
  <si>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</si>
  <si>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</si>
  <si>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</si>
  <si>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</si>
  <si>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</si>
  <si>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</si>
  <si>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</si>
  <si>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</si>
  <si>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</si>
  <si>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</si>
  <si>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</si>
  <si>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</si>
  <si>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</si>
  <si>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</si>
  <si>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</si>
  <si>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</si>
  <si>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</si>
  <si>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</si>
  <si>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</si>
  <si>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</si>
  <si>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</si>
  <si>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</si>
  <si>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</si>
  <si>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</si>
  <si>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</si>
  <si>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</si>
  <si>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</si>
  <si>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</si>
  <si>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</si>
  <si>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</si>
  <si>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</si>
  <si>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</si>
  <si>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</si>
  <si>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</si>
  <si>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</si>
  <si>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</si>
  <si>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</si>
  <si>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</si>
  <si>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</si>
  <si>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</si>
  <si>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</si>
  <si>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</si>
  <si>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</si>
  <si>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</si>
  <si>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</si>
  <si>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</si>
  <si>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</si>
  <si>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</si>
  <si>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</si>
  <si>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</si>
  <si>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</si>
  <si>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</si>
  <si>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</si>
  <si>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</si>
  <si>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</si>
  <si>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</si>
  <si>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</si>
  <si>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</si>
  <si>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</si>
  <si>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</si>
  <si>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</si>
  <si>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</si>
  <si>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</si>
  <si>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</si>
  <si>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</si>
  <si>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</si>
  <si>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</si>
  <si>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</si>
  <si>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</si>
  <si>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</si>
  <si>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</si>
  <si>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</si>
  <si>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</si>
  <si>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</si>
  <si>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</si>
  <si>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</si>
  <si>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</si>
  <si>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</si>
  <si>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</si>
  <si>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</si>
  <si>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</si>
  <si>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</si>
  <si>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</si>
  <si>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</si>
  <si>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</si>
  <si>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</si>
  <si>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</si>
  <si>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</si>
  <si>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</si>
  <si>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</si>
  <si>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</si>
  <si>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</si>
  <si>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</si>
  <si>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</si>
  <si>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</si>
  <si>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</si>
  <si>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</si>
  <si>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</si>
  <si>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</si>
  <si>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</si>
  <si>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</si>
  <si>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</si>
  <si>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</si>
  <si>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</si>
  <si>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</si>
  <si>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</si>
  <si>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</si>
  <si>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</si>
  <si>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</si>
  <si>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</si>
  <si>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</si>
  <si>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</si>
  <si>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</si>
  <si>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</si>
  <si>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</si>
  <si>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</si>
  <si>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</si>
  <si>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</si>
  <si>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</si>
  <si>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</si>
  <si>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</si>
  <si>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</si>
  <si>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</si>
  <si>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</si>
  <si>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</si>
  <si>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</si>
  <si>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</si>
  <si>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</si>
  <si>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</si>
  <si>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</si>
  <si>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</si>
  <si>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</si>
  <si>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</si>
  <si>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</si>
  <si>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</si>
  <si>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</si>
  <si>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</si>
  <si>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</si>
  <si>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</si>
  <si>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</si>
  <si>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</si>
  <si>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</si>
  <si>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</si>
  <si>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</si>
  <si>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</si>
  <si>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</si>
  <si>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</si>
  <si>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</si>
  <si>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</si>
  <si>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</si>
  <si>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</si>
  <si>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</si>
  <si>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</si>
  <si>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</si>
  <si>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</si>
  <si>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</si>
  <si>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</si>
  <si>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</si>
  <si>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</si>
  <si>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</si>
  <si>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</si>
  <si>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</si>
  <si>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</si>
  <si>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</si>
  <si>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</si>
  <si>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</si>
  <si>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</si>
  <si>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</si>
  <si>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</si>
  <si>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</si>
  <si>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</si>
  <si>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</si>
  <si>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</si>
  <si>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</si>
  <si>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</si>
  <si>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</si>
  <si>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</si>
  <si>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</si>
  <si>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</si>
  <si>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</si>
  <si>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</si>
  <si>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</si>
  <si>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</si>
  <si>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</si>
  <si>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</si>
  <si>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</si>
  <si>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</si>
  <si>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</si>
  <si>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</si>
  <si>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</si>
  <si>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</si>
  <si>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</si>
  <si>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</si>
  <si>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</si>
  <si>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</si>
  <si>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</si>
  <si>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</si>
  <si>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</si>
  <si>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</si>
  <si>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</si>
  <si>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</si>
  <si>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</si>
  <si>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</si>
  <si>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</si>
  <si>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</si>
  <si>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</si>
  <si>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</si>
  <si>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</si>
  <si>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</si>
  <si>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</si>
  <si>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</si>
  <si>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</si>
  <si>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</si>
  <si>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</si>
  <si>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</si>
  <si>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</si>
  <si>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</si>
  <si>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</si>
  <si>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</si>
  <si>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</si>
  <si>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</si>
  <si>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</si>
  <si>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</si>
  <si>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</si>
  <si>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</si>
  <si>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</si>
  <si>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</si>
  <si>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</si>
  <si>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</si>
  <si>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</si>
  <si>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</si>
  <si>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</si>
  <si>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</si>
  <si>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</si>
  <si>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</si>
  <si>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</si>
  <si>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</si>
  <si>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</si>
  <si>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</si>
  <si>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</si>
  <si>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</si>
  <si>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</si>
  <si>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</si>
  <si>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</si>
  <si>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</si>
  <si>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</si>
  <si>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</si>
  <si>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</si>
  <si>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</si>
  <si>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</si>
  <si>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</si>
  <si>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</si>
  <si>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</si>
  <si>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</si>
  <si>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2022</t>
  </si>
  <si>
    <t>Jun</t>
  </si>
  <si>
    <t>2020</t>
  </si>
  <si>
    <t>Oct</t>
  </si>
  <si>
    <t>2019</t>
  </si>
  <si>
    <t>Jan</t>
  </si>
  <si>
    <t>2021</t>
  </si>
  <si>
    <t>Jul</t>
  </si>
  <si>
    <t>Feb</t>
  </si>
  <si>
    <t>May</t>
  </si>
  <si>
    <t>Apr</t>
  </si>
  <si>
    <t>Sep</t>
  </si>
  <si>
    <t>Dec</t>
  </si>
  <si>
    <t>Mar</t>
  </si>
  <si>
    <t>Aug</t>
  </si>
  <si>
    <t>Nov</t>
  </si>
  <si>
    <t>Years</t>
  </si>
  <si>
    <t>Arabica</t>
  </si>
  <si>
    <t>Excelsa</t>
  </si>
  <si>
    <t>Liberica</t>
  </si>
  <si>
    <t>Robusta</t>
  </si>
  <si>
    <t>Sum of Sales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</si>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</sst>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3" fontId="0" fillId="0" borderId="0" xfId="0" applyNumberFormat="1"/>
  </cellXfs>
  <cellStyles count="1">
    <cellStyle name="Normal" xfId="0" builtinId="0"/>
  </cellStyles>
  <dxfs count="26">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fill>
        <patternFill>
          <bgColor rgb="FFB889DB"/>
        </patternFill>
      </fill>
      <border>
        <left style="thin">
          <color theme="0"/>
        </left>
        <right style="thin">
          <color theme="0"/>
        </right>
        <top style="thin">
          <color theme="0"/>
        </top>
        <bottom style="thin">
          <color theme="0"/>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fill>
        <patternFill>
          <bgColor rgb="FF3C1464"/>
        </patternFill>
      </fill>
    </dxf>
    <dxf>
      <font>
        <b/>
        <i val="0"/>
        <color theme="0" tint="-4.9989318521683403E-2"/>
        <name val="Calibri"/>
        <family val="2"/>
        <scheme val="minor"/>
      </font>
      <fill>
        <patternFill>
          <bgColor rgb="FF3C1464"/>
        </patternFill>
      </fill>
      <border diagonalUp="0" diagonalDown="0">
        <left style="thin">
          <color theme="0"/>
        </left>
        <right style="thin">
          <color theme="0"/>
        </right>
        <top style="thin">
          <color theme="0"/>
        </top>
        <bottom style="thin">
          <color theme="0"/>
        </bottom>
        <vertical/>
        <horizontal/>
      </border>
    </dxf>
    <dxf>
      <font>
        <b/>
        <i val="0"/>
        <sz val="11"/>
        <color theme="0"/>
        <name val="Calibri Light"/>
        <family val="2"/>
        <scheme val="major"/>
      </font>
    </dxf>
    <dxf>
      <font>
        <sz val="10"/>
      </font>
      <fill>
        <patternFill patternType="solid">
          <fgColor theme="0"/>
          <bgColor rgb="FF3C1464"/>
        </patternFill>
      </fill>
      <border>
        <left style="thin">
          <color rgb="FF7030A0"/>
        </left>
        <right style="thin">
          <color rgb="FF7030A0"/>
        </right>
        <top style="thin">
          <color rgb="FF7030A0"/>
        </top>
        <bottom style="thin">
          <color rgb="FF7030A0"/>
        </bottom>
      </border>
    </dxf>
  </dxfs>
  <tableStyles count="7" defaultTableStyle="TableStyleMedium2" defaultPivotStyle="PivotStyleMedium9">
    <tableStyle name="Purple timeline style" pivot="0" table="0" count="8" xr9:uid="{0298F2E4-4333-4BE8-BE51-DEFE50A141F1}">
      <tableStyleElement type="wholeTable" dxfId="25"/>
      <tableStyleElement type="headerRow" dxfId="24"/>
    </tableStyle>
    <tableStyle name="Slicer Style " pivot="0" table="0" count="4" xr9:uid="{57C627D5-C859-4659-9BB4-4DE685829DF5}">
      <tableStyleElement type="wholeTable" dxfId="23"/>
      <tableStyleElement type="headerRow" dxfId="22"/>
    </tableStyle>
    <tableStyle name="Timeline Style 1" pivot="0" table="0" count="8" xr9:uid="{2CA80695-7FBD-4A24-A537-E52050F0C06A}">
      <tableStyleElement type="wholeTable" dxfId="21"/>
      <tableStyleElement type="headerRow" dxfId="20"/>
    </tableStyle>
    <tableStyle name="Timeline Style 2" pivot="0" table="0" count="8" xr9:uid="{59BC09F3-B22C-490E-8AEC-852BFABC92F4}">
      <tableStyleElement type="wholeTable" dxfId="19"/>
      <tableStyleElement type="headerRow" dxfId="18"/>
    </tableStyle>
    <tableStyle name="Timeline Style 3" pivot="0" table="0" count="8" xr9:uid="{EFA89A0B-5529-4F98-84F4-8DD82D68D4C0}">
      <tableStyleElement type="wholeTable" dxfId="17"/>
      <tableStyleElement type="headerRow" dxfId="16"/>
    </tableStyle>
    <tableStyle name="Timeline Style 4" pivot="0" table="0" count="8" xr9:uid="{01E0F6DB-EB4E-41B1-BDC9-2A94938B4440}">
      <tableStyleElement type="wholeTable" dxfId="15"/>
      <tableStyleElement type="headerRow" dxfId="14"/>
    </tableStyle>
    <tableStyle name="Timeline Style 5" pivot="0" table="0" count="8" xr9:uid="{990018A9-3E30-4574-9739-F08256A0B2C3}">
      <tableStyleElement type="wholeTable" dxfId="13"/>
      <tableStyleElement type="headerRow" dxfId="12"/>
    </tableStyle>
  </tableStyles>
  <colors>
    <mruColors>
      <color rgb="FFDCC5F3"/>
      <color rgb="FF3C1464"/>
      <color rgb="FFCBA8EE"/>
      <color rgb="FF2E471D"/>
      <color rgb="FFC7FA8A"/>
      <color rgb="FF84E909"/>
      <color rgb="FF93C571"/>
      <color rgb="FFA76CE2"/>
      <color rgb="FFCC99FF"/>
      <color rgb="FFB889DB"/>
    </mruColors>
  </colors>
  <extLst>
    <ext xmlns:x14="http://schemas.microsoft.com/office/spreadsheetml/2009/9/main" uri="{46F421CA-312F-682f-3DD2-61675219B42D}">
      <x14:dxfs count="2">
        <dxf>
          <font>
            <b/>
            <i val="0"/>
            <color theme="0"/>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
        <x14:slicerStyle name="Slicer Style ">
          <x14:slicerStyleElements>
            <x14:slicerStyleElement type="unselectedItemWithData" dxfId="1"/>
            <x14:slicerStyleElement type="selectedItemWithNoData" dxfId="0"/>
          </x14:slicerStyleElements>
        </x14:slicerStyle>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C99FF"/>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BA8EE"/>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67AC-4F30-9D44-B177878B5F5C}"/>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Analysis.xlsx]pivot table!PivotTable3</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413E-4A9E-8A77-BD49BE4C6810}"/>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Analysis.xlsx]pivot table!pivot table</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table'!$C$1:$C$2</c:f>
              <c:strCache>
                <c:ptCount val="1"/>
                <c:pt idx="0">
                  <c:v>Arabica</c:v>
                </c:pt>
              </c:strCache>
            </c:strRef>
          </c:tx>
          <c:spPr>
            <a:ln w="28575" cap="rnd">
              <a:solidFill>
                <a:srgbClr val="00B0F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table'!$C$3:$C$47</c:f>
              <c:numCache>
                <c:formatCode>#,##0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7F48-46D2-9F73-BC6626FDB6F9}"/>
            </c:ext>
          </c:extLst>
        </c:ser>
        <c:ser>
          <c:idx val="1"/>
          <c:order val="1"/>
          <c:tx>
            <c:strRef>
              <c:f>'pivot table'!$D$1:$D$2</c:f>
              <c:strCache>
                <c:ptCount val="1"/>
                <c:pt idx="0">
                  <c:v>Excelsa</c:v>
                </c:pt>
              </c:strCache>
            </c:strRef>
          </c:tx>
          <c:spPr>
            <a:ln w="28575" cap="rnd">
              <a:solidFill>
                <a:schemeClr val="accent4">
                  <a:lumMod val="50000"/>
                </a:schemeClr>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table'!$D$3:$D$47</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7F48-46D2-9F73-BC6626FDB6F9}"/>
            </c:ext>
          </c:extLst>
        </c:ser>
        <c:ser>
          <c:idx val="2"/>
          <c:order val="2"/>
          <c:tx>
            <c:strRef>
              <c:f>'pivot table'!$E$1:$E$2</c:f>
              <c:strCache>
                <c:ptCount val="1"/>
                <c:pt idx="0">
                  <c:v>Liberica</c:v>
                </c:pt>
              </c:strCache>
            </c:strRef>
          </c:tx>
          <c:spPr>
            <a:ln w="28575" cap="rnd">
              <a:solidFill>
                <a:srgbClr val="FFFF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table'!$E$3:$E$47</c:f>
              <c:numCache>
                <c:formatCode>#,##0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7F48-46D2-9F73-BC6626FDB6F9}"/>
            </c:ext>
          </c:extLst>
        </c:ser>
        <c:ser>
          <c:idx val="3"/>
          <c:order val="3"/>
          <c:tx>
            <c:strRef>
              <c:f>'pivot table'!$F$1:$F$2</c:f>
              <c:strCache>
                <c:ptCount val="1"/>
                <c:pt idx="0">
                  <c:v>Robusta</c:v>
                </c:pt>
              </c:strCache>
            </c:strRef>
          </c:tx>
          <c:spPr>
            <a:ln w="28575" cap="rnd">
              <a:solidFill>
                <a:srgbClr val="FF0000"/>
              </a:solidFill>
              <a:round/>
            </a:ln>
            <a:effectLst/>
          </c:spPr>
          <c:marker>
            <c:symbol val="none"/>
          </c:marker>
          <c:cat>
            <c:multiLvlStrRef>
              <c:f>'pivot table'!$A$3:$B$47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table'!$F$3:$F$47</c:f>
              <c:numCache>
                <c:formatCode>#,##0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7F48-46D2-9F73-BC6626FDB6F9}"/>
            </c:ext>
          </c:extLst>
        </c:ser>
        <c:dLbls>
          <c:showLegendKey val="0"/>
          <c:showVal val="0"/>
          <c:showCatName val="0"/>
          <c:showSerName val="0"/>
          <c:showPercent val="0"/>
          <c:showBubbleSize val="0"/>
        </c:dLbls>
        <c:smooth val="0"/>
        <c:axId val="1106667984"/>
        <c:axId val="1106668816"/>
      </c:lineChart>
      <c:catAx>
        <c:axId val="11066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8816"/>
        <c:crosses val="autoZero"/>
        <c:auto val="1"/>
        <c:lblAlgn val="ctr"/>
        <c:lblOffset val="100"/>
        <c:noMultiLvlLbl val="0"/>
      </c:catAx>
      <c:valAx>
        <c:axId val="11066688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6667984"/>
        <c:crosses val="autoZero"/>
        <c:crossBetween val="between"/>
      </c:valAx>
      <c:spPr>
        <a:solidFill>
          <a:srgbClr val="DCC5F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Analysis.xlsx]pivot table!PivotTable2</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Sum By Country</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6">
                <a:lumMod val="75000"/>
              </a:schemeClr>
            </a:solidFill>
            <a:ln>
              <a:noFill/>
            </a:ln>
            <a:effectLst/>
          </c:spPr>
          <c:invertIfNegative val="0"/>
          <c:cat>
            <c:strRef>
              <c:f>'pivot table'!$A$52:$A$55</c:f>
              <c:strCache>
                <c:ptCount val="3"/>
                <c:pt idx="0">
                  <c:v>United Kingdom</c:v>
                </c:pt>
                <c:pt idx="1">
                  <c:v>Ireland</c:v>
                </c:pt>
                <c:pt idx="2">
                  <c:v>United States</c:v>
                </c:pt>
              </c:strCache>
            </c:strRef>
          </c:cat>
          <c:val>
            <c:numRef>
              <c:f>'pivot table'!$B$52:$B$55</c:f>
              <c:numCache>
                <c:formatCode>General</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B22A-4826-B506-5B8143AD09E7}"/>
            </c:ext>
          </c:extLst>
        </c:ser>
        <c:dLbls>
          <c:showLegendKey val="0"/>
          <c:showVal val="0"/>
          <c:showCatName val="0"/>
          <c:showSerName val="0"/>
          <c:showPercent val="0"/>
          <c:showBubbleSize val="0"/>
        </c:dLbls>
        <c:gapWidth val="182"/>
        <c:axId val="1313420704"/>
        <c:axId val="1313434848"/>
      </c:barChart>
      <c:catAx>
        <c:axId val="13134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313434848"/>
        <c:crosses val="autoZero"/>
        <c:auto val="1"/>
        <c:lblAlgn val="ctr"/>
        <c:lblOffset val="100"/>
        <c:noMultiLvlLbl val="0"/>
      </c:catAx>
      <c:valAx>
        <c:axId val="131343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Sales Analysis.xlsx]pivot table!PivotTable3</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Customer</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6">
                <a:lumMod val="75000"/>
              </a:schemeClr>
            </a:solidFill>
            <a:ln>
              <a:noFill/>
            </a:ln>
            <a:effectLst/>
          </c:spPr>
          <c:invertIfNegative val="0"/>
          <c:cat>
            <c:strRef>
              <c:f>'pivot table'!$A$66:$A$71</c:f>
              <c:strCache>
                <c:ptCount val="5"/>
                <c:pt idx="0">
                  <c:v>Elysee Sketch</c:v>
                </c:pt>
                <c:pt idx="1">
                  <c:v>Lacee Tanti</c:v>
                </c:pt>
                <c:pt idx="2">
                  <c:v>Ailey Brash</c:v>
                </c:pt>
                <c:pt idx="3">
                  <c:v>Brice Romera</c:v>
                </c:pt>
                <c:pt idx="4">
                  <c:v>Brenn Dundredge</c:v>
                </c:pt>
              </c:strCache>
            </c:strRef>
          </c:cat>
          <c:val>
            <c:numRef>
              <c:f>'pivot table'!$B$66:$B$71</c:f>
              <c:numCache>
                <c:formatCode>General</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707A-4B24-8C74-8CFC983D5BA9}"/>
            </c:ext>
          </c:extLst>
        </c:ser>
        <c:dLbls>
          <c:showLegendKey val="0"/>
          <c:showVal val="0"/>
          <c:showCatName val="0"/>
          <c:showSerName val="0"/>
          <c:showPercent val="0"/>
          <c:showBubbleSize val="0"/>
        </c:dLbls>
        <c:gapWidth val="182"/>
        <c:axId val="1220960032"/>
        <c:axId val="1220965024"/>
      </c:barChart>
      <c:catAx>
        <c:axId val="12209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220965024"/>
        <c:crosses val="autoZero"/>
        <c:auto val="1"/>
        <c:lblAlgn val="ctr"/>
        <c:lblOffset val="100"/>
        <c:noMultiLvlLbl val="0"/>
      </c:catAx>
      <c:valAx>
        <c:axId val="122096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96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CC5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0</xdr:colOff>
      <xdr:row>107</xdr:row>
      <xdr:rowOff>119062</xdr:rowOff>
    </xdr:from>
    <xdr:to>
      <xdr:col>18</xdr:col>
      <xdr:colOff>304800</xdr:colOff>
      <xdr:row>122</xdr:row>
      <xdr:rowOff>4762</xdr:rowOff>
    </xdr:to>
    <xdr:graphicFrame macro="">
      <xdr:nvGraphicFramePr>
        <xdr:cNvPr id="14" name="Chart 13">
          <a:extLst>
            <a:ext uri="{FF2B5EF4-FFF2-40B4-BE49-F238E27FC236}">
              <a16:creationId xmlns:a16="http://schemas.microsoft.com/office/drawing/2014/main" id="{F9383725-FB04-488B-A318-3C8831647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123</xdr:row>
      <xdr:rowOff>176212</xdr:rowOff>
    </xdr:from>
    <xdr:to>
      <xdr:col>18</xdr:col>
      <xdr:colOff>361950</xdr:colOff>
      <xdr:row>138</xdr:row>
      <xdr:rowOff>61912</xdr:rowOff>
    </xdr:to>
    <xdr:graphicFrame macro="">
      <xdr:nvGraphicFramePr>
        <xdr:cNvPr id="15" name="Chart 14">
          <a:extLst>
            <a:ext uri="{FF2B5EF4-FFF2-40B4-BE49-F238E27FC236}">
              <a16:creationId xmlns:a16="http://schemas.microsoft.com/office/drawing/2014/main" id="{1B1CB348-2DC3-4AEE-B000-62BCDCCB6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1</xdr:row>
      <xdr:rowOff>0</xdr:rowOff>
    </xdr:from>
    <xdr:to>
      <xdr:col>18</xdr:col>
      <xdr:colOff>1</xdr:colOff>
      <xdr:row>4</xdr:row>
      <xdr:rowOff>0</xdr:rowOff>
    </xdr:to>
    <xdr:sp macro="" textlink="">
      <xdr:nvSpPr>
        <xdr:cNvPr id="3" name="Rectangle 2">
          <a:extLst>
            <a:ext uri="{FF2B5EF4-FFF2-40B4-BE49-F238E27FC236}">
              <a16:creationId xmlns:a16="http://schemas.microsoft.com/office/drawing/2014/main" id="{072E38A8-D84B-455D-AC35-3917E2456824}"/>
            </a:ext>
          </a:extLst>
        </xdr:cNvPr>
        <xdr:cNvSpPr/>
      </xdr:nvSpPr>
      <xdr:spPr>
        <a:xfrm>
          <a:off x="76201" y="57150"/>
          <a:ext cx="10401300" cy="571500"/>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ln>
                <a:solidFill>
                  <a:srgbClr val="7030A0"/>
                </a:solidFill>
              </a:ln>
              <a:solidFill>
                <a:schemeClr val="bg1"/>
              </a:solidFill>
            </a:rPr>
            <a:t>Coffee</a:t>
          </a:r>
          <a:r>
            <a:rPr lang="en-US" sz="3600" b="1" baseline="0">
              <a:ln>
                <a:solidFill>
                  <a:srgbClr val="7030A0"/>
                </a:solidFill>
              </a:ln>
              <a:solidFill>
                <a:schemeClr val="bg1"/>
              </a:solidFill>
            </a:rPr>
            <a:t> Sales Dashboard</a:t>
          </a:r>
          <a:endParaRPr lang="en-US" sz="3600" b="1">
            <a:ln>
              <a:solidFill>
                <a:srgbClr val="7030A0"/>
              </a:solidFill>
            </a:ln>
            <a:solidFill>
              <a:schemeClr val="bg1"/>
            </a:solidFill>
          </a:endParaRPr>
        </a:p>
      </xdr:txBody>
    </xdr:sp>
    <xdr:clientData/>
  </xdr:twoCellAnchor>
  <xdr:twoCellAnchor>
    <xdr:from>
      <xdr:col>0</xdr:col>
      <xdr:colOff>66674</xdr:colOff>
      <xdr:row>14</xdr:row>
      <xdr:rowOff>104774</xdr:rowOff>
    </xdr:from>
    <xdr:to>
      <xdr:col>10</xdr:col>
      <xdr:colOff>257175</xdr:colOff>
      <xdr:row>40</xdr:row>
      <xdr:rowOff>0</xdr:rowOff>
    </xdr:to>
    <xdr:graphicFrame macro="">
      <xdr:nvGraphicFramePr>
        <xdr:cNvPr id="11" name="Chart 10">
          <a:extLst>
            <a:ext uri="{FF2B5EF4-FFF2-40B4-BE49-F238E27FC236}">
              <a16:creationId xmlns:a16="http://schemas.microsoft.com/office/drawing/2014/main" id="{112DD2EA-CF3A-41A6-87F4-C27FE6E79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66674</xdr:colOff>
      <xdr:row>4</xdr:row>
      <xdr:rowOff>57150</xdr:rowOff>
    </xdr:from>
    <xdr:to>
      <xdr:col>10</xdr:col>
      <xdr:colOff>257174</xdr:colOff>
      <xdr:row>14</xdr:row>
      <xdr:rowOff>19050</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7C7F8AD9-A338-4F49-9275-7A2219810DB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6674" y="685800"/>
              <a:ext cx="5791200" cy="1866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209550</xdr:colOff>
      <xdr:row>8</xdr:row>
      <xdr:rowOff>180976</xdr:rowOff>
    </xdr:from>
    <xdr:to>
      <xdr:col>18</xdr:col>
      <xdr:colOff>28575</xdr:colOff>
      <xdr:row>14</xdr:row>
      <xdr:rowOff>57150</xdr:rowOff>
    </xdr:to>
    <mc:AlternateContent xmlns:mc="http://schemas.openxmlformats.org/markup-compatibility/2006" xmlns:a14="http://schemas.microsoft.com/office/drawing/2010/main">
      <mc:Choice Requires="a14">
        <xdr:graphicFrame macro="">
          <xdr:nvGraphicFramePr>
            <xdr:cNvPr id="13" name="Size 1">
              <a:extLst>
                <a:ext uri="{FF2B5EF4-FFF2-40B4-BE49-F238E27FC236}">
                  <a16:creationId xmlns:a16="http://schemas.microsoft.com/office/drawing/2014/main" id="{7EF2B9B0-FB72-4AA8-A3F6-1AF1886A23F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353425" y="1571626"/>
              <a:ext cx="215265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342899</xdr:colOff>
      <xdr:row>4</xdr:row>
      <xdr:rowOff>57148</xdr:rowOff>
    </xdr:from>
    <xdr:to>
      <xdr:col>18</xdr:col>
      <xdr:colOff>19050</xdr:colOff>
      <xdr:row>8</xdr:row>
      <xdr:rowOff>123825</xdr:rowOff>
    </xdr:to>
    <mc:AlternateContent xmlns:mc="http://schemas.openxmlformats.org/markup-compatibility/2006" xmlns:a14="http://schemas.microsoft.com/office/drawing/2010/main">
      <mc:Choice Requires="a14">
        <xdr:graphicFrame macro="">
          <xdr:nvGraphicFramePr>
            <xdr:cNvPr id="14" name="Roast Type Name 1">
              <a:extLst>
                <a:ext uri="{FF2B5EF4-FFF2-40B4-BE49-F238E27FC236}">
                  <a16:creationId xmlns:a16="http://schemas.microsoft.com/office/drawing/2014/main" id="{5E240373-8ED7-44A2-AD61-E0867E18547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5943599" y="685798"/>
              <a:ext cx="4552951" cy="82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352424</xdr:colOff>
      <xdr:row>8</xdr:row>
      <xdr:rowOff>180975</xdr:rowOff>
    </xdr:from>
    <xdr:to>
      <xdr:col>14</xdr:col>
      <xdr:colOff>152400</xdr:colOff>
      <xdr:row>14</xdr:row>
      <xdr:rowOff>47625</xdr:rowOff>
    </xdr:to>
    <mc:AlternateContent xmlns:mc="http://schemas.openxmlformats.org/markup-compatibility/2006" xmlns:a14="http://schemas.microsoft.com/office/drawing/2010/main">
      <mc:Choice Requires="a14">
        <xdr:graphicFrame macro="">
          <xdr:nvGraphicFramePr>
            <xdr:cNvPr id="15" name="Loyalty Card 1">
              <a:extLst>
                <a:ext uri="{FF2B5EF4-FFF2-40B4-BE49-F238E27FC236}">
                  <a16:creationId xmlns:a16="http://schemas.microsoft.com/office/drawing/2014/main" id="{A7A7D6DC-3275-4EBC-A0E0-86EB43FDF4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5953124" y="1571625"/>
              <a:ext cx="21431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342899</xdr:colOff>
      <xdr:row>14</xdr:row>
      <xdr:rowOff>104774</xdr:rowOff>
    </xdr:from>
    <xdr:to>
      <xdr:col>18</xdr:col>
      <xdr:colOff>28575</xdr:colOff>
      <xdr:row>26</xdr:row>
      <xdr:rowOff>171449</xdr:rowOff>
    </xdr:to>
    <xdr:graphicFrame macro="">
      <xdr:nvGraphicFramePr>
        <xdr:cNvPr id="16" name="Chart 15">
          <a:extLst>
            <a:ext uri="{FF2B5EF4-FFF2-40B4-BE49-F238E27FC236}">
              <a16:creationId xmlns:a16="http://schemas.microsoft.com/office/drawing/2014/main" id="{7BD07908-1CB5-48A4-8C4C-5601DD7D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27</xdr:row>
      <xdr:rowOff>28575</xdr:rowOff>
    </xdr:from>
    <xdr:to>
      <xdr:col>18</xdr:col>
      <xdr:colOff>28575</xdr:colOff>
      <xdr:row>40</xdr:row>
      <xdr:rowOff>0</xdr:rowOff>
    </xdr:to>
    <xdr:graphicFrame macro="">
      <xdr:nvGraphicFramePr>
        <xdr:cNvPr id="17" name="Chart 16">
          <a:extLst>
            <a:ext uri="{FF2B5EF4-FFF2-40B4-BE49-F238E27FC236}">
              <a16:creationId xmlns:a16="http://schemas.microsoft.com/office/drawing/2014/main" id="{C7F8AE93-1CA6-4A14-866D-CAE491787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122.678030324074" createdVersion="7" refreshedVersion="7" minRefreshableVersion="3" recordCount="1000" xr:uid="{CA766288-A4A5-407F-A97D-C48A7522A7B2}">
  <cacheSource type="worksheet">
    <worksheetSource name="worksheet"/>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59245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A64AE-49A7-4539-9BB1-AE887FADC4DD}" name="pivot table" cacheId="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8">
  <location ref="A1:G47"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1" numFmtId="3"/>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12" series="1">
      <pivotArea type="data" outline="0" fieldPosition="0">
        <references count="2">
          <reference field="4294967294" count="1" selected="0">
            <x v="0"/>
          </reference>
          <reference field="13" count="1" selected="0">
            <x v="0"/>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 chart="5" format="16" series="1">
      <pivotArea type="data" outline="0" fieldPosition="0">
        <references count="2">
          <reference field="4294967294" count="1" selected="0">
            <x v="0"/>
          </reference>
          <reference field="13" count="1" selected="0">
            <x v="0"/>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44E93A-E4BD-4007-A278-BD6B0ED3B554}"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65:B71"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5"/>
  </rowFields>
  <rowItems count="6">
    <i>
      <x v="289"/>
    </i>
    <i>
      <x v="518"/>
    </i>
    <i>
      <x v="17"/>
    </i>
    <i>
      <x v="126"/>
    </i>
    <i>
      <x v="125"/>
    </i>
    <i t="grand">
      <x/>
    </i>
  </rowItems>
  <colItems count="1">
    <i/>
  </colItems>
  <dataFields count="1">
    <dataField name="Sum of Sales" fld="12"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0A7F8-BEB9-4A10-A040-BE0BF2D1E3F3}"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51:B55"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h="1" x="1"/>
        <item x="0"/>
        <item t="default"/>
      </items>
    </pivotField>
    <pivotField showAll="0" defaultSubtotal="0"/>
  </pivotFields>
  <rowFields count="1">
    <field x="7"/>
  </rowFields>
  <rowItems count="4">
    <i>
      <x v="1"/>
    </i>
    <i>
      <x/>
    </i>
    <i>
      <x v="2"/>
    </i>
    <i t="grand">
      <x/>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1396AF3-6061-4067-8CD8-0EB6BA221AEE}" sourceName="Size">
  <pivotTables>
    <pivotTable tabId="19" name="pivot table"/>
    <pivotTable tabId="19" name="PivotTable2"/>
    <pivotTable tabId="19" name="PivotTable3"/>
  </pivotTables>
  <data>
    <tabular pivotCacheId="7592453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8DE259C-6361-4F2C-AF0C-3C4DFEBDFE3B}" sourceName="Roast Type Name">
  <pivotTables>
    <pivotTable tabId="19" name="pivot table"/>
    <pivotTable tabId="19" name="PivotTable2"/>
    <pivotTable tabId="19" name="PivotTable3"/>
  </pivotTables>
  <data>
    <tabular pivotCacheId="7592453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D16C961-AC4C-4FC3-BA73-961DA242B0AA}" sourceName="Loyalty Card">
  <pivotTables>
    <pivotTable tabId="19" name="pivot table"/>
    <pivotTable tabId="19" name="PivotTable2"/>
    <pivotTable tabId="19" name="PivotTable3"/>
  </pivotTables>
  <data>
    <tabular pivotCacheId="7592453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06D1234-A6BC-474B-941E-F9DE2E7B93FF}" cache="Slicer_Size" caption="Size" columnCount="2" rowHeight="241300"/>
  <slicer name="Roast Type Name 1" xr10:uid="{07187724-F672-40A1-83E5-5BD8E515980C}" cache="Slicer_Roast_Type_Name" caption="Roast Type Name" columnCount="3" rowHeight="241300"/>
  <slicer name="Loyalty Card 1" xr10:uid="{428F0DB7-9B49-4CEA-8F5B-6489C42AF4AA}"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6949A-1013-4DBD-A722-10DF1E013879}" name="worksheet" displayName="worksheet" ref="A1:P1001" totalsRowShown="0" headerRowDxfId="11">
  <autoFilter ref="A1:P1001" xr:uid="{3C56949A-1013-4DBD-A722-10DF1E013879}"/>
  <tableColumns count="16">
    <tableColumn id="1" xr3:uid="{56F47B16-807A-4AE7-968E-761BBB47BFA1}" name="Order ID" dataDxfId="10"/>
    <tableColumn id="2" xr3:uid="{823B81D6-7236-425F-BAE3-D1B0F25200F1}" name="Order Date" dataDxfId="9"/>
    <tableColumn id="3" xr3:uid="{D22233EB-1278-4149-A6AF-B136CBE9F2CE}" name="Customer ID" dataDxfId="8"/>
    <tableColumn id="4" xr3:uid="{8D08A94C-1929-4B34-B157-FAA1BA6B0F58}" name="Product ID"/>
    <tableColumn id="5" xr3:uid="{E8ABAEEF-9882-4436-AECC-F84E3CCD750C}" name="Quantity" dataDxfId="7"/>
    <tableColumn id="6" xr3:uid="{94F37EDA-1BF1-4674-A5D6-92E1188BC15D}" name="Customer Name" dataDxfId="6">
      <calculatedColumnFormula>_xlfn.XLOOKUP(C2,customers!$A$1:$A$1001,customers!$B$1:$B$1001,0)</calculatedColumnFormula>
    </tableColumn>
    <tableColumn id="7" xr3:uid="{0E4FAD8F-69FE-4CFA-A458-7437D92FA468}" name="Email" dataDxfId="5"/>
    <tableColumn id="8" xr3:uid="{6053A9B9-FBEB-41E6-8E09-D38076B959A9}" name="Country" dataDxfId="4">
      <calculatedColumnFormula>_xlfn.XLOOKUP(C2,customers!$A$1:$A$1001,customers!$G$1:$G$1001,0)</calculatedColumnFormula>
    </tableColumn>
    <tableColumn id="9" xr3:uid="{73DA8955-4BED-4ED0-BE05-A1771D79C8B9}" name="Coffee Type">
      <calculatedColumnFormula>_xlfn.XLOOKUP(D2,products!$A$1:$A$49,products!$B$1:$B$49,0)</calculatedColumnFormula>
    </tableColumn>
    <tableColumn id="10" xr3:uid="{898405E1-6F6F-45F1-AD15-41D3CA56FD4F}" name="Roast Type">
      <calculatedColumnFormula>_xlfn.XLOOKUP('data cleaned'!D2,products!$A$1:$A$49,products!$C$1:$C$49,0)</calculatedColumnFormula>
    </tableColumn>
    <tableColumn id="11" xr3:uid="{DDB1FCFE-4B61-4037-A926-8ED66D5F0D62}" name="Size" dataDxfId="3">
      <calculatedColumnFormula>_xlfn.XLOOKUP('data cleaned'!D2,products!$A$1:$A$49,products!$D$1:$D$49,0)</calculatedColumnFormula>
    </tableColumn>
    <tableColumn id="12" xr3:uid="{F3A0464C-81C4-4A9F-BEF6-59269668C85A}" name="Unit Price" dataDxfId="2">
      <calculatedColumnFormula>_xlfn.XLOOKUP('data cleaned'!D2,products!$A$1:$A$49,products!$E$1:$E$49,0)</calculatedColumnFormula>
    </tableColumn>
    <tableColumn id="13" xr3:uid="{C64D21E4-D4A4-44A6-89D0-706CA30B6724}" name="Sales" dataDxfId="1">
      <calculatedColumnFormula>'data cleaned'!E2*'data cleaned'!L2</calculatedColumnFormula>
    </tableColumn>
    <tableColumn id="14" xr3:uid="{647B98A0-8A74-4F8B-BD36-EF76DA76F8B9}" name="Coffee Type Name">
      <calculatedColumnFormula>IF(I2="Rob","Robusta",IF(I2="Exc","Excelsa",IF(I2="Ara","Arabica",IF(I2="Lib","Liberica",""))))</calculatedColumnFormula>
    </tableColumn>
    <tableColumn id="15" xr3:uid="{D4A87D29-5E1F-4E29-88A1-9232C29E3704}" name="Roast Type Name">
      <calculatedColumnFormula>IF(J2="M","Medium",IF(J2="L","Light",IF(J2="D","Dark","")))</calculatedColumnFormula>
    </tableColumn>
    <tableColumn id="16" xr3:uid="{08946DE2-D4D4-45D4-A25F-BC30B206B7D3}" name="Loyalty Card" dataDxfId="0">
      <calculatedColumnFormula>_xlfn.XLOOKUP(worksheet[[#This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777DEF-367E-4343-B7C9-1E2480C28E54}" sourceName="Order Date">
  <pivotTables>
    <pivotTable tabId="19" name="pivot table"/>
    <pivotTable tabId="19" name="PivotTable2"/>
    <pivotTable tabId="19" name="PivotTable3"/>
  </pivotTables>
  <state minimalRefreshVersion="6" lastRefreshVersion="6" pivotCacheId="75924538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8581A18-346D-4B10-904B-1B7BC29783F7}" cache="NativeTimeline_Order_Date" caption="Order Date" level="2" selectionLevel="2" scrollPosition="2019-01-01T00:00:00" style="Purple timeline style"/>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C47" sqref="C47"/>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3" x14ac:dyDescent="0.25">
      <c r="A1" s="2" t="s">
        <v>0</v>
      </c>
      <c r="B1" s="2" t="s">
        <v>1</v>
      </c>
      <c r="C1" s="2" t="s">
        <v>3</v>
      </c>
      <c r="D1" s="2" t="s">
        <v>11</v>
      </c>
      <c r="E1" s="2" t="s">
        <v>14</v>
      </c>
      <c r="F1" s="2" t="s">
        <v>4</v>
      </c>
      <c r="G1" s="2" t="s">
        <v>2</v>
      </c>
      <c r="H1" s="2" t="s">
        <v>7</v>
      </c>
      <c r="I1" s="2" t="s">
        <v>9</v>
      </c>
      <c r="J1" s="2" t="s">
        <v>10</v>
      </c>
      <c r="K1" s="2" t="s">
        <v>12</v>
      </c>
      <c r="L1" s="2" t="s">
        <v>13</v>
      </c>
      <c r="M1" s="2" t="s">
        <v>15</v>
      </c>
    </row>
    <row r="2" spans="1:13" x14ac:dyDescent="0.25">
      <c r="A2" s="2" t="s">
        <v>490</v>
      </c>
      <c r="B2" s="3">
        <v>43713</v>
      </c>
      <c r="C2" s="2" t="s">
        <v>491</v>
      </c>
      <c r="D2" t="s">
        <v>6138</v>
      </c>
      <c r="E2" s="2">
        <v>2</v>
      </c>
      <c r="F2" s="2"/>
      <c r="G2" s="2"/>
      <c r="H2" s="2"/>
    </row>
    <row r="3" spans="1:13" x14ac:dyDescent="0.25">
      <c r="A3" s="2" t="s">
        <v>490</v>
      </c>
      <c r="B3" s="3">
        <v>43713</v>
      </c>
      <c r="C3" s="2" t="s">
        <v>491</v>
      </c>
      <c r="D3" t="s">
        <v>6139</v>
      </c>
      <c r="E3" s="2">
        <v>5</v>
      </c>
      <c r="F3" s="2"/>
      <c r="G3" s="2"/>
      <c r="H3" s="2"/>
    </row>
    <row r="4" spans="1:13" x14ac:dyDescent="0.25">
      <c r="A4" s="2" t="s">
        <v>501</v>
      </c>
      <c r="B4" s="3">
        <v>44364</v>
      </c>
      <c r="C4" s="2" t="s">
        <v>502</v>
      </c>
      <c r="D4" t="s">
        <v>6140</v>
      </c>
      <c r="E4" s="2">
        <v>1</v>
      </c>
      <c r="F4" s="2"/>
      <c r="G4" s="2"/>
      <c r="H4" s="2"/>
    </row>
    <row r="5" spans="1:13" x14ac:dyDescent="0.25">
      <c r="A5" s="2" t="s">
        <v>512</v>
      </c>
      <c r="B5" s="3">
        <v>44392</v>
      </c>
      <c r="C5" s="2" t="s">
        <v>513</v>
      </c>
      <c r="D5" t="s">
        <v>6141</v>
      </c>
      <c r="E5" s="2">
        <v>2</v>
      </c>
      <c r="F5" s="2"/>
      <c r="G5" s="2"/>
      <c r="H5" s="2"/>
    </row>
    <row r="6" spans="1:13" x14ac:dyDescent="0.25">
      <c r="A6" s="2" t="s">
        <v>512</v>
      </c>
      <c r="B6" s="3">
        <v>44392</v>
      </c>
      <c r="C6" s="2" t="s">
        <v>513</v>
      </c>
      <c r="D6" t="s">
        <v>6142</v>
      </c>
      <c r="E6" s="2">
        <v>2</v>
      </c>
      <c r="F6" s="2"/>
      <c r="G6" s="2"/>
      <c r="H6" s="2"/>
    </row>
    <row r="7" spans="1:13" x14ac:dyDescent="0.25">
      <c r="A7" s="2" t="s">
        <v>519</v>
      </c>
      <c r="B7" s="3">
        <v>44412</v>
      </c>
      <c r="C7" s="2" t="s">
        <v>520</v>
      </c>
      <c r="D7" t="s">
        <v>6143</v>
      </c>
      <c r="E7" s="2">
        <v>3</v>
      </c>
      <c r="F7" s="2"/>
      <c r="G7" s="2"/>
      <c r="H7" s="2"/>
    </row>
    <row r="8" spans="1:13" x14ac:dyDescent="0.25">
      <c r="A8" s="2" t="s">
        <v>524</v>
      </c>
      <c r="B8" s="3">
        <v>44582</v>
      </c>
      <c r="C8" s="2" t="s">
        <v>525</v>
      </c>
      <c r="D8" t="s">
        <v>6144</v>
      </c>
      <c r="E8" s="2">
        <v>3</v>
      </c>
      <c r="F8" s="2"/>
      <c r="G8" s="2"/>
      <c r="H8" s="2"/>
    </row>
    <row r="9" spans="1:13" x14ac:dyDescent="0.25">
      <c r="A9" s="2" t="s">
        <v>530</v>
      </c>
      <c r="B9" s="3">
        <v>44701</v>
      </c>
      <c r="C9" s="2" t="s">
        <v>531</v>
      </c>
      <c r="D9" t="s">
        <v>6145</v>
      </c>
      <c r="E9" s="2">
        <v>1</v>
      </c>
      <c r="F9" s="2"/>
      <c r="G9" s="2"/>
      <c r="H9" s="2"/>
    </row>
    <row r="10" spans="1:13" x14ac:dyDescent="0.25">
      <c r="A10" s="2" t="s">
        <v>535</v>
      </c>
      <c r="B10" s="3">
        <v>43467</v>
      </c>
      <c r="C10" s="2" t="s">
        <v>536</v>
      </c>
      <c r="D10" t="s">
        <v>6146</v>
      </c>
      <c r="E10" s="2">
        <v>3</v>
      </c>
      <c r="F10" s="2"/>
      <c r="G10" s="2"/>
      <c r="H10" s="2"/>
    </row>
    <row r="11" spans="1:13" x14ac:dyDescent="0.25">
      <c r="A11" s="2" t="s">
        <v>541</v>
      </c>
      <c r="B11" s="3">
        <v>43713</v>
      </c>
      <c r="C11" s="2" t="s">
        <v>542</v>
      </c>
      <c r="D11" t="s">
        <v>6146</v>
      </c>
      <c r="E11" s="2">
        <v>1</v>
      </c>
      <c r="F11" s="2"/>
      <c r="G11" s="2"/>
      <c r="H11" s="2"/>
    </row>
    <row r="12" spans="1:13" x14ac:dyDescent="0.25">
      <c r="A12" s="2" t="s">
        <v>547</v>
      </c>
      <c r="B12" s="3">
        <v>44263</v>
      </c>
      <c r="C12" s="2" t="s">
        <v>548</v>
      </c>
      <c r="D12" t="s">
        <v>6147</v>
      </c>
      <c r="E12" s="2">
        <v>4</v>
      </c>
      <c r="F12" s="2"/>
      <c r="G12" s="2"/>
      <c r="H12" s="2"/>
    </row>
    <row r="13" spans="1:13" x14ac:dyDescent="0.25">
      <c r="A13" s="2" t="s">
        <v>553</v>
      </c>
      <c r="B13" s="3">
        <v>44132</v>
      </c>
      <c r="C13" s="2" t="s">
        <v>554</v>
      </c>
      <c r="D13" t="s">
        <v>6148</v>
      </c>
      <c r="E13" s="2">
        <v>5</v>
      </c>
      <c r="F13" s="2"/>
      <c r="G13" s="2"/>
      <c r="H13" s="2"/>
    </row>
    <row r="14" spans="1:13" x14ac:dyDescent="0.25">
      <c r="A14" s="2" t="s">
        <v>559</v>
      </c>
      <c r="B14" s="3">
        <v>44744</v>
      </c>
      <c r="C14" s="2" t="s">
        <v>560</v>
      </c>
      <c r="D14" t="s">
        <v>6138</v>
      </c>
      <c r="E14" s="2">
        <v>5</v>
      </c>
      <c r="F14" s="2"/>
      <c r="G14" s="2"/>
      <c r="H14" s="2"/>
    </row>
    <row r="15" spans="1:13" x14ac:dyDescent="0.25">
      <c r="A15" s="2" t="s">
        <v>565</v>
      </c>
      <c r="B15" s="3">
        <v>43973</v>
      </c>
      <c r="C15" s="2" t="s">
        <v>566</v>
      </c>
      <c r="D15" t="s">
        <v>6149</v>
      </c>
      <c r="E15" s="2">
        <v>2</v>
      </c>
      <c r="F15" s="2"/>
      <c r="G15" s="2"/>
      <c r="H15" s="2"/>
    </row>
    <row r="16" spans="1:13"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row r="1001" spans="1:8" x14ac:dyDescent="0.2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0" workbookViewId="0">
      <selection activeCell="C47" sqref="C4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47" sqref="C4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F589-1516-4795-9DF2-CCAB84505EFC}">
  <dimension ref="A1:P1001"/>
  <sheetViews>
    <sheetView tabSelected="1" topLeftCell="D1" zoomScale="112" zoomScaleNormal="112" workbookViewId="0">
      <selection activeCell="L2" sqref="L2"/>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8.42578125" bestFit="1" customWidth="1"/>
    <col min="12" max="12" width="11.85546875" customWidth="1"/>
    <col min="13" max="13" width="8" bestFit="1" customWidth="1"/>
    <col min="14" max="14" width="19.5703125" customWidth="1"/>
    <col min="15" max="15" width="18.425781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4">
        <v>43713</v>
      </c>
      <c r="C2" s="2" t="s">
        <v>491</v>
      </c>
      <c r="D2" t="s">
        <v>6138</v>
      </c>
      <c r="E2" s="2">
        <v>2</v>
      </c>
      <c r="F2" s="2" t="str">
        <f>_xlfn.XLOOKUP(C2,customers!$A$1:$A$1001,customers!$B$1:$B$1001,0)</f>
        <v>Aloisia Allner</v>
      </c>
      <c r="G2" s="2" t="s">
        <v>493</v>
      </c>
      <c r="H2" s="2" t="str">
        <f>_xlfn.XLOOKUP(C2,customers!$A$1:$A$1001,customers!$G$1:$G$1001,0)</f>
        <v>United States</v>
      </c>
      <c r="I2" t="str">
        <f>_xlfn.XLOOKUP(D2,products!$A$1:$A$49,products!$B$1:$B$49,0)</f>
        <v>Rob</v>
      </c>
      <c r="J2" t="str">
        <f>_xlfn.XLOOKUP('data cleaned'!D2,products!$A$1:$A$49,products!$C$1:$C$49,0)</f>
        <v>M</v>
      </c>
      <c r="K2" s="5">
        <f>_xlfn.XLOOKUP('data cleaned'!D2,products!$A$1:$A$49,products!$D$1:$D$49,0)</f>
        <v>1</v>
      </c>
      <c r="L2" s="6">
        <f>_xlfn.XLOOKUP('data cleaned'!D2,products!$A$1:$A$49,products!$E$1:$E$49,0)</f>
        <v>9.9499999999999993</v>
      </c>
      <c r="M2" s="6">
        <f>'data cleaned'!E2*'data cleaned'!L2</f>
        <v>19.899999999999999</v>
      </c>
      <c r="N2" t="str">
        <f>IF(I2="Rob","Robusta",IF(I2="Exc","Excelsa",IF(I2="Ara","Arabica",IF(I2="Lib","Liberica",""))))</f>
        <v>Robusta</v>
      </c>
      <c r="O2" t="str">
        <f>IF(J2="M","Medium",IF(J2="L","Light",IF(J2="D","Dark","")))</f>
        <v>Medium</v>
      </c>
      <c r="P2" t="str">
        <f>_xlfn.XLOOKUP(worksheet[[#This Row],[Customer ID]],customers!$A$1:$A$1001,customers!$I$1:$I$1001,0)</f>
        <v>Yes</v>
      </c>
    </row>
    <row r="3" spans="1:16" x14ac:dyDescent="0.25">
      <c r="A3" s="2" t="s">
        <v>490</v>
      </c>
      <c r="B3" s="4">
        <v>43713</v>
      </c>
      <c r="C3" s="2" t="s">
        <v>491</v>
      </c>
      <c r="D3" t="s">
        <v>6139</v>
      </c>
      <c r="E3" s="2">
        <v>5</v>
      </c>
      <c r="F3" s="2" t="str">
        <f>_xlfn.XLOOKUP(C3,customers!$A$1:$A$1001,customers!$B$1:$B$1001,0)</f>
        <v>Aloisia Allner</v>
      </c>
      <c r="G3" s="2" t="s">
        <v>493</v>
      </c>
      <c r="H3" s="2" t="str">
        <f>_xlfn.XLOOKUP(C3,customers!$A$1:$A$1001,customers!$G$1:$G$1001,0)</f>
        <v>United States</v>
      </c>
      <c r="I3" t="str">
        <f>_xlfn.XLOOKUP(D3,products!$A$1:$A$49,products!$B$1:$B$49,0)</f>
        <v>Exc</v>
      </c>
      <c r="J3" t="str">
        <f>_xlfn.XLOOKUP('data cleaned'!D3,products!$A$1:$A$49,products!$C$1:$C$49,0)</f>
        <v>M</v>
      </c>
      <c r="K3" s="5">
        <f>_xlfn.XLOOKUP('data cleaned'!D3,products!$A$1:$A$49,products!$D$1:$D$49,0)</f>
        <v>0.5</v>
      </c>
      <c r="L3" s="6">
        <f>_xlfn.XLOOKUP('data cleaned'!D3,products!$A$1:$A$49,products!$E$1:$E$49,0)</f>
        <v>8.25</v>
      </c>
      <c r="M3" s="6">
        <f>'data cleaned'!E3*'data cleaned'!L3</f>
        <v>41.25</v>
      </c>
      <c r="N3" t="str">
        <f t="shared" ref="N3:N66" si="0">IF(I3="Rob","Robusta",IF(I3="Exc","Excelsa",IF(I3="Ara","Arabica",IF(I3="Lib","Liberica",""))))</f>
        <v>Excelsa</v>
      </c>
      <c r="O3" t="str">
        <f t="shared" ref="O3:O66" si="1">IF(J3="M","Medium",IF(J3="L","Light",IF(J3="D","Dark","")))</f>
        <v>Medium</v>
      </c>
      <c r="P3" t="str">
        <f>_xlfn.XLOOKUP(worksheet[[#This Row],[Customer ID]],customers!$A$1:$A$1001,customers!$I$1:$I$1001,0)</f>
        <v>Yes</v>
      </c>
    </row>
    <row r="4" spans="1:16" x14ac:dyDescent="0.25">
      <c r="A4" s="2" t="s">
        <v>501</v>
      </c>
      <c r="B4" s="4">
        <v>44364</v>
      </c>
      <c r="C4" s="2" t="s">
        <v>502</v>
      </c>
      <c r="D4" t="s">
        <v>6140</v>
      </c>
      <c r="E4" s="2">
        <v>1</v>
      </c>
      <c r="F4" s="2" t="str">
        <f>_xlfn.XLOOKUP(C4,customers!$A$1:$A$1001,customers!$B$1:$B$1001,0)</f>
        <v>Jami Redholes</v>
      </c>
      <c r="G4" s="2" t="s">
        <v>504</v>
      </c>
      <c r="H4" s="2" t="str">
        <f>_xlfn.XLOOKUP(C4,customers!$A$1:$A$1001,customers!$G$1:$G$1001,0)</f>
        <v>United States</v>
      </c>
      <c r="I4" t="str">
        <f>_xlfn.XLOOKUP(D4,products!$A$1:$A$49,products!$B$1:$B$49,0)</f>
        <v>Ara</v>
      </c>
      <c r="J4" t="str">
        <f>_xlfn.XLOOKUP('data cleaned'!D4,products!$A$1:$A$49,products!$C$1:$C$49,0)</f>
        <v>L</v>
      </c>
      <c r="K4" s="5">
        <f>_xlfn.XLOOKUP('data cleaned'!D4,products!$A$1:$A$49,products!$D$1:$D$49,0)</f>
        <v>1</v>
      </c>
      <c r="L4" s="6">
        <f>_xlfn.XLOOKUP('data cleaned'!D4,products!$A$1:$A$49,products!$E$1:$E$49,0)</f>
        <v>12.95</v>
      </c>
      <c r="M4" s="6">
        <f>'data cleaned'!E4*'data cleaned'!L4</f>
        <v>12.95</v>
      </c>
      <c r="N4" t="str">
        <f t="shared" si="0"/>
        <v>Arabica</v>
      </c>
      <c r="O4" t="str">
        <f t="shared" si="1"/>
        <v>Light</v>
      </c>
      <c r="P4" t="str">
        <f>_xlfn.XLOOKUP(worksheet[[#This Row],[Customer ID]],customers!$A$1:$A$1001,customers!$I$1:$I$1001,0)</f>
        <v>Yes</v>
      </c>
    </row>
    <row r="5" spans="1:16" x14ac:dyDescent="0.25">
      <c r="A5" s="2" t="s">
        <v>512</v>
      </c>
      <c r="B5" s="4">
        <v>44392</v>
      </c>
      <c r="C5" s="2" t="s">
        <v>513</v>
      </c>
      <c r="D5" t="s">
        <v>6141</v>
      </c>
      <c r="E5" s="2">
        <v>2</v>
      </c>
      <c r="F5" s="2" t="str">
        <f>_xlfn.XLOOKUP(C5,customers!$A$1:$A$1001,customers!$B$1:$B$1001,0)</f>
        <v>Christoffer O' Shea</v>
      </c>
      <c r="G5" s="2" t="s">
        <v>6222</v>
      </c>
      <c r="H5" s="2" t="str">
        <f>_xlfn.XLOOKUP(C5,customers!$A$1:$A$1001,customers!$G$1:$G$1001,0)</f>
        <v>Ireland</v>
      </c>
      <c r="I5" t="str">
        <f>_xlfn.XLOOKUP(D5,products!$A$1:$A$49,products!$B$1:$B$49,0)</f>
        <v>Exc</v>
      </c>
      <c r="J5" t="str">
        <f>_xlfn.XLOOKUP('data cleaned'!D5,products!$A$1:$A$49,products!$C$1:$C$49,0)</f>
        <v>M</v>
      </c>
      <c r="K5" s="5">
        <f>_xlfn.XLOOKUP('data cleaned'!D5,products!$A$1:$A$49,products!$D$1:$D$49,0)</f>
        <v>1</v>
      </c>
      <c r="L5" s="6">
        <f>_xlfn.XLOOKUP('data cleaned'!D5,products!$A$1:$A$49,products!$E$1:$E$49,0)</f>
        <v>13.75</v>
      </c>
      <c r="M5" s="6">
        <f>'data cleaned'!E5*'data cleaned'!L5</f>
        <v>27.5</v>
      </c>
      <c r="N5" t="str">
        <f t="shared" si="0"/>
        <v>Excelsa</v>
      </c>
      <c r="O5" t="str">
        <f t="shared" si="1"/>
        <v>Medium</v>
      </c>
      <c r="P5" t="str">
        <f>_xlfn.XLOOKUP(worksheet[[#This Row],[Customer ID]],customers!$A$1:$A$1001,customers!$I$1:$I$1001,0)</f>
        <v>No</v>
      </c>
    </row>
    <row r="6" spans="1:16" x14ac:dyDescent="0.25">
      <c r="A6" s="2" t="s">
        <v>512</v>
      </c>
      <c r="B6" s="4">
        <v>44392</v>
      </c>
      <c r="C6" s="2" t="s">
        <v>513</v>
      </c>
      <c r="D6" t="s">
        <v>6142</v>
      </c>
      <c r="E6" s="2">
        <v>2</v>
      </c>
      <c r="F6" s="2" t="str">
        <f>_xlfn.XLOOKUP(C6,customers!$A$1:$A$1001,customers!$B$1:$B$1001,0)</f>
        <v>Christoffer O' Shea</v>
      </c>
      <c r="G6" s="2" t="s">
        <v>6222</v>
      </c>
      <c r="H6" s="2" t="str">
        <f>_xlfn.XLOOKUP(C6,customers!$A$1:$A$1001,customers!$G$1:$G$1001,0)</f>
        <v>Ireland</v>
      </c>
      <c r="I6" t="str">
        <f>_xlfn.XLOOKUP(D6,products!$A$1:$A$49,products!$B$1:$B$49,0)</f>
        <v>Rob</v>
      </c>
      <c r="J6" t="str">
        <f>_xlfn.XLOOKUP('data cleaned'!D6,products!$A$1:$A$49,products!$C$1:$C$49,0)</f>
        <v>L</v>
      </c>
      <c r="K6" s="5">
        <f>_xlfn.XLOOKUP('data cleaned'!D6,products!$A$1:$A$49,products!$D$1:$D$49,0)</f>
        <v>2.5</v>
      </c>
      <c r="L6" s="6">
        <f>_xlfn.XLOOKUP('data cleaned'!D6,products!$A$1:$A$49,products!$E$1:$E$49,0)</f>
        <v>27.484999999999996</v>
      </c>
      <c r="M6" s="6">
        <f>'data cleaned'!E6*'data cleaned'!L6</f>
        <v>54.969999999999992</v>
      </c>
      <c r="N6" t="str">
        <f t="shared" si="0"/>
        <v>Robusta</v>
      </c>
      <c r="O6" t="str">
        <f t="shared" si="1"/>
        <v>Light</v>
      </c>
      <c r="P6" t="str">
        <f>_xlfn.XLOOKUP(worksheet[[#This Row],[Customer ID]],customers!$A$1:$A$1001,customers!$I$1:$I$1001,0)</f>
        <v>No</v>
      </c>
    </row>
    <row r="7" spans="1:16" x14ac:dyDescent="0.25">
      <c r="A7" s="2" t="s">
        <v>519</v>
      </c>
      <c r="B7" s="4">
        <v>44412</v>
      </c>
      <c r="C7" s="2" t="s">
        <v>520</v>
      </c>
      <c r="D7" t="s">
        <v>6143</v>
      </c>
      <c r="E7" s="2">
        <v>3</v>
      </c>
      <c r="F7" s="2" t="str">
        <f>_xlfn.XLOOKUP(C7,customers!$A$1:$A$1001,customers!$B$1:$B$1001,0)</f>
        <v>Beryle Cottier</v>
      </c>
      <c r="G7" s="2" t="s">
        <v>6222</v>
      </c>
      <c r="H7" s="2" t="str">
        <f>_xlfn.XLOOKUP(C7,customers!$A$1:$A$1001,customers!$G$1:$G$1001,0)</f>
        <v>United States</v>
      </c>
      <c r="I7" t="str">
        <f>_xlfn.XLOOKUP(D7,products!$A$1:$A$49,products!$B$1:$B$49,0)</f>
        <v>Lib</v>
      </c>
      <c r="J7" t="str">
        <f>_xlfn.XLOOKUP('data cleaned'!D7,products!$A$1:$A$49,products!$C$1:$C$49,0)</f>
        <v>D</v>
      </c>
      <c r="K7" s="5">
        <f>_xlfn.XLOOKUP('data cleaned'!D7,products!$A$1:$A$49,products!$D$1:$D$49,0)</f>
        <v>1</v>
      </c>
      <c r="L7" s="6">
        <f>_xlfn.XLOOKUP('data cleaned'!D7,products!$A$1:$A$49,products!$E$1:$E$49,0)</f>
        <v>12.95</v>
      </c>
      <c r="M7" s="6">
        <f>'data cleaned'!E7*'data cleaned'!L7</f>
        <v>38.849999999999994</v>
      </c>
      <c r="N7" t="str">
        <f t="shared" si="0"/>
        <v>Liberica</v>
      </c>
      <c r="O7" t="str">
        <f t="shared" si="1"/>
        <v>Dark</v>
      </c>
      <c r="P7" t="str">
        <f>_xlfn.XLOOKUP(worksheet[[#This Row],[Customer ID]],customers!$A$1:$A$1001,customers!$I$1:$I$1001,0)</f>
        <v>No</v>
      </c>
    </row>
    <row r="8" spans="1:16" x14ac:dyDescent="0.25">
      <c r="A8" s="2" t="s">
        <v>524</v>
      </c>
      <c r="B8" s="4">
        <v>44582</v>
      </c>
      <c r="C8" s="2" t="s">
        <v>525</v>
      </c>
      <c r="D8" t="s">
        <v>6144</v>
      </c>
      <c r="E8" s="2">
        <v>3</v>
      </c>
      <c r="F8" s="2" t="str">
        <f>_xlfn.XLOOKUP(C8,customers!$A$1:$A$1001,customers!$B$1:$B$1001,0)</f>
        <v>Shaylynn Lobe</v>
      </c>
      <c r="G8" s="2" t="s">
        <v>527</v>
      </c>
      <c r="H8" s="2" t="str">
        <f>_xlfn.XLOOKUP(C8,customers!$A$1:$A$1001,customers!$G$1:$G$1001,0)</f>
        <v>United States</v>
      </c>
      <c r="I8" t="str">
        <f>_xlfn.XLOOKUP(D8,products!$A$1:$A$49,products!$B$1:$B$49,0)</f>
        <v>Exc</v>
      </c>
      <c r="J8" t="str">
        <f>_xlfn.XLOOKUP('data cleaned'!D8,products!$A$1:$A$49,products!$C$1:$C$49,0)</f>
        <v>D</v>
      </c>
      <c r="K8" s="5">
        <f>_xlfn.XLOOKUP('data cleaned'!D8,products!$A$1:$A$49,products!$D$1:$D$49,0)</f>
        <v>0.5</v>
      </c>
      <c r="L8" s="6">
        <f>_xlfn.XLOOKUP('data cleaned'!D8,products!$A$1:$A$49,products!$E$1:$E$49,0)</f>
        <v>7.29</v>
      </c>
      <c r="M8" s="6">
        <f>'data cleaned'!E8*'data cleaned'!L8</f>
        <v>21.87</v>
      </c>
      <c r="N8" t="str">
        <f t="shared" si="0"/>
        <v>Excelsa</v>
      </c>
      <c r="O8" t="str">
        <f t="shared" si="1"/>
        <v>Dark</v>
      </c>
      <c r="P8" t="str">
        <f>_xlfn.XLOOKUP(worksheet[[#This Row],[Customer ID]],customers!$A$1:$A$1001,customers!$I$1:$I$1001,0)</f>
        <v>Yes</v>
      </c>
    </row>
    <row r="9" spans="1:16" x14ac:dyDescent="0.25">
      <c r="A9" s="2" t="s">
        <v>530</v>
      </c>
      <c r="B9" s="4">
        <v>44701</v>
      </c>
      <c r="C9" s="2" t="s">
        <v>531</v>
      </c>
      <c r="D9" t="s">
        <v>6145</v>
      </c>
      <c r="E9" s="2">
        <v>1</v>
      </c>
      <c r="F9" s="2" t="str">
        <f>_xlfn.XLOOKUP(C9,customers!$A$1:$A$1001,customers!$B$1:$B$1001,0)</f>
        <v>Melvin Wharfe</v>
      </c>
      <c r="G9" s="2" t="s">
        <v>6222</v>
      </c>
      <c r="H9" s="2" t="str">
        <f>_xlfn.XLOOKUP(C9,customers!$A$1:$A$1001,customers!$G$1:$G$1001,0)</f>
        <v>Ireland</v>
      </c>
      <c r="I9" t="str">
        <f>_xlfn.XLOOKUP(D9,products!$A$1:$A$49,products!$B$1:$B$49,0)</f>
        <v>Lib</v>
      </c>
      <c r="J9" t="str">
        <f>_xlfn.XLOOKUP('data cleaned'!D9,products!$A$1:$A$49,products!$C$1:$C$49,0)</f>
        <v>L</v>
      </c>
      <c r="K9" s="5">
        <f>_xlfn.XLOOKUP('data cleaned'!D9,products!$A$1:$A$49,products!$D$1:$D$49,0)</f>
        <v>0.2</v>
      </c>
      <c r="L9" s="6">
        <f>_xlfn.XLOOKUP('data cleaned'!D9,products!$A$1:$A$49,products!$E$1:$E$49,0)</f>
        <v>4.7549999999999999</v>
      </c>
      <c r="M9" s="6">
        <f>'data cleaned'!E9*'data cleaned'!L9</f>
        <v>4.7549999999999999</v>
      </c>
      <c r="N9" t="str">
        <f t="shared" si="0"/>
        <v>Liberica</v>
      </c>
      <c r="O9" t="str">
        <f t="shared" si="1"/>
        <v>Light</v>
      </c>
      <c r="P9" t="str">
        <f>_xlfn.XLOOKUP(worksheet[[#This Row],[Customer ID]],customers!$A$1:$A$1001,customers!$I$1:$I$1001,0)</f>
        <v>Yes</v>
      </c>
    </row>
    <row r="10" spans="1:16" x14ac:dyDescent="0.25">
      <c r="A10" s="2" t="s">
        <v>535</v>
      </c>
      <c r="B10" s="4">
        <v>43467</v>
      </c>
      <c r="C10" s="2" t="s">
        <v>536</v>
      </c>
      <c r="D10" t="s">
        <v>6146</v>
      </c>
      <c r="E10" s="2">
        <v>3</v>
      </c>
      <c r="F10" s="2" t="str">
        <f>_xlfn.XLOOKUP(C10,customers!$A$1:$A$1001,customers!$B$1:$B$1001,0)</f>
        <v>Guthrey Petracci</v>
      </c>
      <c r="G10" s="2" t="s">
        <v>538</v>
      </c>
      <c r="H10" s="2" t="str">
        <f>_xlfn.XLOOKUP(C10,customers!$A$1:$A$1001,customers!$G$1:$G$1001,0)</f>
        <v>United States</v>
      </c>
      <c r="I10" t="str">
        <f>_xlfn.XLOOKUP(D10,products!$A$1:$A$49,products!$B$1:$B$49,0)</f>
        <v>Rob</v>
      </c>
      <c r="J10" t="str">
        <f>_xlfn.XLOOKUP('data cleaned'!D10,products!$A$1:$A$49,products!$C$1:$C$49,0)</f>
        <v>M</v>
      </c>
      <c r="K10" s="5">
        <f>_xlfn.XLOOKUP('data cleaned'!D10,products!$A$1:$A$49,products!$D$1:$D$49,0)</f>
        <v>0.5</v>
      </c>
      <c r="L10" s="6">
        <f>_xlfn.XLOOKUP('data cleaned'!D10,products!$A$1:$A$49,products!$E$1:$E$49,0)</f>
        <v>5.97</v>
      </c>
      <c r="M10" s="6">
        <f>'data cleaned'!E10*'data cleaned'!L10</f>
        <v>17.91</v>
      </c>
      <c r="N10" t="str">
        <f t="shared" si="0"/>
        <v>Robusta</v>
      </c>
      <c r="O10" t="str">
        <f t="shared" si="1"/>
        <v>Medium</v>
      </c>
      <c r="P10" t="str">
        <f>_xlfn.XLOOKUP(worksheet[[#This Row],[Customer ID]],customers!$A$1:$A$1001,customers!$I$1:$I$1001,0)</f>
        <v>No</v>
      </c>
    </row>
    <row r="11" spans="1:16" x14ac:dyDescent="0.25">
      <c r="A11" s="2" t="s">
        <v>541</v>
      </c>
      <c r="B11" s="4">
        <v>43713</v>
      </c>
      <c r="C11" s="2" t="s">
        <v>542</v>
      </c>
      <c r="D11" t="s">
        <v>6146</v>
      </c>
      <c r="E11" s="2">
        <v>1</v>
      </c>
      <c r="F11" s="2" t="str">
        <f>_xlfn.XLOOKUP(C11,customers!$A$1:$A$1001,customers!$B$1:$B$1001,0)</f>
        <v>Rodger Raven</v>
      </c>
      <c r="G11" s="2" t="s">
        <v>544</v>
      </c>
      <c r="H11" s="2" t="str">
        <f>_xlfn.XLOOKUP(C11,customers!$A$1:$A$1001,customers!$G$1:$G$1001,0)</f>
        <v>United States</v>
      </c>
      <c r="I11" t="str">
        <f>_xlfn.XLOOKUP(D11,products!$A$1:$A$49,products!$B$1:$B$49,0)</f>
        <v>Rob</v>
      </c>
      <c r="J11" t="str">
        <f>_xlfn.XLOOKUP('data cleaned'!D11,products!$A$1:$A$49,products!$C$1:$C$49,0)</f>
        <v>M</v>
      </c>
      <c r="K11" s="5">
        <f>_xlfn.XLOOKUP('data cleaned'!D11,products!$A$1:$A$49,products!$D$1:$D$49,0)</f>
        <v>0.5</v>
      </c>
      <c r="L11" s="6">
        <f>_xlfn.XLOOKUP('data cleaned'!D11,products!$A$1:$A$49,products!$E$1:$E$49,0)</f>
        <v>5.97</v>
      </c>
      <c r="M11" s="6">
        <f>'data cleaned'!E11*'data cleaned'!L11</f>
        <v>5.97</v>
      </c>
      <c r="N11" t="str">
        <f t="shared" si="0"/>
        <v>Robusta</v>
      </c>
      <c r="O11" t="str">
        <f t="shared" si="1"/>
        <v>Medium</v>
      </c>
      <c r="P11" t="str">
        <f>_xlfn.XLOOKUP(worksheet[[#This Row],[Customer ID]],customers!$A$1:$A$1001,customers!$I$1:$I$1001,0)</f>
        <v>No</v>
      </c>
    </row>
    <row r="12" spans="1:16" x14ac:dyDescent="0.25">
      <c r="A12" s="2" t="s">
        <v>547</v>
      </c>
      <c r="B12" s="4">
        <v>44263</v>
      </c>
      <c r="C12" s="2" t="s">
        <v>548</v>
      </c>
      <c r="D12" t="s">
        <v>6147</v>
      </c>
      <c r="E12" s="2">
        <v>4</v>
      </c>
      <c r="F12" s="2" t="str">
        <f>_xlfn.XLOOKUP(C12,customers!$A$1:$A$1001,customers!$B$1:$B$1001,0)</f>
        <v>Ferrell Ferber</v>
      </c>
      <c r="G12" s="2" t="s">
        <v>550</v>
      </c>
      <c r="H12" s="2" t="str">
        <f>_xlfn.XLOOKUP(C12,customers!$A$1:$A$1001,customers!$G$1:$G$1001,0)</f>
        <v>United States</v>
      </c>
      <c r="I12" t="str">
        <f>_xlfn.XLOOKUP(D12,products!$A$1:$A$49,products!$B$1:$B$49,0)</f>
        <v>Ara</v>
      </c>
      <c r="J12" t="str">
        <f>_xlfn.XLOOKUP('data cleaned'!D12,products!$A$1:$A$49,products!$C$1:$C$49,0)</f>
        <v>D</v>
      </c>
      <c r="K12" s="5">
        <f>_xlfn.XLOOKUP('data cleaned'!D12,products!$A$1:$A$49,products!$D$1:$D$49,0)</f>
        <v>1</v>
      </c>
      <c r="L12" s="6">
        <f>_xlfn.XLOOKUP('data cleaned'!D12,products!$A$1:$A$49,products!$E$1:$E$49,0)</f>
        <v>9.9499999999999993</v>
      </c>
      <c r="M12" s="6">
        <f>'data cleaned'!E12*'data cleaned'!L12</f>
        <v>39.799999999999997</v>
      </c>
      <c r="N12" t="str">
        <f t="shared" si="0"/>
        <v>Arabica</v>
      </c>
      <c r="O12" t="str">
        <f t="shared" si="1"/>
        <v>Dark</v>
      </c>
      <c r="P12" t="str">
        <f>_xlfn.XLOOKUP(worksheet[[#This Row],[Customer ID]],customers!$A$1:$A$1001,customers!$I$1:$I$1001,0)</f>
        <v>No</v>
      </c>
    </row>
    <row r="13" spans="1:16" x14ac:dyDescent="0.25">
      <c r="A13" s="2" t="s">
        <v>553</v>
      </c>
      <c r="B13" s="4">
        <v>44132</v>
      </c>
      <c r="C13" s="2" t="s">
        <v>554</v>
      </c>
      <c r="D13" t="s">
        <v>6148</v>
      </c>
      <c r="E13" s="2">
        <v>5</v>
      </c>
      <c r="F13" s="2" t="str">
        <f>_xlfn.XLOOKUP(C13,customers!$A$1:$A$1001,customers!$B$1:$B$1001,0)</f>
        <v>Duky Phizackerly</v>
      </c>
      <c r="G13" s="2" t="s">
        <v>556</v>
      </c>
      <c r="H13" s="2" t="str">
        <f>_xlfn.XLOOKUP(C13,customers!$A$1:$A$1001,customers!$G$1:$G$1001,0)</f>
        <v>United States</v>
      </c>
      <c r="I13" t="str">
        <f>_xlfn.XLOOKUP(D13,products!$A$1:$A$49,products!$B$1:$B$49,0)</f>
        <v>Exc</v>
      </c>
      <c r="J13" t="str">
        <f>_xlfn.XLOOKUP('data cleaned'!D13,products!$A$1:$A$49,products!$C$1:$C$49,0)</f>
        <v>L</v>
      </c>
      <c r="K13" s="5">
        <f>_xlfn.XLOOKUP('data cleaned'!D13,products!$A$1:$A$49,products!$D$1:$D$49,0)</f>
        <v>2.5</v>
      </c>
      <c r="L13" s="6">
        <f>_xlfn.XLOOKUP('data cleaned'!D13,products!$A$1:$A$49,products!$E$1:$E$49,0)</f>
        <v>34.154999999999994</v>
      </c>
      <c r="M13" s="6">
        <f>'data cleaned'!E13*'data cleaned'!L13</f>
        <v>170.77499999999998</v>
      </c>
      <c r="N13" t="str">
        <f t="shared" si="0"/>
        <v>Excelsa</v>
      </c>
      <c r="O13" t="str">
        <f t="shared" si="1"/>
        <v>Light</v>
      </c>
      <c r="P13" t="str">
        <f>_xlfn.XLOOKUP(worksheet[[#This Row],[Customer ID]],customers!$A$1:$A$1001,customers!$I$1:$I$1001,0)</f>
        <v>Yes</v>
      </c>
    </row>
    <row r="14" spans="1:16" x14ac:dyDescent="0.25">
      <c r="A14" s="2" t="s">
        <v>559</v>
      </c>
      <c r="B14" s="4">
        <v>44744</v>
      </c>
      <c r="C14" s="2" t="s">
        <v>560</v>
      </c>
      <c r="D14" t="s">
        <v>6138</v>
      </c>
      <c r="E14" s="2">
        <v>5</v>
      </c>
      <c r="F14" s="2" t="str">
        <f>_xlfn.XLOOKUP(C14,customers!$A$1:$A$1001,customers!$B$1:$B$1001,0)</f>
        <v>Rosaleen Scholar</v>
      </c>
      <c r="G14" s="2" t="s">
        <v>562</v>
      </c>
      <c r="H14" s="2" t="str">
        <f>_xlfn.XLOOKUP(C14,customers!$A$1:$A$1001,customers!$G$1:$G$1001,0)</f>
        <v>United States</v>
      </c>
      <c r="I14" t="str">
        <f>_xlfn.XLOOKUP(D14,products!$A$1:$A$49,products!$B$1:$B$49,0)</f>
        <v>Rob</v>
      </c>
      <c r="J14" t="str">
        <f>_xlfn.XLOOKUP('data cleaned'!D14,products!$A$1:$A$49,products!$C$1:$C$49,0)</f>
        <v>M</v>
      </c>
      <c r="K14" s="5">
        <f>_xlfn.XLOOKUP('data cleaned'!D14,products!$A$1:$A$49,products!$D$1:$D$49,0)</f>
        <v>1</v>
      </c>
      <c r="L14" s="6">
        <f>_xlfn.XLOOKUP('data cleaned'!D14,products!$A$1:$A$49,products!$E$1:$E$49,0)</f>
        <v>9.9499999999999993</v>
      </c>
      <c r="M14" s="6">
        <f>'data cleaned'!E14*'data cleaned'!L14</f>
        <v>49.75</v>
      </c>
      <c r="N14" t="str">
        <f t="shared" si="0"/>
        <v>Robusta</v>
      </c>
      <c r="O14" t="str">
        <f t="shared" si="1"/>
        <v>Medium</v>
      </c>
      <c r="P14" t="str">
        <f>_xlfn.XLOOKUP(worksheet[[#This Row],[Customer ID]],customers!$A$1:$A$1001,customers!$I$1:$I$1001,0)</f>
        <v>No</v>
      </c>
    </row>
    <row r="15" spans="1:16" x14ac:dyDescent="0.25">
      <c r="A15" s="2" t="s">
        <v>565</v>
      </c>
      <c r="B15" s="4">
        <v>43973</v>
      </c>
      <c r="C15" s="2" t="s">
        <v>566</v>
      </c>
      <c r="D15" t="s">
        <v>6149</v>
      </c>
      <c r="E15" s="2">
        <v>2</v>
      </c>
      <c r="F15" s="2" t="str">
        <f>_xlfn.XLOOKUP(C15,customers!$A$1:$A$1001,customers!$B$1:$B$1001,0)</f>
        <v>Terence Vanyutin</v>
      </c>
      <c r="G15" s="2" t="s">
        <v>568</v>
      </c>
      <c r="H15" s="2" t="str">
        <f>_xlfn.XLOOKUP(C15,customers!$A$1:$A$1001,customers!$G$1:$G$1001,0)</f>
        <v>United States</v>
      </c>
      <c r="I15" t="str">
        <f>_xlfn.XLOOKUP(D15,products!$A$1:$A$49,products!$B$1:$B$49,0)</f>
        <v>Rob</v>
      </c>
      <c r="J15" t="str">
        <f>_xlfn.XLOOKUP('data cleaned'!D15,products!$A$1:$A$49,products!$C$1:$C$49,0)</f>
        <v>D</v>
      </c>
      <c r="K15" s="5">
        <f>_xlfn.XLOOKUP('data cleaned'!D15,products!$A$1:$A$49,products!$D$1:$D$49,0)</f>
        <v>2.5</v>
      </c>
      <c r="L15" s="6">
        <f>_xlfn.XLOOKUP('data cleaned'!D15,products!$A$1:$A$49,products!$E$1:$E$49,0)</f>
        <v>20.584999999999997</v>
      </c>
      <c r="M15" s="6">
        <f>'data cleaned'!E15*'data cleaned'!L15</f>
        <v>41.169999999999995</v>
      </c>
      <c r="N15" t="str">
        <f t="shared" si="0"/>
        <v>Robusta</v>
      </c>
      <c r="O15" t="str">
        <f t="shared" si="1"/>
        <v>Dark</v>
      </c>
      <c r="P15" t="str">
        <f>_xlfn.XLOOKUP(worksheet[[#This Row],[Customer ID]],customers!$A$1:$A$1001,customers!$I$1:$I$1001,0)</f>
        <v>No</v>
      </c>
    </row>
    <row r="16" spans="1:16" x14ac:dyDescent="0.25">
      <c r="A16" s="2" t="s">
        <v>570</v>
      </c>
      <c r="B16" s="4">
        <v>44656</v>
      </c>
      <c r="C16" s="2" t="s">
        <v>571</v>
      </c>
      <c r="D16" t="s">
        <v>6150</v>
      </c>
      <c r="E16" s="2">
        <v>3</v>
      </c>
      <c r="F16" s="2" t="str">
        <f>_xlfn.XLOOKUP(C16,customers!$A$1:$A$1001,customers!$B$1:$B$1001,0)</f>
        <v>Patrice Trobe</v>
      </c>
      <c r="G16" s="2" t="s">
        <v>573</v>
      </c>
      <c r="H16" s="2" t="str">
        <f>_xlfn.XLOOKUP(C16,customers!$A$1:$A$1001,customers!$G$1:$G$1001,0)</f>
        <v>United States</v>
      </c>
      <c r="I16" t="str">
        <f>_xlfn.XLOOKUP(D16,products!$A$1:$A$49,products!$B$1:$B$49,0)</f>
        <v>Lib</v>
      </c>
      <c r="J16" t="str">
        <f>_xlfn.XLOOKUP('data cleaned'!D16,products!$A$1:$A$49,products!$C$1:$C$49,0)</f>
        <v>D</v>
      </c>
      <c r="K16" s="5">
        <f>_xlfn.XLOOKUP('data cleaned'!D16,products!$A$1:$A$49,products!$D$1:$D$49,0)</f>
        <v>0.2</v>
      </c>
      <c r="L16" s="6">
        <f>_xlfn.XLOOKUP('data cleaned'!D16,products!$A$1:$A$49,products!$E$1:$E$49,0)</f>
        <v>3.8849999999999998</v>
      </c>
      <c r="M16" s="6">
        <f>'data cleaned'!E16*'data cleaned'!L16</f>
        <v>11.654999999999999</v>
      </c>
      <c r="N16" t="str">
        <f t="shared" si="0"/>
        <v>Liberica</v>
      </c>
      <c r="O16" t="str">
        <f t="shared" si="1"/>
        <v>Dark</v>
      </c>
      <c r="P16" t="str">
        <f>_xlfn.XLOOKUP(worksheet[[#This Row],[Customer ID]],customers!$A$1:$A$1001,customers!$I$1:$I$1001,0)</f>
        <v>Yes</v>
      </c>
    </row>
    <row r="17" spans="1:16" x14ac:dyDescent="0.25">
      <c r="A17" s="2" t="s">
        <v>576</v>
      </c>
      <c r="B17" s="4">
        <v>44719</v>
      </c>
      <c r="C17" s="2" t="s">
        <v>577</v>
      </c>
      <c r="D17" t="s">
        <v>6151</v>
      </c>
      <c r="E17" s="2">
        <v>5</v>
      </c>
      <c r="F17" s="2" t="str">
        <f>_xlfn.XLOOKUP(C17,customers!$A$1:$A$1001,customers!$B$1:$B$1001,0)</f>
        <v>Llywellyn Oscroft</v>
      </c>
      <c r="G17" s="2" t="s">
        <v>579</v>
      </c>
      <c r="H17" s="2" t="str">
        <f>_xlfn.XLOOKUP(C17,customers!$A$1:$A$1001,customers!$G$1:$G$1001,0)</f>
        <v>United States</v>
      </c>
      <c r="I17" t="str">
        <f>_xlfn.XLOOKUP(D17,products!$A$1:$A$49,products!$B$1:$B$49,0)</f>
        <v>Rob</v>
      </c>
      <c r="J17" t="str">
        <f>_xlfn.XLOOKUP('data cleaned'!D17,products!$A$1:$A$49,products!$C$1:$C$49,0)</f>
        <v>M</v>
      </c>
      <c r="K17" s="5">
        <f>_xlfn.XLOOKUP('data cleaned'!D17,products!$A$1:$A$49,products!$D$1:$D$49,0)</f>
        <v>2.5</v>
      </c>
      <c r="L17" s="6">
        <f>_xlfn.XLOOKUP('data cleaned'!D17,products!$A$1:$A$49,products!$E$1:$E$49,0)</f>
        <v>22.884999999999998</v>
      </c>
      <c r="M17" s="6">
        <f>'data cleaned'!E17*'data cleaned'!L17</f>
        <v>114.42499999999998</v>
      </c>
      <c r="N17" t="str">
        <f t="shared" si="0"/>
        <v>Robusta</v>
      </c>
      <c r="O17" t="str">
        <f t="shared" si="1"/>
        <v>Medium</v>
      </c>
      <c r="P17" t="str">
        <f>_xlfn.XLOOKUP(worksheet[[#This Row],[Customer ID]],customers!$A$1:$A$1001,customers!$I$1:$I$1001,0)</f>
        <v>No</v>
      </c>
    </row>
    <row r="18" spans="1:16" x14ac:dyDescent="0.25">
      <c r="A18" s="2" t="s">
        <v>581</v>
      </c>
      <c r="B18" s="4">
        <v>43544</v>
      </c>
      <c r="C18" s="2" t="s">
        <v>582</v>
      </c>
      <c r="D18" t="s">
        <v>6152</v>
      </c>
      <c r="E18" s="2">
        <v>6</v>
      </c>
      <c r="F18" s="2" t="str">
        <f>_xlfn.XLOOKUP(C18,customers!$A$1:$A$1001,customers!$B$1:$B$1001,0)</f>
        <v>Minni Alabaster</v>
      </c>
      <c r="G18" s="2" t="s">
        <v>584</v>
      </c>
      <c r="H18" s="2" t="str">
        <f>_xlfn.XLOOKUP(C18,customers!$A$1:$A$1001,customers!$G$1:$G$1001,0)</f>
        <v>United States</v>
      </c>
      <c r="I18" t="str">
        <f>_xlfn.XLOOKUP(D18,products!$A$1:$A$49,products!$B$1:$B$49,0)</f>
        <v>Ara</v>
      </c>
      <c r="J18" t="str">
        <f>_xlfn.XLOOKUP('data cleaned'!D18,products!$A$1:$A$49,products!$C$1:$C$49,0)</f>
        <v>M</v>
      </c>
      <c r="K18" s="5">
        <f>_xlfn.XLOOKUP('data cleaned'!D18,products!$A$1:$A$49,products!$D$1:$D$49,0)</f>
        <v>0.2</v>
      </c>
      <c r="L18" s="6">
        <f>_xlfn.XLOOKUP('data cleaned'!D18,products!$A$1:$A$49,products!$E$1:$E$49,0)</f>
        <v>3.375</v>
      </c>
      <c r="M18" s="6">
        <f>'data cleaned'!E18*'data cleaned'!L18</f>
        <v>20.25</v>
      </c>
      <c r="N18" t="str">
        <f t="shared" si="0"/>
        <v>Arabica</v>
      </c>
      <c r="O18" t="str">
        <f t="shared" si="1"/>
        <v>Medium</v>
      </c>
      <c r="P18" t="str">
        <f>_xlfn.XLOOKUP(worksheet[[#This Row],[Customer ID]],customers!$A$1:$A$1001,customers!$I$1:$I$1001,0)</f>
        <v>No</v>
      </c>
    </row>
    <row r="19" spans="1:16" x14ac:dyDescent="0.25">
      <c r="A19" s="2" t="s">
        <v>587</v>
      </c>
      <c r="B19" s="4">
        <v>43757</v>
      </c>
      <c r="C19" s="2" t="s">
        <v>588</v>
      </c>
      <c r="D19" t="s">
        <v>6140</v>
      </c>
      <c r="E19" s="2">
        <v>6</v>
      </c>
      <c r="F19" s="2" t="str">
        <f>_xlfn.XLOOKUP(C19,customers!$A$1:$A$1001,customers!$B$1:$B$1001,0)</f>
        <v>Rhianon Broxup</v>
      </c>
      <c r="G19" s="2" t="s">
        <v>590</v>
      </c>
      <c r="H19" s="2" t="str">
        <f>_xlfn.XLOOKUP(C19,customers!$A$1:$A$1001,customers!$G$1:$G$1001,0)</f>
        <v>United States</v>
      </c>
      <c r="I19" t="str">
        <f>_xlfn.XLOOKUP(D19,products!$A$1:$A$49,products!$B$1:$B$49,0)</f>
        <v>Ara</v>
      </c>
      <c r="J19" t="str">
        <f>_xlfn.XLOOKUP('data cleaned'!D19,products!$A$1:$A$49,products!$C$1:$C$49,0)</f>
        <v>L</v>
      </c>
      <c r="K19" s="5">
        <f>_xlfn.XLOOKUP('data cleaned'!D19,products!$A$1:$A$49,products!$D$1:$D$49,0)</f>
        <v>1</v>
      </c>
      <c r="L19" s="6">
        <f>_xlfn.XLOOKUP('data cleaned'!D19,products!$A$1:$A$49,products!$E$1:$E$49,0)</f>
        <v>12.95</v>
      </c>
      <c r="M19" s="6">
        <f>'data cleaned'!E19*'data cleaned'!L19</f>
        <v>77.699999999999989</v>
      </c>
      <c r="N19" t="str">
        <f t="shared" si="0"/>
        <v>Arabica</v>
      </c>
      <c r="O19" t="str">
        <f t="shared" si="1"/>
        <v>Light</v>
      </c>
      <c r="P19" t="str">
        <f>_xlfn.XLOOKUP(worksheet[[#This Row],[Customer ID]],customers!$A$1:$A$1001,customers!$I$1:$I$1001,0)</f>
        <v>No</v>
      </c>
    </row>
    <row r="20" spans="1:16" x14ac:dyDescent="0.25">
      <c r="A20" s="2" t="s">
        <v>593</v>
      </c>
      <c r="B20" s="4">
        <v>43629</v>
      </c>
      <c r="C20" s="2" t="s">
        <v>594</v>
      </c>
      <c r="D20" t="s">
        <v>6149</v>
      </c>
      <c r="E20" s="2">
        <v>4</v>
      </c>
      <c r="F20" s="2" t="str">
        <f>_xlfn.XLOOKUP(C20,customers!$A$1:$A$1001,customers!$B$1:$B$1001,0)</f>
        <v>Pall Redford</v>
      </c>
      <c r="G20" s="2" t="s">
        <v>596</v>
      </c>
      <c r="H20" s="2" t="str">
        <f>_xlfn.XLOOKUP(C20,customers!$A$1:$A$1001,customers!$G$1:$G$1001,0)</f>
        <v>Ireland</v>
      </c>
      <c r="I20" t="str">
        <f>_xlfn.XLOOKUP(D20,products!$A$1:$A$49,products!$B$1:$B$49,0)</f>
        <v>Rob</v>
      </c>
      <c r="J20" t="str">
        <f>_xlfn.XLOOKUP('data cleaned'!D20,products!$A$1:$A$49,products!$C$1:$C$49,0)</f>
        <v>D</v>
      </c>
      <c r="K20" s="5">
        <f>_xlfn.XLOOKUP('data cleaned'!D20,products!$A$1:$A$49,products!$D$1:$D$49,0)</f>
        <v>2.5</v>
      </c>
      <c r="L20" s="6">
        <f>_xlfn.XLOOKUP('data cleaned'!D20,products!$A$1:$A$49,products!$E$1:$E$49,0)</f>
        <v>20.584999999999997</v>
      </c>
      <c r="M20" s="6">
        <f>'data cleaned'!E20*'data cleaned'!L20</f>
        <v>82.339999999999989</v>
      </c>
      <c r="N20" t="str">
        <f t="shared" si="0"/>
        <v>Robusta</v>
      </c>
      <c r="O20" t="str">
        <f t="shared" si="1"/>
        <v>Dark</v>
      </c>
      <c r="P20" t="str">
        <f>_xlfn.XLOOKUP(worksheet[[#This Row],[Customer ID]],customers!$A$1:$A$1001,customers!$I$1:$I$1001,0)</f>
        <v>Yes</v>
      </c>
    </row>
    <row r="21" spans="1:16" x14ac:dyDescent="0.25">
      <c r="A21" s="2" t="s">
        <v>598</v>
      </c>
      <c r="B21" s="4">
        <v>44169</v>
      </c>
      <c r="C21" s="2" t="s">
        <v>599</v>
      </c>
      <c r="D21" t="s">
        <v>6152</v>
      </c>
      <c r="E21" s="2">
        <v>5</v>
      </c>
      <c r="F21" s="2" t="str">
        <f>_xlfn.XLOOKUP(C21,customers!$A$1:$A$1001,customers!$B$1:$B$1001,0)</f>
        <v>Aurea Corradino</v>
      </c>
      <c r="G21" s="2" t="s">
        <v>601</v>
      </c>
      <c r="H21" s="2" t="str">
        <f>_xlfn.XLOOKUP(C21,customers!$A$1:$A$1001,customers!$G$1:$G$1001,0)</f>
        <v>United States</v>
      </c>
      <c r="I21" t="str">
        <f>_xlfn.XLOOKUP(D21,products!$A$1:$A$49,products!$B$1:$B$49,0)</f>
        <v>Ara</v>
      </c>
      <c r="J21" t="str">
        <f>_xlfn.XLOOKUP('data cleaned'!D21,products!$A$1:$A$49,products!$C$1:$C$49,0)</f>
        <v>M</v>
      </c>
      <c r="K21" s="5">
        <f>_xlfn.XLOOKUP('data cleaned'!D21,products!$A$1:$A$49,products!$D$1:$D$49,0)</f>
        <v>0.2</v>
      </c>
      <c r="L21" s="6">
        <f>_xlfn.XLOOKUP('data cleaned'!D21,products!$A$1:$A$49,products!$E$1:$E$49,0)</f>
        <v>3.375</v>
      </c>
      <c r="M21" s="6">
        <f>'data cleaned'!E21*'data cleaned'!L21</f>
        <v>16.875</v>
      </c>
      <c r="N21" t="str">
        <f t="shared" si="0"/>
        <v>Arabica</v>
      </c>
      <c r="O21" t="str">
        <f t="shared" si="1"/>
        <v>Medium</v>
      </c>
      <c r="P21" t="str">
        <f>_xlfn.XLOOKUP(worksheet[[#This Row],[Customer ID]],customers!$A$1:$A$1001,customers!$I$1:$I$1001,0)</f>
        <v>Yes</v>
      </c>
    </row>
    <row r="22" spans="1:16" x14ac:dyDescent="0.25">
      <c r="A22" s="2" t="s">
        <v>598</v>
      </c>
      <c r="B22" s="4">
        <v>44169</v>
      </c>
      <c r="C22" s="2" t="s">
        <v>599</v>
      </c>
      <c r="D22" t="s">
        <v>6153</v>
      </c>
      <c r="E22" s="2">
        <v>4</v>
      </c>
      <c r="F22" s="2" t="str">
        <f>_xlfn.XLOOKUP(C22,customers!$A$1:$A$1001,customers!$B$1:$B$1001,0)</f>
        <v>Aurea Corradino</v>
      </c>
      <c r="G22" s="2" t="s">
        <v>601</v>
      </c>
      <c r="H22" s="2" t="str">
        <f>_xlfn.XLOOKUP(C22,customers!$A$1:$A$1001,customers!$G$1:$G$1001,0)</f>
        <v>United States</v>
      </c>
      <c r="I22" t="str">
        <f>_xlfn.XLOOKUP(D22,products!$A$1:$A$49,products!$B$1:$B$49,0)</f>
        <v>Exc</v>
      </c>
      <c r="J22" t="str">
        <f>_xlfn.XLOOKUP('data cleaned'!D22,products!$A$1:$A$49,products!$C$1:$C$49,0)</f>
        <v>D</v>
      </c>
      <c r="K22" s="5">
        <f>_xlfn.XLOOKUP('data cleaned'!D22,products!$A$1:$A$49,products!$D$1:$D$49,0)</f>
        <v>0.2</v>
      </c>
      <c r="L22" s="6">
        <f>_xlfn.XLOOKUP('data cleaned'!D22,products!$A$1:$A$49,products!$E$1:$E$49,0)</f>
        <v>3.645</v>
      </c>
      <c r="M22" s="6">
        <f>'data cleaned'!E22*'data cleaned'!L22</f>
        <v>14.58</v>
      </c>
      <c r="N22" t="str">
        <f t="shared" si="0"/>
        <v>Excelsa</v>
      </c>
      <c r="O22" t="str">
        <f t="shared" si="1"/>
        <v>Dark</v>
      </c>
      <c r="P22" t="str">
        <f>_xlfn.XLOOKUP(worksheet[[#This Row],[Customer ID]],customers!$A$1:$A$1001,customers!$I$1:$I$1001,0)</f>
        <v>Yes</v>
      </c>
    </row>
    <row r="23" spans="1:16" x14ac:dyDescent="0.25">
      <c r="A23" s="2" t="s">
        <v>608</v>
      </c>
      <c r="B23" s="4">
        <v>44169</v>
      </c>
      <c r="C23" s="2" t="s">
        <v>609</v>
      </c>
      <c r="D23" t="s">
        <v>6154</v>
      </c>
      <c r="E23" s="2">
        <v>6</v>
      </c>
      <c r="F23" s="2" t="str">
        <f>_xlfn.XLOOKUP(C23,customers!$A$1:$A$1001,customers!$B$1:$B$1001,0)</f>
        <v>Avrit Davidowsky</v>
      </c>
      <c r="G23" s="2" t="s">
        <v>611</v>
      </c>
      <c r="H23" s="2" t="str">
        <f>_xlfn.XLOOKUP(C23,customers!$A$1:$A$1001,customers!$G$1:$G$1001,0)</f>
        <v>United States</v>
      </c>
      <c r="I23" t="str">
        <f>_xlfn.XLOOKUP(D23,products!$A$1:$A$49,products!$B$1:$B$49,0)</f>
        <v>Ara</v>
      </c>
      <c r="J23" t="str">
        <f>_xlfn.XLOOKUP('data cleaned'!D23,products!$A$1:$A$49,products!$C$1:$C$49,0)</f>
        <v>D</v>
      </c>
      <c r="K23" s="5">
        <f>_xlfn.XLOOKUP('data cleaned'!D23,products!$A$1:$A$49,products!$D$1:$D$49,0)</f>
        <v>0.2</v>
      </c>
      <c r="L23" s="6">
        <f>_xlfn.XLOOKUP('data cleaned'!D23,products!$A$1:$A$49,products!$E$1:$E$49,0)</f>
        <v>2.9849999999999999</v>
      </c>
      <c r="M23" s="6">
        <f>'data cleaned'!E23*'data cleaned'!L23</f>
        <v>17.91</v>
      </c>
      <c r="N23" t="str">
        <f t="shared" si="0"/>
        <v>Arabica</v>
      </c>
      <c r="O23" t="str">
        <f t="shared" si="1"/>
        <v>Dark</v>
      </c>
      <c r="P23" t="str">
        <f>_xlfn.XLOOKUP(worksheet[[#This Row],[Customer ID]],customers!$A$1:$A$1001,customers!$I$1:$I$1001,0)</f>
        <v>No</v>
      </c>
    </row>
    <row r="24" spans="1:16" x14ac:dyDescent="0.25">
      <c r="A24" s="2" t="s">
        <v>614</v>
      </c>
      <c r="B24" s="4">
        <v>44218</v>
      </c>
      <c r="C24" s="2" t="s">
        <v>615</v>
      </c>
      <c r="D24" t="s">
        <v>6151</v>
      </c>
      <c r="E24" s="2">
        <v>4</v>
      </c>
      <c r="F24" s="2" t="str">
        <f>_xlfn.XLOOKUP(C24,customers!$A$1:$A$1001,customers!$B$1:$B$1001,0)</f>
        <v>Annabel Antuk</v>
      </c>
      <c r="G24" s="2" t="s">
        <v>617</v>
      </c>
      <c r="H24" s="2" t="str">
        <f>_xlfn.XLOOKUP(C24,customers!$A$1:$A$1001,customers!$G$1:$G$1001,0)</f>
        <v>United States</v>
      </c>
      <c r="I24" t="str">
        <f>_xlfn.XLOOKUP(D24,products!$A$1:$A$49,products!$B$1:$B$49,0)</f>
        <v>Rob</v>
      </c>
      <c r="J24" t="str">
        <f>_xlfn.XLOOKUP('data cleaned'!D24,products!$A$1:$A$49,products!$C$1:$C$49,0)</f>
        <v>M</v>
      </c>
      <c r="K24" s="5">
        <f>_xlfn.XLOOKUP('data cleaned'!D24,products!$A$1:$A$49,products!$D$1:$D$49,0)</f>
        <v>2.5</v>
      </c>
      <c r="L24" s="6">
        <f>_xlfn.XLOOKUP('data cleaned'!D24,products!$A$1:$A$49,products!$E$1:$E$49,0)</f>
        <v>22.884999999999998</v>
      </c>
      <c r="M24" s="6">
        <f>'data cleaned'!E24*'data cleaned'!L24</f>
        <v>91.539999999999992</v>
      </c>
      <c r="N24" t="str">
        <f t="shared" si="0"/>
        <v>Robusta</v>
      </c>
      <c r="O24" t="str">
        <f t="shared" si="1"/>
        <v>Medium</v>
      </c>
      <c r="P24" t="str">
        <f>_xlfn.XLOOKUP(worksheet[[#This Row],[Customer ID]],customers!$A$1:$A$1001,customers!$I$1:$I$1001,0)</f>
        <v>Yes</v>
      </c>
    </row>
    <row r="25" spans="1:16" x14ac:dyDescent="0.25">
      <c r="A25" s="2" t="s">
        <v>620</v>
      </c>
      <c r="B25" s="4">
        <v>44603</v>
      </c>
      <c r="C25" s="2" t="s">
        <v>621</v>
      </c>
      <c r="D25" t="s">
        <v>6154</v>
      </c>
      <c r="E25" s="2">
        <v>4</v>
      </c>
      <c r="F25" s="2" t="str">
        <f>_xlfn.XLOOKUP(C25,customers!$A$1:$A$1001,customers!$B$1:$B$1001,0)</f>
        <v>Iorgo Kleinert</v>
      </c>
      <c r="G25" s="2" t="s">
        <v>623</v>
      </c>
      <c r="H25" s="2" t="str">
        <f>_xlfn.XLOOKUP(C25,customers!$A$1:$A$1001,customers!$G$1:$G$1001,0)</f>
        <v>United States</v>
      </c>
      <c r="I25" t="str">
        <f>_xlfn.XLOOKUP(D25,products!$A$1:$A$49,products!$B$1:$B$49,0)</f>
        <v>Ara</v>
      </c>
      <c r="J25" t="str">
        <f>_xlfn.XLOOKUP('data cleaned'!D25,products!$A$1:$A$49,products!$C$1:$C$49,0)</f>
        <v>D</v>
      </c>
      <c r="K25" s="5">
        <f>_xlfn.XLOOKUP('data cleaned'!D25,products!$A$1:$A$49,products!$D$1:$D$49,0)</f>
        <v>0.2</v>
      </c>
      <c r="L25" s="6">
        <f>_xlfn.XLOOKUP('data cleaned'!D25,products!$A$1:$A$49,products!$E$1:$E$49,0)</f>
        <v>2.9849999999999999</v>
      </c>
      <c r="M25" s="6">
        <f>'data cleaned'!E25*'data cleaned'!L25</f>
        <v>11.94</v>
      </c>
      <c r="N25" t="str">
        <f t="shared" si="0"/>
        <v>Arabica</v>
      </c>
      <c r="O25" t="str">
        <f t="shared" si="1"/>
        <v>Dark</v>
      </c>
      <c r="P25" t="str">
        <f>_xlfn.XLOOKUP(worksheet[[#This Row],[Customer ID]],customers!$A$1:$A$1001,customers!$I$1:$I$1001,0)</f>
        <v>Yes</v>
      </c>
    </row>
    <row r="26" spans="1:16" x14ac:dyDescent="0.25">
      <c r="A26" s="2" t="s">
        <v>626</v>
      </c>
      <c r="B26" s="4">
        <v>44454</v>
      </c>
      <c r="C26" s="2" t="s">
        <v>627</v>
      </c>
      <c r="D26" t="s">
        <v>6155</v>
      </c>
      <c r="E26" s="2">
        <v>1</v>
      </c>
      <c r="F26" s="2" t="str">
        <f>_xlfn.XLOOKUP(C26,customers!$A$1:$A$1001,customers!$B$1:$B$1001,0)</f>
        <v>Chrisy Blofeld</v>
      </c>
      <c r="G26" s="2" t="s">
        <v>629</v>
      </c>
      <c r="H26" s="2" t="str">
        <f>_xlfn.XLOOKUP(C26,customers!$A$1:$A$1001,customers!$G$1:$G$1001,0)</f>
        <v>United States</v>
      </c>
      <c r="I26" t="str">
        <f>_xlfn.XLOOKUP(D26,products!$A$1:$A$49,products!$B$1:$B$49,0)</f>
        <v>Ara</v>
      </c>
      <c r="J26" t="str">
        <f>_xlfn.XLOOKUP('data cleaned'!D26,products!$A$1:$A$49,products!$C$1:$C$49,0)</f>
        <v>M</v>
      </c>
      <c r="K26" s="5">
        <f>_xlfn.XLOOKUP('data cleaned'!D26,products!$A$1:$A$49,products!$D$1:$D$49,0)</f>
        <v>1</v>
      </c>
      <c r="L26" s="6">
        <f>_xlfn.XLOOKUP('data cleaned'!D26,products!$A$1:$A$49,products!$E$1:$E$49,0)</f>
        <v>11.25</v>
      </c>
      <c r="M26" s="6">
        <f>'data cleaned'!E26*'data cleaned'!L26</f>
        <v>11.25</v>
      </c>
      <c r="N26" t="str">
        <f t="shared" si="0"/>
        <v>Arabica</v>
      </c>
      <c r="O26" t="str">
        <f t="shared" si="1"/>
        <v>Medium</v>
      </c>
      <c r="P26" t="str">
        <f>_xlfn.XLOOKUP(worksheet[[#This Row],[Customer ID]],customers!$A$1:$A$1001,customers!$I$1:$I$1001,0)</f>
        <v>No</v>
      </c>
    </row>
    <row r="27" spans="1:16" x14ac:dyDescent="0.25">
      <c r="A27" s="2" t="s">
        <v>632</v>
      </c>
      <c r="B27" s="4">
        <v>44128</v>
      </c>
      <c r="C27" s="2" t="s">
        <v>633</v>
      </c>
      <c r="D27" t="s">
        <v>6156</v>
      </c>
      <c r="E27" s="2">
        <v>3</v>
      </c>
      <c r="F27" s="2" t="str">
        <f>_xlfn.XLOOKUP(C27,customers!$A$1:$A$1001,customers!$B$1:$B$1001,0)</f>
        <v>Culley Farris</v>
      </c>
      <c r="G27" s="2" t="s">
        <v>6222</v>
      </c>
      <c r="H27" s="2" t="str">
        <f>_xlfn.XLOOKUP(C27,customers!$A$1:$A$1001,customers!$G$1:$G$1001,0)</f>
        <v>United States</v>
      </c>
      <c r="I27" t="str">
        <f>_xlfn.XLOOKUP(D27,products!$A$1:$A$49,products!$B$1:$B$49,0)</f>
        <v>Exc</v>
      </c>
      <c r="J27" t="str">
        <f>_xlfn.XLOOKUP('data cleaned'!D27,products!$A$1:$A$49,products!$C$1:$C$49,0)</f>
        <v>M</v>
      </c>
      <c r="K27" s="5">
        <f>_xlfn.XLOOKUP('data cleaned'!D27,products!$A$1:$A$49,products!$D$1:$D$49,0)</f>
        <v>0.2</v>
      </c>
      <c r="L27" s="6">
        <f>_xlfn.XLOOKUP('data cleaned'!D27,products!$A$1:$A$49,products!$E$1:$E$49,0)</f>
        <v>4.125</v>
      </c>
      <c r="M27" s="6">
        <f>'data cleaned'!E27*'data cleaned'!L27</f>
        <v>12.375</v>
      </c>
      <c r="N27" t="str">
        <f t="shared" si="0"/>
        <v>Excelsa</v>
      </c>
      <c r="O27" t="str">
        <f t="shared" si="1"/>
        <v>Medium</v>
      </c>
      <c r="P27" t="str">
        <f>_xlfn.XLOOKUP(worksheet[[#This Row],[Customer ID]],customers!$A$1:$A$1001,customers!$I$1:$I$1001,0)</f>
        <v>Yes</v>
      </c>
    </row>
    <row r="28" spans="1:16" x14ac:dyDescent="0.25">
      <c r="A28" s="2" t="s">
        <v>637</v>
      </c>
      <c r="B28" s="4">
        <v>43516</v>
      </c>
      <c r="C28" s="2" t="s">
        <v>638</v>
      </c>
      <c r="D28" t="s">
        <v>6157</v>
      </c>
      <c r="E28" s="2">
        <v>4</v>
      </c>
      <c r="F28" s="2" t="str">
        <f>_xlfn.XLOOKUP(C28,customers!$A$1:$A$1001,customers!$B$1:$B$1001,0)</f>
        <v>Selene Shales</v>
      </c>
      <c r="G28" s="2" t="s">
        <v>640</v>
      </c>
      <c r="H28" s="2" t="str">
        <f>_xlfn.XLOOKUP(C28,customers!$A$1:$A$1001,customers!$G$1:$G$1001,0)</f>
        <v>United States</v>
      </c>
      <c r="I28" t="str">
        <f>_xlfn.XLOOKUP(D28,products!$A$1:$A$49,products!$B$1:$B$49,0)</f>
        <v>Ara</v>
      </c>
      <c r="J28" t="str">
        <f>_xlfn.XLOOKUP('data cleaned'!D28,products!$A$1:$A$49,products!$C$1:$C$49,0)</f>
        <v>M</v>
      </c>
      <c r="K28" s="5">
        <f>_xlfn.XLOOKUP('data cleaned'!D28,products!$A$1:$A$49,products!$D$1:$D$49,0)</f>
        <v>0.5</v>
      </c>
      <c r="L28" s="6">
        <f>_xlfn.XLOOKUP('data cleaned'!D28,products!$A$1:$A$49,products!$E$1:$E$49,0)</f>
        <v>6.75</v>
      </c>
      <c r="M28" s="6">
        <f>'data cleaned'!E28*'data cleaned'!L28</f>
        <v>27</v>
      </c>
      <c r="N28" t="str">
        <f t="shared" si="0"/>
        <v>Arabica</v>
      </c>
      <c r="O28" t="str">
        <f t="shared" si="1"/>
        <v>Medium</v>
      </c>
      <c r="P28" t="str">
        <f>_xlfn.XLOOKUP(worksheet[[#This Row],[Customer ID]],customers!$A$1:$A$1001,customers!$I$1:$I$1001,0)</f>
        <v>Yes</v>
      </c>
    </row>
    <row r="29" spans="1:16" x14ac:dyDescent="0.25">
      <c r="A29" s="2" t="s">
        <v>643</v>
      </c>
      <c r="B29" s="4">
        <v>43746</v>
      </c>
      <c r="C29" s="2" t="s">
        <v>644</v>
      </c>
      <c r="D29" t="s">
        <v>6152</v>
      </c>
      <c r="E29" s="2">
        <v>5</v>
      </c>
      <c r="F29" s="2" t="str">
        <f>_xlfn.XLOOKUP(C29,customers!$A$1:$A$1001,customers!$B$1:$B$1001,0)</f>
        <v>Vivie Danneil</v>
      </c>
      <c r="G29" s="2" t="s">
        <v>646</v>
      </c>
      <c r="H29" s="2" t="str">
        <f>_xlfn.XLOOKUP(C29,customers!$A$1:$A$1001,customers!$G$1:$G$1001,0)</f>
        <v>Ireland</v>
      </c>
      <c r="I29" t="str">
        <f>_xlfn.XLOOKUP(D29,products!$A$1:$A$49,products!$B$1:$B$49,0)</f>
        <v>Ara</v>
      </c>
      <c r="J29" t="str">
        <f>_xlfn.XLOOKUP('data cleaned'!D29,products!$A$1:$A$49,products!$C$1:$C$49,0)</f>
        <v>M</v>
      </c>
      <c r="K29" s="5">
        <f>_xlfn.XLOOKUP('data cleaned'!D29,products!$A$1:$A$49,products!$D$1:$D$49,0)</f>
        <v>0.2</v>
      </c>
      <c r="L29" s="6">
        <f>_xlfn.XLOOKUP('data cleaned'!D29,products!$A$1:$A$49,products!$E$1:$E$49,0)</f>
        <v>3.375</v>
      </c>
      <c r="M29" s="6">
        <f>'data cleaned'!E29*'data cleaned'!L29</f>
        <v>16.875</v>
      </c>
      <c r="N29" t="str">
        <f t="shared" si="0"/>
        <v>Arabica</v>
      </c>
      <c r="O29" t="str">
        <f t="shared" si="1"/>
        <v>Medium</v>
      </c>
      <c r="P29" t="str">
        <f>_xlfn.XLOOKUP(worksheet[[#This Row],[Customer ID]],customers!$A$1:$A$1001,customers!$I$1:$I$1001,0)</f>
        <v>No</v>
      </c>
    </row>
    <row r="30" spans="1:16" x14ac:dyDescent="0.25">
      <c r="A30" s="2" t="s">
        <v>649</v>
      </c>
      <c r="B30" s="4">
        <v>44775</v>
      </c>
      <c r="C30" s="2" t="s">
        <v>650</v>
      </c>
      <c r="D30" t="s">
        <v>6158</v>
      </c>
      <c r="E30" s="2">
        <v>3</v>
      </c>
      <c r="F30" s="2" t="str">
        <f>_xlfn.XLOOKUP(C30,customers!$A$1:$A$1001,customers!$B$1:$B$1001,0)</f>
        <v>Theresita Newbury</v>
      </c>
      <c r="G30" s="2" t="s">
        <v>652</v>
      </c>
      <c r="H30" s="2" t="str">
        <f>_xlfn.XLOOKUP(C30,customers!$A$1:$A$1001,customers!$G$1:$G$1001,0)</f>
        <v>Ireland</v>
      </c>
      <c r="I30" t="str">
        <f>_xlfn.XLOOKUP(D30,products!$A$1:$A$49,products!$B$1:$B$49,0)</f>
        <v>Ara</v>
      </c>
      <c r="J30" t="str">
        <f>_xlfn.XLOOKUP('data cleaned'!D30,products!$A$1:$A$49,products!$C$1:$C$49,0)</f>
        <v>D</v>
      </c>
      <c r="K30" s="5">
        <f>_xlfn.XLOOKUP('data cleaned'!D30,products!$A$1:$A$49,products!$D$1:$D$49,0)</f>
        <v>0.5</v>
      </c>
      <c r="L30" s="6">
        <f>_xlfn.XLOOKUP('data cleaned'!D30,products!$A$1:$A$49,products!$E$1:$E$49,0)</f>
        <v>5.97</v>
      </c>
      <c r="M30" s="6">
        <f>'data cleaned'!E30*'data cleaned'!L30</f>
        <v>17.91</v>
      </c>
      <c r="N30" t="str">
        <f t="shared" si="0"/>
        <v>Arabica</v>
      </c>
      <c r="O30" t="str">
        <f t="shared" si="1"/>
        <v>Dark</v>
      </c>
      <c r="P30" t="str">
        <f>_xlfn.XLOOKUP(worksheet[[#This Row],[Customer ID]],customers!$A$1:$A$1001,customers!$I$1:$I$1001,0)</f>
        <v>No</v>
      </c>
    </row>
    <row r="31" spans="1:16" x14ac:dyDescent="0.25">
      <c r="A31" s="2" t="s">
        <v>655</v>
      </c>
      <c r="B31" s="4">
        <v>43516</v>
      </c>
      <c r="C31" s="2" t="s">
        <v>656</v>
      </c>
      <c r="D31" t="s">
        <v>6147</v>
      </c>
      <c r="E31" s="2">
        <v>4</v>
      </c>
      <c r="F31" s="2" t="str">
        <f>_xlfn.XLOOKUP(C31,customers!$A$1:$A$1001,customers!$B$1:$B$1001,0)</f>
        <v>Mozelle Calcutt</v>
      </c>
      <c r="G31" s="2" t="s">
        <v>658</v>
      </c>
      <c r="H31" s="2" t="str">
        <f>_xlfn.XLOOKUP(C31,customers!$A$1:$A$1001,customers!$G$1:$G$1001,0)</f>
        <v>Ireland</v>
      </c>
      <c r="I31" t="str">
        <f>_xlfn.XLOOKUP(D31,products!$A$1:$A$49,products!$B$1:$B$49,0)</f>
        <v>Ara</v>
      </c>
      <c r="J31" t="str">
        <f>_xlfn.XLOOKUP('data cleaned'!D31,products!$A$1:$A$49,products!$C$1:$C$49,0)</f>
        <v>D</v>
      </c>
      <c r="K31" s="5">
        <f>_xlfn.XLOOKUP('data cleaned'!D31,products!$A$1:$A$49,products!$D$1:$D$49,0)</f>
        <v>1</v>
      </c>
      <c r="L31" s="6">
        <f>_xlfn.XLOOKUP('data cleaned'!D31,products!$A$1:$A$49,products!$E$1:$E$49,0)</f>
        <v>9.9499999999999993</v>
      </c>
      <c r="M31" s="6">
        <f>'data cleaned'!E31*'data cleaned'!L31</f>
        <v>39.799999999999997</v>
      </c>
      <c r="N31" t="str">
        <f t="shared" si="0"/>
        <v>Arabica</v>
      </c>
      <c r="O31" t="str">
        <f t="shared" si="1"/>
        <v>Dark</v>
      </c>
      <c r="P31" t="str">
        <f>_xlfn.XLOOKUP(worksheet[[#This Row],[Customer ID]],customers!$A$1:$A$1001,customers!$I$1:$I$1001,0)</f>
        <v>Yes</v>
      </c>
    </row>
    <row r="32" spans="1:16" x14ac:dyDescent="0.25">
      <c r="A32" s="2" t="s">
        <v>661</v>
      </c>
      <c r="B32" s="4">
        <v>44464</v>
      </c>
      <c r="C32" s="2" t="s">
        <v>662</v>
      </c>
      <c r="D32" t="s">
        <v>6159</v>
      </c>
      <c r="E32" s="2">
        <v>5</v>
      </c>
      <c r="F32" s="2" t="str">
        <f>_xlfn.XLOOKUP(C32,customers!$A$1:$A$1001,customers!$B$1:$B$1001,0)</f>
        <v>Adrian Swaine</v>
      </c>
      <c r="G32" s="2" t="s">
        <v>6222</v>
      </c>
      <c r="H32" s="2" t="str">
        <f>_xlfn.XLOOKUP(C32,customers!$A$1:$A$1001,customers!$G$1:$G$1001,0)</f>
        <v>United States</v>
      </c>
      <c r="I32" t="str">
        <f>_xlfn.XLOOKUP(D32,products!$A$1:$A$49,products!$B$1:$B$49,0)</f>
        <v>Lib</v>
      </c>
      <c r="J32" t="str">
        <f>_xlfn.XLOOKUP('data cleaned'!D32,products!$A$1:$A$49,products!$C$1:$C$49,0)</f>
        <v>M</v>
      </c>
      <c r="K32" s="5">
        <f>_xlfn.XLOOKUP('data cleaned'!D32,products!$A$1:$A$49,products!$D$1:$D$49,0)</f>
        <v>0.2</v>
      </c>
      <c r="L32" s="6">
        <f>_xlfn.XLOOKUP('data cleaned'!D32,products!$A$1:$A$49,products!$E$1:$E$49,0)</f>
        <v>4.3650000000000002</v>
      </c>
      <c r="M32" s="6">
        <f>'data cleaned'!E32*'data cleaned'!L32</f>
        <v>21.825000000000003</v>
      </c>
      <c r="N32" t="str">
        <f t="shared" si="0"/>
        <v>Liberica</v>
      </c>
      <c r="O32" t="str">
        <f t="shared" si="1"/>
        <v>Medium</v>
      </c>
      <c r="P32" t="str">
        <f>_xlfn.XLOOKUP(worksheet[[#This Row],[Customer ID]],customers!$A$1:$A$1001,customers!$I$1:$I$1001,0)</f>
        <v>No</v>
      </c>
    </row>
    <row r="33" spans="1:16" x14ac:dyDescent="0.25">
      <c r="A33" s="2" t="s">
        <v>661</v>
      </c>
      <c r="B33" s="4">
        <v>44464</v>
      </c>
      <c r="C33" s="2" t="s">
        <v>662</v>
      </c>
      <c r="D33" t="s">
        <v>6158</v>
      </c>
      <c r="E33" s="2">
        <v>6</v>
      </c>
      <c r="F33" s="2" t="str">
        <f>_xlfn.XLOOKUP(C33,customers!$A$1:$A$1001,customers!$B$1:$B$1001,0)</f>
        <v>Adrian Swaine</v>
      </c>
      <c r="G33" s="2" t="s">
        <v>6222</v>
      </c>
      <c r="H33" s="2" t="str">
        <f>_xlfn.XLOOKUP(C33,customers!$A$1:$A$1001,customers!$G$1:$G$1001,0)</f>
        <v>United States</v>
      </c>
      <c r="I33" t="str">
        <f>_xlfn.XLOOKUP(D33,products!$A$1:$A$49,products!$B$1:$B$49,0)</f>
        <v>Ara</v>
      </c>
      <c r="J33" t="str">
        <f>_xlfn.XLOOKUP('data cleaned'!D33,products!$A$1:$A$49,products!$C$1:$C$49,0)</f>
        <v>D</v>
      </c>
      <c r="K33" s="5">
        <f>_xlfn.XLOOKUP('data cleaned'!D33,products!$A$1:$A$49,products!$D$1:$D$49,0)</f>
        <v>0.5</v>
      </c>
      <c r="L33" s="6">
        <f>_xlfn.XLOOKUP('data cleaned'!D33,products!$A$1:$A$49,products!$E$1:$E$49,0)</f>
        <v>5.97</v>
      </c>
      <c r="M33" s="6">
        <f>'data cleaned'!E33*'data cleaned'!L33</f>
        <v>35.82</v>
      </c>
      <c r="N33" t="str">
        <f t="shared" si="0"/>
        <v>Arabica</v>
      </c>
      <c r="O33" t="str">
        <f t="shared" si="1"/>
        <v>Dark</v>
      </c>
      <c r="P33" t="str">
        <f>_xlfn.XLOOKUP(worksheet[[#This Row],[Customer ID]],customers!$A$1:$A$1001,customers!$I$1:$I$1001,0)</f>
        <v>No</v>
      </c>
    </row>
    <row r="34" spans="1:16" x14ac:dyDescent="0.25">
      <c r="A34" s="2" t="s">
        <v>661</v>
      </c>
      <c r="B34" s="4">
        <v>44464</v>
      </c>
      <c r="C34" s="2" t="s">
        <v>662</v>
      </c>
      <c r="D34" t="s">
        <v>6160</v>
      </c>
      <c r="E34" s="2">
        <v>6</v>
      </c>
      <c r="F34" s="2" t="str">
        <f>_xlfn.XLOOKUP(C34,customers!$A$1:$A$1001,customers!$B$1:$B$1001,0)</f>
        <v>Adrian Swaine</v>
      </c>
      <c r="G34" s="2" t="s">
        <v>6222</v>
      </c>
      <c r="H34" s="2" t="str">
        <f>_xlfn.XLOOKUP(C34,customers!$A$1:$A$1001,customers!$G$1:$G$1001,0)</f>
        <v>United States</v>
      </c>
      <c r="I34" t="str">
        <f>_xlfn.XLOOKUP(D34,products!$A$1:$A$49,products!$B$1:$B$49,0)</f>
        <v>Lib</v>
      </c>
      <c r="J34" t="str">
        <f>_xlfn.XLOOKUP('data cleaned'!D34,products!$A$1:$A$49,products!$C$1:$C$49,0)</f>
        <v>M</v>
      </c>
      <c r="K34" s="5">
        <f>_xlfn.XLOOKUP('data cleaned'!D34,products!$A$1:$A$49,products!$D$1:$D$49,0)</f>
        <v>0.5</v>
      </c>
      <c r="L34" s="6">
        <f>_xlfn.XLOOKUP('data cleaned'!D34,products!$A$1:$A$49,products!$E$1:$E$49,0)</f>
        <v>8.73</v>
      </c>
      <c r="M34" s="6">
        <f>'data cleaned'!E34*'data cleaned'!L34</f>
        <v>52.38</v>
      </c>
      <c r="N34" t="str">
        <f t="shared" si="0"/>
        <v>Liberica</v>
      </c>
      <c r="O34" t="str">
        <f t="shared" si="1"/>
        <v>Medium</v>
      </c>
      <c r="P34" t="str">
        <f>_xlfn.XLOOKUP(worksheet[[#This Row],[Customer ID]],customers!$A$1:$A$1001,customers!$I$1:$I$1001,0)</f>
        <v>No</v>
      </c>
    </row>
    <row r="35" spans="1:16" x14ac:dyDescent="0.25">
      <c r="A35" s="2" t="s">
        <v>676</v>
      </c>
      <c r="B35" s="4">
        <v>44394</v>
      </c>
      <c r="C35" s="2" t="s">
        <v>677</v>
      </c>
      <c r="D35" t="s">
        <v>6145</v>
      </c>
      <c r="E35" s="2">
        <v>5</v>
      </c>
      <c r="F35" s="2" t="str">
        <f>_xlfn.XLOOKUP(C35,customers!$A$1:$A$1001,customers!$B$1:$B$1001,0)</f>
        <v>Gallard Gatheral</v>
      </c>
      <c r="G35" s="2" t="s">
        <v>679</v>
      </c>
      <c r="H35" s="2" t="str">
        <f>_xlfn.XLOOKUP(C35,customers!$A$1:$A$1001,customers!$G$1:$G$1001,0)</f>
        <v>United States</v>
      </c>
      <c r="I35" t="str">
        <f>_xlfn.XLOOKUP(D35,products!$A$1:$A$49,products!$B$1:$B$49,0)</f>
        <v>Lib</v>
      </c>
      <c r="J35" t="str">
        <f>_xlfn.XLOOKUP('data cleaned'!D35,products!$A$1:$A$49,products!$C$1:$C$49,0)</f>
        <v>L</v>
      </c>
      <c r="K35" s="5">
        <f>_xlfn.XLOOKUP('data cleaned'!D35,products!$A$1:$A$49,products!$D$1:$D$49,0)</f>
        <v>0.2</v>
      </c>
      <c r="L35" s="6">
        <f>_xlfn.XLOOKUP('data cleaned'!D35,products!$A$1:$A$49,products!$E$1:$E$49,0)</f>
        <v>4.7549999999999999</v>
      </c>
      <c r="M35" s="6">
        <f>'data cleaned'!E35*'data cleaned'!L35</f>
        <v>23.774999999999999</v>
      </c>
      <c r="N35" t="str">
        <f t="shared" si="0"/>
        <v>Liberica</v>
      </c>
      <c r="O35" t="str">
        <f t="shared" si="1"/>
        <v>Light</v>
      </c>
      <c r="P35" t="str">
        <f>_xlfn.XLOOKUP(worksheet[[#This Row],[Customer ID]],customers!$A$1:$A$1001,customers!$I$1:$I$1001,0)</f>
        <v>No</v>
      </c>
    </row>
    <row r="36" spans="1:16" x14ac:dyDescent="0.25">
      <c r="A36" s="2" t="s">
        <v>681</v>
      </c>
      <c r="B36" s="4">
        <v>44011</v>
      </c>
      <c r="C36" s="2" t="s">
        <v>682</v>
      </c>
      <c r="D36" t="s">
        <v>6161</v>
      </c>
      <c r="E36" s="2">
        <v>6</v>
      </c>
      <c r="F36" s="2" t="str">
        <f>_xlfn.XLOOKUP(C36,customers!$A$1:$A$1001,customers!$B$1:$B$1001,0)</f>
        <v>Una Welberry</v>
      </c>
      <c r="G36" s="2" t="s">
        <v>684</v>
      </c>
      <c r="H36" s="2" t="str">
        <f>_xlfn.XLOOKUP(C36,customers!$A$1:$A$1001,customers!$G$1:$G$1001,0)</f>
        <v>United Kingdom</v>
      </c>
      <c r="I36" t="str">
        <f>_xlfn.XLOOKUP(D36,products!$A$1:$A$49,products!$B$1:$B$49,0)</f>
        <v>Lib</v>
      </c>
      <c r="J36" t="str">
        <f>_xlfn.XLOOKUP('data cleaned'!D36,products!$A$1:$A$49,products!$C$1:$C$49,0)</f>
        <v>L</v>
      </c>
      <c r="K36" s="5">
        <f>_xlfn.XLOOKUP('data cleaned'!D36,products!$A$1:$A$49,products!$D$1:$D$49,0)</f>
        <v>0.5</v>
      </c>
      <c r="L36" s="6">
        <f>_xlfn.XLOOKUP('data cleaned'!D36,products!$A$1:$A$49,products!$E$1:$E$49,0)</f>
        <v>9.51</v>
      </c>
      <c r="M36" s="6">
        <f>'data cleaned'!E36*'data cleaned'!L36</f>
        <v>57.06</v>
      </c>
      <c r="N36" t="str">
        <f t="shared" si="0"/>
        <v>Liberica</v>
      </c>
      <c r="O36" t="str">
        <f t="shared" si="1"/>
        <v>Light</v>
      </c>
      <c r="P36" t="str">
        <f>_xlfn.XLOOKUP(worksheet[[#This Row],[Customer ID]],customers!$A$1:$A$1001,customers!$I$1:$I$1001,0)</f>
        <v>Yes</v>
      </c>
    </row>
    <row r="37" spans="1:16" x14ac:dyDescent="0.25">
      <c r="A37" s="2" t="s">
        <v>687</v>
      </c>
      <c r="B37" s="4">
        <v>44348</v>
      </c>
      <c r="C37" s="2" t="s">
        <v>688</v>
      </c>
      <c r="D37" t="s">
        <v>6158</v>
      </c>
      <c r="E37" s="2">
        <v>6</v>
      </c>
      <c r="F37" s="2" t="str">
        <f>_xlfn.XLOOKUP(C37,customers!$A$1:$A$1001,customers!$B$1:$B$1001,0)</f>
        <v>Faber Eilhart</v>
      </c>
      <c r="G37" s="2" t="s">
        <v>690</v>
      </c>
      <c r="H37" s="2" t="str">
        <f>_xlfn.XLOOKUP(C37,customers!$A$1:$A$1001,customers!$G$1:$G$1001,0)</f>
        <v>United States</v>
      </c>
      <c r="I37" t="str">
        <f>_xlfn.XLOOKUP(D37,products!$A$1:$A$49,products!$B$1:$B$49,0)</f>
        <v>Ara</v>
      </c>
      <c r="J37" t="str">
        <f>_xlfn.XLOOKUP('data cleaned'!D37,products!$A$1:$A$49,products!$C$1:$C$49,0)</f>
        <v>D</v>
      </c>
      <c r="K37" s="5">
        <f>_xlfn.XLOOKUP('data cleaned'!D37,products!$A$1:$A$49,products!$D$1:$D$49,0)</f>
        <v>0.5</v>
      </c>
      <c r="L37" s="6">
        <f>_xlfn.XLOOKUP('data cleaned'!D37,products!$A$1:$A$49,products!$E$1:$E$49,0)</f>
        <v>5.97</v>
      </c>
      <c r="M37" s="6">
        <f>'data cleaned'!E37*'data cleaned'!L37</f>
        <v>35.82</v>
      </c>
      <c r="N37" t="str">
        <f t="shared" si="0"/>
        <v>Arabica</v>
      </c>
      <c r="O37" t="str">
        <f t="shared" si="1"/>
        <v>Dark</v>
      </c>
      <c r="P37" t="str">
        <f>_xlfn.XLOOKUP(worksheet[[#This Row],[Customer ID]],customers!$A$1:$A$1001,customers!$I$1:$I$1001,0)</f>
        <v>No</v>
      </c>
    </row>
    <row r="38" spans="1:16" x14ac:dyDescent="0.25">
      <c r="A38" s="2" t="s">
        <v>693</v>
      </c>
      <c r="B38" s="4">
        <v>44233</v>
      </c>
      <c r="C38" s="2" t="s">
        <v>694</v>
      </c>
      <c r="D38" t="s">
        <v>6159</v>
      </c>
      <c r="E38" s="2">
        <v>2</v>
      </c>
      <c r="F38" s="2" t="str">
        <f>_xlfn.XLOOKUP(C38,customers!$A$1:$A$1001,customers!$B$1:$B$1001,0)</f>
        <v>Zorina Ponting</v>
      </c>
      <c r="G38" s="2" t="s">
        <v>696</v>
      </c>
      <c r="H38" s="2" t="str">
        <f>_xlfn.XLOOKUP(C38,customers!$A$1:$A$1001,customers!$G$1:$G$1001,0)</f>
        <v>United States</v>
      </c>
      <c r="I38" t="str">
        <f>_xlfn.XLOOKUP(D38,products!$A$1:$A$49,products!$B$1:$B$49,0)</f>
        <v>Lib</v>
      </c>
      <c r="J38" t="str">
        <f>_xlfn.XLOOKUP('data cleaned'!D38,products!$A$1:$A$49,products!$C$1:$C$49,0)</f>
        <v>M</v>
      </c>
      <c r="K38" s="5">
        <f>_xlfn.XLOOKUP('data cleaned'!D38,products!$A$1:$A$49,products!$D$1:$D$49,0)</f>
        <v>0.2</v>
      </c>
      <c r="L38" s="6">
        <f>_xlfn.XLOOKUP('data cleaned'!D38,products!$A$1:$A$49,products!$E$1:$E$49,0)</f>
        <v>4.3650000000000002</v>
      </c>
      <c r="M38" s="6">
        <f>'data cleaned'!E38*'data cleaned'!L38</f>
        <v>8.73</v>
      </c>
      <c r="N38" t="str">
        <f t="shared" si="0"/>
        <v>Liberica</v>
      </c>
      <c r="O38" t="str">
        <f t="shared" si="1"/>
        <v>Medium</v>
      </c>
      <c r="P38" t="str">
        <f>_xlfn.XLOOKUP(worksheet[[#This Row],[Customer ID]],customers!$A$1:$A$1001,customers!$I$1:$I$1001,0)</f>
        <v>No</v>
      </c>
    </row>
    <row r="39" spans="1:16" x14ac:dyDescent="0.25">
      <c r="A39" s="2" t="s">
        <v>699</v>
      </c>
      <c r="B39" s="4">
        <v>43580</v>
      </c>
      <c r="C39" s="2" t="s">
        <v>700</v>
      </c>
      <c r="D39" t="s">
        <v>6161</v>
      </c>
      <c r="E39" s="2">
        <v>3</v>
      </c>
      <c r="F39" s="2" t="str">
        <f>_xlfn.XLOOKUP(C39,customers!$A$1:$A$1001,customers!$B$1:$B$1001,0)</f>
        <v>Silvio Strase</v>
      </c>
      <c r="G39" s="2" t="s">
        <v>702</v>
      </c>
      <c r="H39" s="2" t="str">
        <f>_xlfn.XLOOKUP(C39,customers!$A$1:$A$1001,customers!$G$1:$G$1001,0)</f>
        <v>United States</v>
      </c>
      <c r="I39" t="str">
        <f>_xlfn.XLOOKUP(D39,products!$A$1:$A$49,products!$B$1:$B$49,0)</f>
        <v>Lib</v>
      </c>
      <c r="J39" t="str">
        <f>_xlfn.XLOOKUP('data cleaned'!D39,products!$A$1:$A$49,products!$C$1:$C$49,0)</f>
        <v>L</v>
      </c>
      <c r="K39" s="5">
        <f>_xlfn.XLOOKUP('data cleaned'!D39,products!$A$1:$A$49,products!$D$1:$D$49,0)</f>
        <v>0.5</v>
      </c>
      <c r="L39" s="6">
        <f>_xlfn.XLOOKUP('data cleaned'!D39,products!$A$1:$A$49,products!$E$1:$E$49,0)</f>
        <v>9.51</v>
      </c>
      <c r="M39" s="6">
        <f>'data cleaned'!E39*'data cleaned'!L39</f>
        <v>28.53</v>
      </c>
      <c r="N39" t="str">
        <f t="shared" si="0"/>
        <v>Liberica</v>
      </c>
      <c r="O39" t="str">
        <f t="shared" si="1"/>
        <v>Light</v>
      </c>
      <c r="P39" t="str">
        <f>_xlfn.XLOOKUP(worksheet[[#This Row],[Customer ID]],customers!$A$1:$A$1001,customers!$I$1:$I$1001,0)</f>
        <v>No</v>
      </c>
    </row>
    <row r="40" spans="1:16" x14ac:dyDescent="0.25">
      <c r="A40" s="2" t="s">
        <v>705</v>
      </c>
      <c r="B40" s="4">
        <v>43946</v>
      </c>
      <c r="C40" s="2" t="s">
        <v>706</v>
      </c>
      <c r="D40" t="s">
        <v>6151</v>
      </c>
      <c r="E40" s="2">
        <v>5</v>
      </c>
      <c r="F40" s="2" t="str">
        <f>_xlfn.XLOOKUP(C40,customers!$A$1:$A$1001,customers!$B$1:$B$1001,0)</f>
        <v>Dorie de la Tremoille</v>
      </c>
      <c r="G40" s="2" t="s">
        <v>708</v>
      </c>
      <c r="H40" s="2" t="str">
        <f>_xlfn.XLOOKUP(C40,customers!$A$1:$A$1001,customers!$G$1:$G$1001,0)</f>
        <v>United States</v>
      </c>
      <c r="I40" t="str">
        <f>_xlfn.XLOOKUP(D40,products!$A$1:$A$49,products!$B$1:$B$49,0)</f>
        <v>Rob</v>
      </c>
      <c r="J40" t="str">
        <f>_xlfn.XLOOKUP('data cleaned'!D40,products!$A$1:$A$49,products!$C$1:$C$49,0)</f>
        <v>M</v>
      </c>
      <c r="K40" s="5">
        <f>_xlfn.XLOOKUP('data cleaned'!D40,products!$A$1:$A$49,products!$D$1:$D$49,0)</f>
        <v>2.5</v>
      </c>
      <c r="L40" s="6">
        <f>_xlfn.XLOOKUP('data cleaned'!D40,products!$A$1:$A$49,products!$E$1:$E$49,0)</f>
        <v>22.884999999999998</v>
      </c>
      <c r="M40" s="6">
        <f>'data cleaned'!E40*'data cleaned'!L40</f>
        <v>114.42499999999998</v>
      </c>
      <c r="N40" t="str">
        <f t="shared" si="0"/>
        <v>Robusta</v>
      </c>
      <c r="O40" t="str">
        <f t="shared" si="1"/>
        <v>Medium</v>
      </c>
      <c r="P40" t="str">
        <f>_xlfn.XLOOKUP(worksheet[[#This Row],[Customer ID]],customers!$A$1:$A$1001,customers!$I$1:$I$1001,0)</f>
        <v>No</v>
      </c>
    </row>
    <row r="41" spans="1:16" x14ac:dyDescent="0.25">
      <c r="A41" s="2" t="s">
        <v>711</v>
      </c>
      <c r="B41" s="4">
        <v>44524</v>
      </c>
      <c r="C41" s="2" t="s">
        <v>712</v>
      </c>
      <c r="D41" t="s">
        <v>6138</v>
      </c>
      <c r="E41" s="2">
        <v>6</v>
      </c>
      <c r="F41" s="2" t="str">
        <f>_xlfn.XLOOKUP(C41,customers!$A$1:$A$1001,customers!$B$1:$B$1001,0)</f>
        <v>Hy Zanetto</v>
      </c>
      <c r="G41" s="2" t="s">
        <v>6222</v>
      </c>
      <c r="H41" s="2" t="str">
        <f>_xlfn.XLOOKUP(C41,customers!$A$1:$A$1001,customers!$G$1:$G$1001,0)</f>
        <v>United States</v>
      </c>
      <c r="I41" t="str">
        <f>_xlfn.XLOOKUP(D41,products!$A$1:$A$49,products!$B$1:$B$49,0)</f>
        <v>Rob</v>
      </c>
      <c r="J41" t="str">
        <f>_xlfn.XLOOKUP('data cleaned'!D41,products!$A$1:$A$49,products!$C$1:$C$49,0)</f>
        <v>M</v>
      </c>
      <c r="K41" s="5">
        <f>_xlfn.XLOOKUP('data cleaned'!D41,products!$A$1:$A$49,products!$D$1:$D$49,0)</f>
        <v>1</v>
      </c>
      <c r="L41" s="6">
        <f>_xlfn.XLOOKUP('data cleaned'!D41,products!$A$1:$A$49,products!$E$1:$E$49,0)</f>
        <v>9.9499999999999993</v>
      </c>
      <c r="M41" s="6">
        <f>'data cleaned'!E41*'data cleaned'!L41</f>
        <v>59.699999999999996</v>
      </c>
      <c r="N41" t="str">
        <f t="shared" si="0"/>
        <v>Robusta</v>
      </c>
      <c r="O41" t="str">
        <f t="shared" si="1"/>
        <v>Medium</v>
      </c>
      <c r="P41" t="str">
        <f>_xlfn.XLOOKUP(worksheet[[#This Row],[Customer ID]],customers!$A$1:$A$1001,customers!$I$1:$I$1001,0)</f>
        <v>Yes</v>
      </c>
    </row>
    <row r="42" spans="1:16" x14ac:dyDescent="0.25">
      <c r="A42" s="2" t="s">
        <v>715</v>
      </c>
      <c r="B42" s="4">
        <v>44305</v>
      </c>
      <c r="C42" s="2" t="s">
        <v>716</v>
      </c>
      <c r="D42" t="s">
        <v>6162</v>
      </c>
      <c r="E42" s="2">
        <v>3</v>
      </c>
      <c r="F42" s="2" t="str">
        <f>_xlfn.XLOOKUP(C42,customers!$A$1:$A$1001,customers!$B$1:$B$1001,0)</f>
        <v>Jessica McNess</v>
      </c>
      <c r="G42" s="2" t="s">
        <v>6222</v>
      </c>
      <c r="H42" s="2" t="str">
        <f>_xlfn.XLOOKUP(C42,customers!$A$1:$A$1001,customers!$G$1:$G$1001,0)</f>
        <v>United States</v>
      </c>
      <c r="I42" t="str">
        <f>_xlfn.XLOOKUP(D42,products!$A$1:$A$49,products!$B$1:$B$49,0)</f>
        <v>Lib</v>
      </c>
      <c r="J42" t="str">
        <f>_xlfn.XLOOKUP('data cleaned'!D42,products!$A$1:$A$49,products!$C$1:$C$49,0)</f>
        <v>M</v>
      </c>
      <c r="K42" s="5">
        <f>_xlfn.XLOOKUP('data cleaned'!D42,products!$A$1:$A$49,products!$D$1:$D$49,0)</f>
        <v>1</v>
      </c>
      <c r="L42" s="6">
        <f>_xlfn.XLOOKUP('data cleaned'!D42,products!$A$1:$A$49,products!$E$1:$E$49,0)</f>
        <v>14.55</v>
      </c>
      <c r="M42" s="6">
        <f>'data cleaned'!E42*'data cleaned'!L42</f>
        <v>43.650000000000006</v>
      </c>
      <c r="N42" t="str">
        <f t="shared" si="0"/>
        <v>Liberica</v>
      </c>
      <c r="O42" t="str">
        <f t="shared" si="1"/>
        <v>Medium</v>
      </c>
      <c r="P42" t="str">
        <f>_xlfn.XLOOKUP(worksheet[[#This Row],[Customer ID]],customers!$A$1:$A$1001,customers!$I$1:$I$1001,0)</f>
        <v>No</v>
      </c>
    </row>
    <row r="43" spans="1:16" x14ac:dyDescent="0.25">
      <c r="A43" s="2" t="s">
        <v>720</v>
      </c>
      <c r="B43" s="4">
        <v>44749</v>
      </c>
      <c r="C43" s="2" t="s">
        <v>721</v>
      </c>
      <c r="D43" t="s">
        <v>6153</v>
      </c>
      <c r="E43" s="2">
        <v>2</v>
      </c>
      <c r="F43" s="2" t="str">
        <f>_xlfn.XLOOKUP(C43,customers!$A$1:$A$1001,customers!$B$1:$B$1001,0)</f>
        <v>Lorenzo Yeoland</v>
      </c>
      <c r="G43" s="2" t="s">
        <v>723</v>
      </c>
      <c r="H43" s="2" t="str">
        <f>_xlfn.XLOOKUP(C43,customers!$A$1:$A$1001,customers!$G$1:$G$1001,0)</f>
        <v>United States</v>
      </c>
      <c r="I43" t="str">
        <f>_xlfn.XLOOKUP(D43,products!$A$1:$A$49,products!$B$1:$B$49,0)</f>
        <v>Exc</v>
      </c>
      <c r="J43" t="str">
        <f>_xlfn.XLOOKUP('data cleaned'!D43,products!$A$1:$A$49,products!$C$1:$C$49,0)</f>
        <v>D</v>
      </c>
      <c r="K43" s="5">
        <f>_xlfn.XLOOKUP('data cleaned'!D43,products!$A$1:$A$49,products!$D$1:$D$49,0)</f>
        <v>0.2</v>
      </c>
      <c r="L43" s="6">
        <f>_xlfn.XLOOKUP('data cleaned'!D43,products!$A$1:$A$49,products!$E$1:$E$49,0)</f>
        <v>3.645</v>
      </c>
      <c r="M43" s="6">
        <f>'data cleaned'!E43*'data cleaned'!L43</f>
        <v>7.29</v>
      </c>
      <c r="N43" t="str">
        <f t="shared" si="0"/>
        <v>Excelsa</v>
      </c>
      <c r="O43" t="str">
        <f t="shared" si="1"/>
        <v>Dark</v>
      </c>
      <c r="P43" t="str">
        <f>_xlfn.XLOOKUP(worksheet[[#This Row],[Customer ID]],customers!$A$1:$A$1001,customers!$I$1:$I$1001,0)</f>
        <v>Yes</v>
      </c>
    </row>
    <row r="44" spans="1:16" x14ac:dyDescent="0.25">
      <c r="A44" s="2" t="s">
        <v>726</v>
      </c>
      <c r="B44" s="4">
        <v>43607</v>
      </c>
      <c r="C44" s="2" t="s">
        <v>727</v>
      </c>
      <c r="D44" t="s">
        <v>6163</v>
      </c>
      <c r="E44" s="2">
        <v>3</v>
      </c>
      <c r="F44" s="2" t="str">
        <f>_xlfn.XLOOKUP(C44,customers!$A$1:$A$1001,customers!$B$1:$B$1001,0)</f>
        <v>Abigail Tolworthy</v>
      </c>
      <c r="G44" s="2" t="s">
        <v>729</v>
      </c>
      <c r="H44" s="2" t="str">
        <f>_xlfn.XLOOKUP(C44,customers!$A$1:$A$1001,customers!$G$1:$G$1001,0)</f>
        <v>United States</v>
      </c>
      <c r="I44" t="str">
        <f>_xlfn.XLOOKUP(D44,products!$A$1:$A$49,products!$B$1:$B$49,0)</f>
        <v>Rob</v>
      </c>
      <c r="J44" t="str">
        <f>_xlfn.XLOOKUP('data cleaned'!D44,products!$A$1:$A$49,products!$C$1:$C$49,0)</f>
        <v>D</v>
      </c>
      <c r="K44" s="5">
        <f>_xlfn.XLOOKUP('data cleaned'!D44,products!$A$1:$A$49,products!$D$1:$D$49,0)</f>
        <v>0.2</v>
      </c>
      <c r="L44" s="6">
        <f>_xlfn.XLOOKUP('data cleaned'!D44,products!$A$1:$A$49,products!$E$1:$E$49,0)</f>
        <v>2.6849999999999996</v>
      </c>
      <c r="M44" s="6">
        <f>'data cleaned'!E44*'data cleaned'!L44</f>
        <v>8.0549999999999997</v>
      </c>
      <c r="N44" t="str">
        <f t="shared" si="0"/>
        <v>Robusta</v>
      </c>
      <c r="O44" t="str">
        <f t="shared" si="1"/>
        <v>Dark</v>
      </c>
      <c r="P44" t="str">
        <f>_xlfn.XLOOKUP(worksheet[[#This Row],[Customer ID]],customers!$A$1:$A$1001,customers!$I$1:$I$1001,0)</f>
        <v>Yes</v>
      </c>
    </row>
    <row r="45" spans="1:16" x14ac:dyDescent="0.25">
      <c r="A45" s="2" t="s">
        <v>733</v>
      </c>
      <c r="B45" s="4">
        <v>44473</v>
      </c>
      <c r="C45" s="2" t="s">
        <v>734</v>
      </c>
      <c r="D45" t="s">
        <v>6164</v>
      </c>
      <c r="E45" s="2">
        <v>2</v>
      </c>
      <c r="F45" s="2" t="str">
        <f>_xlfn.XLOOKUP(C45,customers!$A$1:$A$1001,customers!$B$1:$B$1001,0)</f>
        <v>Maurie Bartol</v>
      </c>
      <c r="G45" s="2" t="s">
        <v>6222</v>
      </c>
      <c r="H45" s="2" t="str">
        <f>_xlfn.XLOOKUP(C45,customers!$A$1:$A$1001,customers!$G$1:$G$1001,0)</f>
        <v>United States</v>
      </c>
      <c r="I45" t="str">
        <f>_xlfn.XLOOKUP(D45,products!$A$1:$A$49,products!$B$1:$B$49,0)</f>
        <v>Lib</v>
      </c>
      <c r="J45" t="str">
        <f>_xlfn.XLOOKUP('data cleaned'!D45,products!$A$1:$A$49,products!$C$1:$C$49,0)</f>
        <v>L</v>
      </c>
      <c r="K45" s="5">
        <f>_xlfn.XLOOKUP('data cleaned'!D45,products!$A$1:$A$49,products!$D$1:$D$49,0)</f>
        <v>2.5</v>
      </c>
      <c r="L45" s="6">
        <f>_xlfn.XLOOKUP('data cleaned'!D45,products!$A$1:$A$49,products!$E$1:$E$49,0)</f>
        <v>36.454999999999998</v>
      </c>
      <c r="M45" s="6">
        <f>'data cleaned'!E45*'data cleaned'!L45</f>
        <v>72.91</v>
      </c>
      <c r="N45" t="str">
        <f t="shared" si="0"/>
        <v>Liberica</v>
      </c>
      <c r="O45" t="str">
        <f t="shared" si="1"/>
        <v>Light</v>
      </c>
      <c r="P45" t="str">
        <f>_xlfn.XLOOKUP(worksheet[[#This Row],[Customer ID]],customers!$A$1:$A$1001,customers!$I$1:$I$1001,0)</f>
        <v>No</v>
      </c>
    </row>
    <row r="46" spans="1:16" x14ac:dyDescent="0.25">
      <c r="A46" s="2" t="s">
        <v>738</v>
      </c>
      <c r="B46" s="4">
        <v>43932</v>
      </c>
      <c r="C46" s="2" t="s">
        <v>739</v>
      </c>
      <c r="D46" t="s">
        <v>6139</v>
      </c>
      <c r="E46" s="2">
        <v>2</v>
      </c>
      <c r="F46" s="2" t="str">
        <f>_xlfn.XLOOKUP(C46,customers!$A$1:$A$1001,customers!$B$1:$B$1001,0)</f>
        <v>Olag Baudassi</v>
      </c>
      <c r="G46" s="2" t="s">
        <v>741</v>
      </c>
      <c r="H46" s="2" t="str">
        <f>_xlfn.XLOOKUP(C46,customers!$A$1:$A$1001,customers!$G$1:$G$1001,0)</f>
        <v>United States</v>
      </c>
      <c r="I46" t="str">
        <f>_xlfn.XLOOKUP(D46,products!$A$1:$A$49,products!$B$1:$B$49,0)</f>
        <v>Exc</v>
      </c>
      <c r="J46" t="str">
        <f>_xlfn.XLOOKUP('data cleaned'!D46,products!$A$1:$A$49,products!$C$1:$C$49,0)</f>
        <v>M</v>
      </c>
      <c r="K46" s="5">
        <f>_xlfn.XLOOKUP('data cleaned'!D46,products!$A$1:$A$49,products!$D$1:$D$49,0)</f>
        <v>0.5</v>
      </c>
      <c r="L46" s="6">
        <f>_xlfn.XLOOKUP('data cleaned'!D46,products!$A$1:$A$49,products!$E$1:$E$49,0)</f>
        <v>8.25</v>
      </c>
      <c r="M46" s="6">
        <f>'data cleaned'!E46*'data cleaned'!L46</f>
        <v>16.5</v>
      </c>
      <c r="N46" t="str">
        <f t="shared" si="0"/>
        <v>Excelsa</v>
      </c>
      <c r="O46" t="str">
        <f t="shared" si="1"/>
        <v>Medium</v>
      </c>
      <c r="P46" t="str">
        <f>_xlfn.XLOOKUP(worksheet[[#This Row],[Customer ID]],customers!$A$1:$A$1001,customers!$I$1:$I$1001,0)</f>
        <v>Yes</v>
      </c>
    </row>
    <row r="47" spans="1:16" x14ac:dyDescent="0.25">
      <c r="A47" s="2" t="s">
        <v>744</v>
      </c>
      <c r="B47" s="4">
        <v>44592</v>
      </c>
      <c r="C47" s="2" t="s">
        <v>745</v>
      </c>
      <c r="D47" t="s">
        <v>6165</v>
      </c>
      <c r="E47" s="2">
        <v>6</v>
      </c>
      <c r="F47" s="2" t="str">
        <f>_xlfn.XLOOKUP(C47,customers!$A$1:$A$1001,customers!$B$1:$B$1001,0)</f>
        <v>Petey Kingsbury</v>
      </c>
      <c r="G47" s="2" t="s">
        <v>747</v>
      </c>
      <c r="H47" s="2" t="str">
        <f>_xlfn.XLOOKUP(C47,customers!$A$1:$A$1001,customers!$G$1:$G$1001,0)</f>
        <v>United States</v>
      </c>
      <c r="I47" t="str">
        <f>_xlfn.XLOOKUP(D47,products!$A$1:$A$49,products!$B$1:$B$49,0)</f>
        <v>Lib</v>
      </c>
      <c r="J47" t="str">
        <f>_xlfn.XLOOKUP('data cleaned'!D47,products!$A$1:$A$49,products!$C$1:$C$49,0)</f>
        <v>D</v>
      </c>
      <c r="K47" s="5">
        <f>_xlfn.XLOOKUP('data cleaned'!D47,products!$A$1:$A$49,products!$D$1:$D$49,0)</f>
        <v>2.5</v>
      </c>
      <c r="L47" s="6">
        <f>_xlfn.XLOOKUP('data cleaned'!D47,products!$A$1:$A$49,products!$E$1:$E$49,0)</f>
        <v>29.784999999999997</v>
      </c>
      <c r="M47" s="6">
        <f>'data cleaned'!E47*'data cleaned'!L47</f>
        <v>178.70999999999998</v>
      </c>
      <c r="N47" t="str">
        <f t="shared" si="0"/>
        <v>Liberica</v>
      </c>
      <c r="O47" t="str">
        <f t="shared" si="1"/>
        <v>Dark</v>
      </c>
      <c r="P47" t="str">
        <f>_xlfn.XLOOKUP(worksheet[[#This Row],[Customer ID]],customers!$A$1:$A$1001,customers!$I$1:$I$1001,0)</f>
        <v>No</v>
      </c>
    </row>
    <row r="48" spans="1:16" x14ac:dyDescent="0.25">
      <c r="A48" s="2" t="s">
        <v>750</v>
      </c>
      <c r="B48" s="4">
        <v>43776</v>
      </c>
      <c r="C48" s="2" t="s">
        <v>751</v>
      </c>
      <c r="D48" t="s">
        <v>6166</v>
      </c>
      <c r="E48" s="2">
        <v>2</v>
      </c>
      <c r="F48" s="2" t="str">
        <f>_xlfn.XLOOKUP(C48,customers!$A$1:$A$1001,customers!$B$1:$B$1001,0)</f>
        <v>Donna Baskeyfied</v>
      </c>
      <c r="G48" s="2" t="s">
        <v>6222</v>
      </c>
      <c r="H48" s="2" t="str">
        <f>_xlfn.XLOOKUP(C48,customers!$A$1:$A$1001,customers!$G$1:$G$1001,0)</f>
        <v>United States</v>
      </c>
      <c r="I48" t="str">
        <f>_xlfn.XLOOKUP(D48,products!$A$1:$A$49,products!$B$1:$B$49,0)</f>
        <v>Exc</v>
      </c>
      <c r="J48" t="str">
        <f>_xlfn.XLOOKUP('data cleaned'!D48,products!$A$1:$A$49,products!$C$1:$C$49,0)</f>
        <v>M</v>
      </c>
      <c r="K48" s="5">
        <f>_xlfn.XLOOKUP('data cleaned'!D48,products!$A$1:$A$49,products!$D$1:$D$49,0)</f>
        <v>2.5</v>
      </c>
      <c r="L48" s="6">
        <f>_xlfn.XLOOKUP('data cleaned'!D48,products!$A$1:$A$49,products!$E$1:$E$49,0)</f>
        <v>31.624999999999996</v>
      </c>
      <c r="M48" s="6">
        <f>'data cleaned'!E48*'data cleaned'!L48</f>
        <v>63.249999999999993</v>
      </c>
      <c r="N48" t="str">
        <f t="shared" si="0"/>
        <v>Excelsa</v>
      </c>
      <c r="O48" t="str">
        <f t="shared" si="1"/>
        <v>Medium</v>
      </c>
      <c r="P48" t="str">
        <f>_xlfn.XLOOKUP(worksheet[[#This Row],[Customer ID]],customers!$A$1:$A$1001,customers!$I$1:$I$1001,0)</f>
        <v>Yes</v>
      </c>
    </row>
    <row r="49" spans="1:16" x14ac:dyDescent="0.25">
      <c r="A49" s="2" t="s">
        <v>755</v>
      </c>
      <c r="B49" s="4">
        <v>43644</v>
      </c>
      <c r="C49" s="2" t="s">
        <v>756</v>
      </c>
      <c r="D49" t="s">
        <v>6167</v>
      </c>
      <c r="E49" s="2">
        <v>2</v>
      </c>
      <c r="F49" s="2" t="str">
        <f>_xlfn.XLOOKUP(C49,customers!$A$1:$A$1001,customers!$B$1:$B$1001,0)</f>
        <v>Arda Curley</v>
      </c>
      <c r="G49" s="2" t="s">
        <v>758</v>
      </c>
      <c r="H49" s="2" t="str">
        <f>_xlfn.XLOOKUP(C49,customers!$A$1:$A$1001,customers!$G$1:$G$1001,0)</f>
        <v>United States</v>
      </c>
      <c r="I49" t="str">
        <f>_xlfn.XLOOKUP(D49,products!$A$1:$A$49,products!$B$1:$B$49,0)</f>
        <v>Ara</v>
      </c>
      <c r="J49" t="str">
        <f>_xlfn.XLOOKUP('data cleaned'!D49,products!$A$1:$A$49,products!$C$1:$C$49,0)</f>
        <v>L</v>
      </c>
      <c r="K49" s="5">
        <f>_xlfn.XLOOKUP('data cleaned'!D49,products!$A$1:$A$49,products!$D$1:$D$49,0)</f>
        <v>0.2</v>
      </c>
      <c r="L49" s="6">
        <f>_xlfn.XLOOKUP('data cleaned'!D49,products!$A$1:$A$49,products!$E$1:$E$49,0)</f>
        <v>3.8849999999999998</v>
      </c>
      <c r="M49" s="6">
        <f>'data cleaned'!E49*'data cleaned'!L49</f>
        <v>7.77</v>
      </c>
      <c r="N49" t="str">
        <f t="shared" si="0"/>
        <v>Arabica</v>
      </c>
      <c r="O49" t="str">
        <f t="shared" si="1"/>
        <v>Light</v>
      </c>
      <c r="P49" t="str">
        <f>_xlfn.XLOOKUP(worksheet[[#This Row],[Customer ID]],customers!$A$1:$A$1001,customers!$I$1:$I$1001,0)</f>
        <v>Yes</v>
      </c>
    </row>
    <row r="50" spans="1:16" x14ac:dyDescent="0.25">
      <c r="A50" s="2" t="s">
        <v>761</v>
      </c>
      <c r="B50" s="4">
        <v>44085</v>
      </c>
      <c r="C50" s="2" t="s">
        <v>762</v>
      </c>
      <c r="D50" t="s">
        <v>6168</v>
      </c>
      <c r="E50" s="2">
        <v>4</v>
      </c>
      <c r="F50" s="2" t="str">
        <f>_xlfn.XLOOKUP(C50,customers!$A$1:$A$1001,customers!$B$1:$B$1001,0)</f>
        <v>Raynor McGilvary</v>
      </c>
      <c r="G50" s="2" t="s">
        <v>764</v>
      </c>
      <c r="H50" s="2" t="str">
        <f>_xlfn.XLOOKUP(C50,customers!$A$1:$A$1001,customers!$G$1:$G$1001,0)</f>
        <v>United States</v>
      </c>
      <c r="I50" t="str">
        <f>_xlfn.XLOOKUP(D50,products!$A$1:$A$49,products!$B$1:$B$49,0)</f>
        <v>Ara</v>
      </c>
      <c r="J50" t="str">
        <f>_xlfn.XLOOKUP('data cleaned'!D50,products!$A$1:$A$49,products!$C$1:$C$49,0)</f>
        <v>D</v>
      </c>
      <c r="K50" s="5">
        <f>_xlfn.XLOOKUP('data cleaned'!D50,products!$A$1:$A$49,products!$D$1:$D$49,0)</f>
        <v>2.5</v>
      </c>
      <c r="L50" s="6">
        <f>_xlfn.XLOOKUP('data cleaned'!D50,products!$A$1:$A$49,products!$E$1:$E$49,0)</f>
        <v>22.884999999999998</v>
      </c>
      <c r="M50" s="6">
        <f>'data cleaned'!E50*'data cleaned'!L50</f>
        <v>91.539999999999992</v>
      </c>
      <c r="N50" t="str">
        <f t="shared" si="0"/>
        <v>Arabica</v>
      </c>
      <c r="O50" t="str">
        <f t="shared" si="1"/>
        <v>Dark</v>
      </c>
      <c r="P50" t="str">
        <f>_xlfn.XLOOKUP(worksheet[[#This Row],[Customer ID]],customers!$A$1:$A$1001,customers!$I$1:$I$1001,0)</f>
        <v>No</v>
      </c>
    </row>
    <row r="51" spans="1:16" x14ac:dyDescent="0.25">
      <c r="A51" s="2" t="s">
        <v>766</v>
      </c>
      <c r="B51" s="4">
        <v>44790</v>
      </c>
      <c r="C51" s="2" t="s">
        <v>767</v>
      </c>
      <c r="D51" t="s">
        <v>6140</v>
      </c>
      <c r="E51" s="2">
        <v>3</v>
      </c>
      <c r="F51" s="2" t="str">
        <f>_xlfn.XLOOKUP(C51,customers!$A$1:$A$1001,customers!$B$1:$B$1001,0)</f>
        <v>Isis Pikett</v>
      </c>
      <c r="G51" s="2" t="s">
        <v>769</v>
      </c>
      <c r="H51" s="2" t="str">
        <f>_xlfn.XLOOKUP(C51,customers!$A$1:$A$1001,customers!$G$1:$G$1001,0)</f>
        <v>United States</v>
      </c>
      <c r="I51" t="str">
        <f>_xlfn.XLOOKUP(D51,products!$A$1:$A$49,products!$B$1:$B$49,0)</f>
        <v>Ara</v>
      </c>
      <c r="J51" t="str">
        <f>_xlfn.XLOOKUP('data cleaned'!D51,products!$A$1:$A$49,products!$C$1:$C$49,0)</f>
        <v>L</v>
      </c>
      <c r="K51" s="5">
        <f>_xlfn.XLOOKUP('data cleaned'!D51,products!$A$1:$A$49,products!$D$1:$D$49,0)</f>
        <v>1</v>
      </c>
      <c r="L51" s="6">
        <f>_xlfn.XLOOKUP('data cleaned'!D51,products!$A$1:$A$49,products!$E$1:$E$49,0)</f>
        <v>12.95</v>
      </c>
      <c r="M51" s="6">
        <f>'data cleaned'!E51*'data cleaned'!L51</f>
        <v>38.849999999999994</v>
      </c>
      <c r="N51" t="str">
        <f t="shared" si="0"/>
        <v>Arabica</v>
      </c>
      <c r="O51" t="str">
        <f t="shared" si="1"/>
        <v>Light</v>
      </c>
      <c r="P51" t="str">
        <f>_xlfn.XLOOKUP(worksheet[[#This Row],[Customer ID]],customers!$A$1:$A$1001,customers!$I$1:$I$1001,0)</f>
        <v>No</v>
      </c>
    </row>
    <row r="52" spans="1:16" x14ac:dyDescent="0.25">
      <c r="A52" s="2" t="s">
        <v>772</v>
      </c>
      <c r="B52" s="4">
        <v>44792</v>
      </c>
      <c r="C52" s="2" t="s">
        <v>773</v>
      </c>
      <c r="D52" t="s">
        <v>6169</v>
      </c>
      <c r="E52" s="2">
        <v>2</v>
      </c>
      <c r="F52" s="2" t="str">
        <f>_xlfn.XLOOKUP(C52,customers!$A$1:$A$1001,customers!$B$1:$B$1001,0)</f>
        <v>Inger Bouldon</v>
      </c>
      <c r="G52" s="2" t="s">
        <v>775</v>
      </c>
      <c r="H52" s="2" t="str">
        <f>_xlfn.XLOOKUP(C52,customers!$A$1:$A$1001,customers!$G$1:$G$1001,0)</f>
        <v>United States</v>
      </c>
      <c r="I52" t="str">
        <f>_xlfn.XLOOKUP(D52,products!$A$1:$A$49,products!$B$1:$B$49,0)</f>
        <v>Lib</v>
      </c>
      <c r="J52" t="str">
        <f>_xlfn.XLOOKUP('data cleaned'!D52,products!$A$1:$A$49,products!$C$1:$C$49,0)</f>
        <v>D</v>
      </c>
      <c r="K52" s="5">
        <f>_xlfn.XLOOKUP('data cleaned'!D52,products!$A$1:$A$49,products!$D$1:$D$49,0)</f>
        <v>0.5</v>
      </c>
      <c r="L52" s="6">
        <f>_xlfn.XLOOKUP('data cleaned'!D52,products!$A$1:$A$49,products!$E$1:$E$49,0)</f>
        <v>7.77</v>
      </c>
      <c r="M52" s="6">
        <f>'data cleaned'!E52*'data cleaned'!L52</f>
        <v>15.54</v>
      </c>
      <c r="N52" t="str">
        <f t="shared" si="0"/>
        <v>Liberica</v>
      </c>
      <c r="O52" t="str">
        <f t="shared" si="1"/>
        <v>Dark</v>
      </c>
      <c r="P52" t="str">
        <f>_xlfn.XLOOKUP(worksheet[[#This Row],[Customer ID]],customers!$A$1:$A$1001,customers!$I$1:$I$1001,0)</f>
        <v>No</v>
      </c>
    </row>
    <row r="53" spans="1:16" x14ac:dyDescent="0.25">
      <c r="A53" s="2" t="s">
        <v>778</v>
      </c>
      <c r="B53" s="4">
        <v>43600</v>
      </c>
      <c r="C53" s="2" t="s">
        <v>779</v>
      </c>
      <c r="D53" t="s">
        <v>6164</v>
      </c>
      <c r="E53" s="2">
        <v>4</v>
      </c>
      <c r="F53" s="2" t="str">
        <f>_xlfn.XLOOKUP(C53,customers!$A$1:$A$1001,customers!$B$1:$B$1001,0)</f>
        <v>Karry Flanders</v>
      </c>
      <c r="G53" s="2" t="s">
        <v>781</v>
      </c>
      <c r="H53" s="2" t="str">
        <f>_xlfn.XLOOKUP(C53,customers!$A$1:$A$1001,customers!$G$1:$G$1001,0)</f>
        <v>Ireland</v>
      </c>
      <c r="I53" t="str">
        <f>_xlfn.XLOOKUP(D53,products!$A$1:$A$49,products!$B$1:$B$49,0)</f>
        <v>Lib</v>
      </c>
      <c r="J53" t="str">
        <f>_xlfn.XLOOKUP('data cleaned'!D53,products!$A$1:$A$49,products!$C$1:$C$49,0)</f>
        <v>L</v>
      </c>
      <c r="K53" s="5">
        <f>_xlfn.XLOOKUP('data cleaned'!D53,products!$A$1:$A$49,products!$D$1:$D$49,0)</f>
        <v>2.5</v>
      </c>
      <c r="L53" s="6">
        <f>_xlfn.XLOOKUP('data cleaned'!D53,products!$A$1:$A$49,products!$E$1:$E$49,0)</f>
        <v>36.454999999999998</v>
      </c>
      <c r="M53" s="6">
        <f>'data cleaned'!E53*'data cleaned'!L53</f>
        <v>145.82</v>
      </c>
      <c r="N53" t="str">
        <f t="shared" si="0"/>
        <v>Liberica</v>
      </c>
      <c r="O53" t="str">
        <f t="shared" si="1"/>
        <v>Light</v>
      </c>
      <c r="P53" t="str">
        <f>_xlfn.XLOOKUP(worksheet[[#This Row],[Customer ID]],customers!$A$1:$A$1001,customers!$I$1:$I$1001,0)</f>
        <v>Yes</v>
      </c>
    </row>
    <row r="54" spans="1:16" x14ac:dyDescent="0.25">
      <c r="A54" s="2" t="s">
        <v>784</v>
      </c>
      <c r="B54" s="4">
        <v>43719</v>
      </c>
      <c r="C54" s="2" t="s">
        <v>785</v>
      </c>
      <c r="D54" t="s">
        <v>6146</v>
      </c>
      <c r="E54" s="2">
        <v>5</v>
      </c>
      <c r="F54" s="2" t="str">
        <f>_xlfn.XLOOKUP(C54,customers!$A$1:$A$1001,customers!$B$1:$B$1001,0)</f>
        <v>Hartley Mattioli</v>
      </c>
      <c r="G54" s="2" t="s">
        <v>787</v>
      </c>
      <c r="H54" s="2" t="str">
        <f>_xlfn.XLOOKUP(C54,customers!$A$1:$A$1001,customers!$G$1:$G$1001,0)</f>
        <v>United Kingdom</v>
      </c>
      <c r="I54" t="str">
        <f>_xlfn.XLOOKUP(D54,products!$A$1:$A$49,products!$B$1:$B$49,0)</f>
        <v>Rob</v>
      </c>
      <c r="J54" t="str">
        <f>_xlfn.XLOOKUP('data cleaned'!D54,products!$A$1:$A$49,products!$C$1:$C$49,0)</f>
        <v>M</v>
      </c>
      <c r="K54" s="5">
        <f>_xlfn.XLOOKUP('data cleaned'!D54,products!$A$1:$A$49,products!$D$1:$D$49,0)</f>
        <v>0.5</v>
      </c>
      <c r="L54" s="6">
        <f>_xlfn.XLOOKUP('data cleaned'!D54,products!$A$1:$A$49,products!$E$1:$E$49,0)</f>
        <v>5.97</v>
      </c>
      <c r="M54" s="6">
        <f>'data cleaned'!E54*'data cleaned'!L54</f>
        <v>29.849999999999998</v>
      </c>
      <c r="N54" t="str">
        <f t="shared" si="0"/>
        <v>Robusta</v>
      </c>
      <c r="O54" t="str">
        <f t="shared" si="1"/>
        <v>Medium</v>
      </c>
      <c r="P54" t="str">
        <f>_xlfn.XLOOKUP(worksheet[[#This Row],[Customer ID]],customers!$A$1:$A$1001,customers!$I$1:$I$1001,0)</f>
        <v>No</v>
      </c>
    </row>
    <row r="55" spans="1:16" x14ac:dyDescent="0.25">
      <c r="A55" s="2" t="s">
        <v>784</v>
      </c>
      <c r="B55" s="4">
        <v>43719</v>
      </c>
      <c r="C55" s="2" t="s">
        <v>785</v>
      </c>
      <c r="D55" t="s">
        <v>6164</v>
      </c>
      <c r="E55" s="2">
        <v>2</v>
      </c>
      <c r="F55" s="2" t="str">
        <f>_xlfn.XLOOKUP(C55,customers!$A$1:$A$1001,customers!$B$1:$B$1001,0)</f>
        <v>Hartley Mattioli</v>
      </c>
      <c r="G55" s="2" t="s">
        <v>787</v>
      </c>
      <c r="H55" s="2" t="str">
        <f>_xlfn.XLOOKUP(C55,customers!$A$1:$A$1001,customers!$G$1:$G$1001,0)</f>
        <v>United Kingdom</v>
      </c>
      <c r="I55" t="str">
        <f>_xlfn.XLOOKUP(D55,products!$A$1:$A$49,products!$B$1:$B$49,0)</f>
        <v>Lib</v>
      </c>
      <c r="J55" t="str">
        <f>_xlfn.XLOOKUP('data cleaned'!D55,products!$A$1:$A$49,products!$C$1:$C$49,0)</f>
        <v>L</v>
      </c>
      <c r="K55" s="5">
        <f>_xlfn.XLOOKUP('data cleaned'!D55,products!$A$1:$A$49,products!$D$1:$D$49,0)</f>
        <v>2.5</v>
      </c>
      <c r="L55" s="6">
        <f>_xlfn.XLOOKUP('data cleaned'!D55,products!$A$1:$A$49,products!$E$1:$E$49,0)</f>
        <v>36.454999999999998</v>
      </c>
      <c r="M55" s="6">
        <f>'data cleaned'!E55*'data cleaned'!L55</f>
        <v>72.91</v>
      </c>
      <c r="N55" t="str">
        <f t="shared" si="0"/>
        <v>Liberica</v>
      </c>
      <c r="O55" t="str">
        <f t="shared" si="1"/>
        <v>Light</v>
      </c>
      <c r="P55" t="str">
        <f>_xlfn.XLOOKUP(worksheet[[#This Row],[Customer ID]],customers!$A$1:$A$1001,customers!$I$1:$I$1001,0)</f>
        <v>No</v>
      </c>
    </row>
    <row r="56" spans="1:16" x14ac:dyDescent="0.25">
      <c r="A56" s="2" t="s">
        <v>794</v>
      </c>
      <c r="B56" s="4">
        <v>44271</v>
      </c>
      <c r="C56" s="2" t="s">
        <v>795</v>
      </c>
      <c r="D56" t="s">
        <v>6162</v>
      </c>
      <c r="E56" s="2">
        <v>5</v>
      </c>
      <c r="F56" s="2" t="str">
        <f>_xlfn.XLOOKUP(C56,customers!$A$1:$A$1001,customers!$B$1:$B$1001,0)</f>
        <v>Archambault Gillard</v>
      </c>
      <c r="G56" s="2" t="s">
        <v>797</v>
      </c>
      <c r="H56" s="2" t="str">
        <f>_xlfn.XLOOKUP(C56,customers!$A$1:$A$1001,customers!$G$1:$G$1001,0)</f>
        <v>United States</v>
      </c>
      <c r="I56" t="str">
        <f>_xlfn.XLOOKUP(D56,products!$A$1:$A$49,products!$B$1:$B$49,0)</f>
        <v>Lib</v>
      </c>
      <c r="J56" t="str">
        <f>_xlfn.XLOOKUP('data cleaned'!D56,products!$A$1:$A$49,products!$C$1:$C$49,0)</f>
        <v>M</v>
      </c>
      <c r="K56" s="5">
        <f>_xlfn.XLOOKUP('data cleaned'!D56,products!$A$1:$A$49,products!$D$1:$D$49,0)</f>
        <v>1</v>
      </c>
      <c r="L56" s="6">
        <f>_xlfn.XLOOKUP('data cleaned'!D56,products!$A$1:$A$49,products!$E$1:$E$49,0)</f>
        <v>14.55</v>
      </c>
      <c r="M56" s="6">
        <f>'data cleaned'!E56*'data cleaned'!L56</f>
        <v>72.75</v>
      </c>
      <c r="N56" t="str">
        <f t="shared" si="0"/>
        <v>Liberica</v>
      </c>
      <c r="O56" t="str">
        <f t="shared" si="1"/>
        <v>Medium</v>
      </c>
      <c r="P56" t="str">
        <f>_xlfn.XLOOKUP(worksheet[[#This Row],[Customer ID]],customers!$A$1:$A$1001,customers!$I$1:$I$1001,0)</f>
        <v>No</v>
      </c>
    </row>
    <row r="57" spans="1:16" x14ac:dyDescent="0.25">
      <c r="A57" s="2" t="s">
        <v>800</v>
      </c>
      <c r="B57" s="4">
        <v>44168</v>
      </c>
      <c r="C57" s="2" t="s">
        <v>801</v>
      </c>
      <c r="D57" t="s">
        <v>6170</v>
      </c>
      <c r="E57" s="2">
        <v>3</v>
      </c>
      <c r="F57" s="2" t="str">
        <f>_xlfn.XLOOKUP(C57,customers!$A$1:$A$1001,customers!$B$1:$B$1001,0)</f>
        <v>Salomo Cushworth</v>
      </c>
      <c r="G57" s="2" t="s">
        <v>6222</v>
      </c>
      <c r="H57" s="2" t="str">
        <f>_xlfn.XLOOKUP(C57,customers!$A$1:$A$1001,customers!$G$1:$G$1001,0)</f>
        <v>United States</v>
      </c>
      <c r="I57" t="str">
        <f>_xlfn.XLOOKUP(D57,products!$A$1:$A$49,products!$B$1:$B$49,0)</f>
        <v>Lib</v>
      </c>
      <c r="J57" t="str">
        <f>_xlfn.XLOOKUP('data cleaned'!D57,products!$A$1:$A$49,products!$C$1:$C$49,0)</f>
        <v>L</v>
      </c>
      <c r="K57" s="5">
        <f>_xlfn.XLOOKUP('data cleaned'!D57,products!$A$1:$A$49,products!$D$1:$D$49,0)</f>
        <v>1</v>
      </c>
      <c r="L57" s="6">
        <f>_xlfn.XLOOKUP('data cleaned'!D57,products!$A$1:$A$49,products!$E$1:$E$49,0)</f>
        <v>15.85</v>
      </c>
      <c r="M57" s="6">
        <f>'data cleaned'!E57*'data cleaned'!L57</f>
        <v>47.55</v>
      </c>
      <c r="N57" t="str">
        <f t="shared" si="0"/>
        <v>Liberica</v>
      </c>
      <c r="O57" t="str">
        <f t="shared" si="1"/>
        <v>Light</v>
      </c>
      <c r="P57" t="str">
        <f>_xlfn.XLOOKUP(worksheet[[#This Row],[Customer ID]],customers!$A$1:$A$1001,customers!$I$1:$I$1001,0)</f>
        <v>No</v>
      </c>
    </row>
    <row r="58" spans="1:16" x14ac:dyDescent="0.25">
      <c r="A58" s="2" t="s">
        <v>805</v>
      </c>
      <c r="B58" s="4">
        <v>43857</v>
      </c>
      <c r="C58" s="2" t="s">
        <v>806</v>
      </c>
      <c r="D58" t="s">
        <v>6153</v>
      </c>
      <c r="E58" s="2">
        <v>3</v>
      </c>
      <c r="F58" s="2" t="str">
        <f>_xlfn.XLOOKUP(C58,customers!$A$1:$A$1001,customers!$B$1:$B$1001,0)</f>
        <v>Theda Grizard</v>
      </c>
      <c r="G58" s="2" t="s">
        <v>808</v>
      </c>
      <c r="H58" s="2" t="str">
        <f>_xlfn.XLOOKUP(C58,customers!$A$1:$A$1001,customers!$G$1:$G$1001,0)</f>
        <v>United States</v>
      </c>
      <c r="I58" t="str">
        <f>_xlfn.XLOOKUP(D58,products!$A$1:$A$49,products!$B$1:$B$49,0)</f>
        <v>Exc</v>
      </c>
      <c r="J58" t="str">
        <f>_xlfn.XLOOKUP('data cleaned'!D58,products!$A$1:$A$49,products!$C$1:$C$49,0)</f>
        <v>D</v>
      </c>
      <c r="K58" s="5">
        <f>_xlfn.XLOOKUP('data cleaned'!D58,products!$A$1:$A$49,products!$D$1:$D$49,0)</f>
        <v>0.2</v>
      </c>
      <c r="L58" s="6">
        <f>_xlfn.XLOOKUP('data cleaned'!D58,products!$A$1:$A$49,products!$E$1:$E$49,0)</f>
        <v>3.645</v>
      </c>
      <c r="M58" s="6">
        <f>'data cleaned'!E58*'data cleaned'!L58</f>
        <v>10.935</v>
      </c>
      <c r="N58" t="str">
        <f t="shared" si="0"/>
        <v>Excelsa</v>
      </c>
      <c r="O58" t="str">
        <f t="shared" si="1"/>
        <v>Dark</v>
      </c>
      <c r="P58" t="str">
        <f>_xlfn.XLOOKUP(worksheet[[#This Row],[Customer ID]],customers!$A$1:$A$1001,customers!$I$1:$I$1001,0)</f>
        <v>Yes</v>
      </c>
    </row>
    <row r="59" spans="1:16" x14ac:dyDescent="0.25">
      <c r="A59" s="2" t="s">
        <v>811</v>
      </c>
      <c r="B59" s="4">
        <v>44759</v>
      </c>
      <c r="C59" s="2" t="s">
        <v>812</v>
      </c>
      <c r="D59" t="s">
        <v>6171</v>
      </c>
      <c r="E59" s="2">
        <v>4</v>
      </c>
      <c r="F59" s="2" t="str">
        <f>_xlfn.XLOOKUP(C59,customers!$A$1:$A$1001,customers!$B$1:$B$1001,0)</f>
        <v>Rozele Relton</v>
      </c>
      <c r="G59" s="2" t="s">
        <v>814</v>
      </c>
      <c r="H59" s="2" t="str">
        <f>_xlfn.XLOOKUP(C59,customers!$A$1:$A$1001,customers!$G$1:$G$1001,0)</f>
        <v>United States</v>
      </c>
      <c r="I59" t="str">
        <f>_xlfn.XLOOKUP(D59,products!$A$1:$A$49,products!$B$1:$B$49,0)</f>
        <v>Exc</v>
      </c>
      <c r="J59" t="str">
        <f>_xlfn.XLOOKUP('data cleaned'!D59,products!$A$1:$A$49,products!$C$1:$C$49,0)</f>
        <v>L</v>
      </c>
      <c r="K59" s="5">
        <f>_xlfn.XLOOKUP('data cleaned'!D59,products!$A$1:$A$49,products!$D$1:$D$49,0)</f>
        <v>1</v>
      </c>
      <c r="L59" s="6">
        <f>_xlfn.XLOOKUP('data cleaned'!D59,products!$A$1:$A$49,products!$E$1:$E$49,0)</f>
        <v>14.85</v>
      </c>
      <c r="M59" s="6">
        <f>'data cleaned'!E59*'data cleaned'!L59</f>
        <v>59.4</v>
      </c>
      <c r="N59" t="str">
        <f t="shared" si="0"/>
        <v>Excelsa</v>
      </c>
      <c r="O59" t="str">
        <f t="shared" si="1"/>
        <v>Light</v>
      </c>
      <c r="P59" t="str">
        <f>_xlfn.XLOOKUP(worksheet[[#This Row],[Customer ID]],customers!$A$1:$A$1001,customers!$I$1:$I$1001,0)</f>
        <v>No</v>
      </c>
    </row>
    <row r="60" spans="1:16" x14ac:dyDescent="0.25">
      <c r="A60" s="2" t="s">
        <v>817</v>
      </c>
      <c r="B60" s="4">
        <v>44624</v>
      </c>
      <c r="C60" s="2" t="s">
        <v>818</v>
      </c>
      <c r="D60" t="s">
        <v>6165</v>
      </c>
      <c r="E60" s="2">
        <v>3</v>
      </c>
      <c r="F60" s="2" t="str">
        <f>_xlfn.XLOOKUP(C60,customers!$A$1:$A$1001,customers!$B$1:$B$1001,0)</f>
        <v>Willa Rolling</v>
      </c>
      <c r="G60" s="2" t="s">
        <v>6222</v>
      </c>
      <c r="H60" s="2" t="str">
        <f>_xlfn.XLOOKUP(C60,customers!$A$1:$A$1001,customers!$G$1:$G$1001,0)</f>
        <v>United States</v>
      </c>
      <c r="I60" t="str">
        <f>_xlfn.XLOOKUP(D60,products!$A$1:$A$49,products!$B$1:$B$49,0)</f>
        <v>Lib</v>
      </c>
      <c r="J60" t="str">
        <f>_xlfn.XLOOKUP('data cleaned'!D60,products!$A$1:$A$49,products!$C$1:$C$49,0)</f>
        <v>D</v>
      </c>
      <c r="K60" s="5">
        <f>_xlfn.XLOOKUP('data cleaned'!D60,products!$A$1:$A$49,products!$D$1:$D$49,0)</f>
        <v>2.5</v>
      </c>
      <c r="L60" s="6">
        <f>_xlfn.XLOOKUP('data cleaned'!D60,products!$A$1:$A$49,products!$E$1:$E$49,0)</f>
        <v>29.784999999999997</v>
      </c>
      <c r="M60" s="6">
        <f>'data cleaned'!E60*'data cleaned'!L60</f>
        <v>89.35499999999999</v>
      </c>
      <c r="N60" t="str">
        <f t="shared" si="0"/>
        <v>Liberica</v>
      </c>
      <c r="O60" t="str">
        <f t="shared" si="1"/>
        <v>Dark</v>
      </c>
      <c r="P60" t="str">
        <f>_xlfn.XLOOKUP(worksheet[[#This Row],[Customer ID]],customers!$A$1:$A$1001,customers!$I$1:$I$1001,0)</f>
        <v>Yes</v>
      </c>
    </row>
    <row r="61" spans="1:16" x14ac:dyDescent="0.25">
      <c r="A61" s="2" t="s">
        <v>822</v>
      </c>
      <c r="B61" s="4">
        <v>44537</v>
      </c>
      <c r="C61" s="2" t="s">
        <v>823</v>
      </c>
      <c r="D61" t="s">
        <v>6160</v>
      </c>
      <c r="E61" s="2">
        <v>3</v>
      </c>
      <c r="F61" s="2" t="str">
        <f>_xlfn.XLOOKUP(C61,customers!$A$1:$A$1001,customers!$B$1:$B$1001,0)</f>
        <v>Stanislaus Gilroy</v>
      </c>
      <c r="G61" s="2" t="s">
        <v>825</v>
      </c>
      <c r="H61" s="2" t="str">
        <f>_xlfn.XLOOKUP(C61,customers!$A$1:$A$1001,customers!$G$1:$G$1001,0)</f>
        <v>United States</v>
      </c>
      <c r="I61" t="str">
        <f>_xlfn.XLOOKUP(D61,products!$A$1:$A$49,products!$B$1:$B$49,0)</f>
        <v>Lib</v>
      </c>
      <c r="J61" t="str">
        <f>_xlfn.XLOOKUP('data cleaned'!D61,products!$A$1:$A$49,products!$C$1:$C$49,0)</f>
        <v>M</v>
      </c>
      <c r="K61" s="5">
        <f>_xlfn.XLOOKUP('data cleaned'!D61,products!$A$1:$A$49,products!$D$1:$D$49,0)</f>
        <v>0.5</v>
      </c>
      <c r="L61" s="6">
        <f>_xlfn.XLOOKUP('data cleaned'!D61,products!$A$1:$A$49,products!$E$1:$E$49,0)</f>
        <v>8.73</v>
      </c>
      <c r="M61" s="6">
        <f>'data cleaned'!E61*'data cleaned'!L61</f>
        <v>26.19</v>
      </c>
      <c r="N61" t="str">
        <f t="shared" si="0"/>
        <v>Liberica</v>
      </c>
      <c r="O61" t="str">
        <f t="shared" si="1"/>
        <v>Medium</v>
      </c>
      <c r="P61" t="str">
        <f>_xlfn.XLOOKUP(worksheet[[#This Row],[Customer ID]],customers!$A$1:$A$1001,customers!$I$1:$I$1001,0)</f>
        <v>Yes</v>
      </c>
    </row>
    <row r="62" spans="1:16" x14ac:dyDescent="0.25">
      <c r="A62" s="2" t="s">
        <v>827</v>
      </c>
      <c r="B62" s="4">
        <v>44252</v>
      </c>
      <c r="C62" s="2" t="s">
        <v>828</v>
      </c>
      <c r="D62" t="s">
        <v>6168</v>
      </c>
      <c r="E62" s="2">
        <v>5</v>
      </c>
      <c r="F62" s="2" t="str">
        <f>_xlfn.XLOOKUP(C62,customers!$A$1:$A$1001,customers!$B$1:$B$1001,0)</f>
        <v>Correy Cottingham</v>
      </c>
      <c r="G62" s="2" t="s">
        <v>830</v>
      </c>
      <c r="H62" s="2" t="str">
        <f>_xlfn.XLOOKUP(C62,customers!$A$1:$A$1001,customers!$G$1:$G$1001,0)</f>
        <v>United States</v>
      </c>
      <c r="I62" t="str">
        <f>_xlfn.XLOOKUP(D62,products!$A$1:$A$49,products!$B$1:$B$49,0)</f>
        <v>Ara</v>
      </c>
      <c r="J62" t="str">
        <f>_xlfn.XLOOKUP('data cleaned'!D62,products!$A$1:$A$49,products!$C$1:$C$49,0)</f>
        <v>D</v>
      </c>
      <c r="K62" s="5">
        <f>_xlfn.XLOOKUP('data cleaned'!D62,products!$A$1:$A$49,products!$D$1:$D$49,0)</f>
        <v>2.5</v>
      </c>
      <c r="L62" s="6">
        <f>_xlfn.XLOOKUP('data cleaned'!D62,products!$A$1:$A$49,products!$E$1:$E$49,0)</f>
        <v>22.884999999999998</v>
      </c>
      <c r="M62" s="6">
        <f>'data cleaned'!E62*'data cleaned'!L62</f>
        <v>114.42499999999998</v>
      </c>
      <c r="N62" t="str">
        <f t="shared" si="0"/>
        <v>Arabica</v>
      </c>
      <c r="O62" t="str">
        <f t="shared" si="1"/>
        <v>Dark</v>
      </c>
      <c r="P62" t="str">
        <f>_xlfn.XLOOKUP(worksheet[[#This Row],[Customer ID]],customers!$A$1:$A$1001,customers!$I$1:$I$1001,0)</f>
        <v>No</v>
      </c>
    </row>
    <row r="63" spans="1:16" x14ac:dyDescent="0.25">
      <c r="A63" s="2" t="s">
        <v>833</v>
      </c>
      <c r="B63" s="4">
        <v>43521</v>
      </c>
      <c r="C63" s="2" t="s">
        <v>834</v>
      </c>
      <c r="D63" t="s">
        <v>6172</v>
      </c>
      <c r="E63" s="2">
        <v>5</v>
      </c>
      <c r="F63" s="2" t="str">
        <f>_xlfn.XLOOKUP(C63,customers!$A$1:$A$1001,customers!$B$1:$B$1001,0)</f>
        <v>Pammi Endacott</v>
      </c>
      <c r="G63" s="2" t="s">
        <v>6222</v>
      </c>
      <c r="H63" s="2" t="str">
        <f>_xlfn.XLOOKUP(C63,customers!$A$1:$A$1001,customers!$G$1:$G$1001,0)</f>
        <v>United Kingdom</v>
      </c>
      <c r="I63" t="str">
        <f>_xlfn.XLOOKUP(D63,products!$A$1:$A$49,products!$B$1:$B$49,0)</f>
        <v>Rob</v>
      </c>
      <c r="J63" t="str">
        <f>_xlfn.XLOOKUP('data cleaned'!D63,products!$A$1:$A$49,products!$C$1:$C$49,0)</f>
        <v>D</v>
      </c>
      <c r="K63" s="5">
        <f>_xlfn.XLOOKUP('data cleaned'!D63,products!$A$1:$A$49,products!$D$1:$D$49,0)</f>
        <v>0.5</v>
      </c>
      <c r="L63" s="6">
        <f>_xlfn.XLOOKUP('data cleaned'!D63,products!$A$1:$A$49,products!$E$1:$E$49,0)</f>
        <v>5.3699999999999992</v>
      </c>
      <c r="M63" s="6">
        <f>'data cleaned'!E63*'data cleaned'!L63</f>
        <v>26.849999999999994</v>
      </c>
      <c r="N63" t="str">
        <f t="shared" si="0"/>
        <v>Robusta</v>
      </c>
      <c r="O63" t="str">
        <f t="shared" si="1"/>
        <v>Dark</v>
      </c>
      <c r="P63" t="str">
        <f>_xlfn.XLOOKUP(worksheet[[#This Row],[Customer ID]],customers!$A$1:$A$1001,customers!$I$1:$I$1001,0)</f>
        <v>Yes</v>
      </c>
    </row>
    <row r="64" spans="1:16" x14ac:dyDescent="0.25">
      <c r="A64" s="2" t="s">
        <v>838</v>
      </c>
      <c r="B64" s="4">
        <v>43505</v>
      </c>
      <c r="C64" s="2" t="s">
        <v>839</v>
      </c>
      <c r="D64" t="s">
        <v>6145</v>
      </c>
      <c r="E64" s="2">
        <v>5</v>
      </c>
      <c r="F64" s="2" t="str">
        <f>_xlfn.XLOOKUP(C64,customers!$A$1:$A$1001,customers!$B$1:$B$1001,0)</f>
        <v>Nona Linklater</v>
      </c>
      <c r="G64" s="2" t="s">
        <v>6222</v>
      </c>
      <c r="H64" s="2" t="str">
        <f>_xlfn.XLOOKUP(C64,customers!$A$1:$A$1001,customers!$G$1:$G$1001,0)</f>
        <v>United States</v>
      </c>
      <c r="I64" t="str">
        <f>_xlfn.XLOOKUP(D64,products!$A$1:$A$49,products!$B$1:$B$49,0)</f>
        <v>Lib</v>
      </c>
      <c r="J64" t="str">
        <f>_xlfn.XLOOKUP('data cleaned'!D64,products!$A$1:$A$49,products!$C$1:$C$49,0)</f>
        <v>L</v>
      </c>
      <c r="K64" s="5">
        <f>_xlfn.XLOOKUP('data cleaned'!D64,products!$A$1:$A$49,products!$D$1:$D$49,0)</f>
        <v>0.2</v>
      </c>
      <c r="L64" s="6">
        <f>_xlfn.XLOOKUP('data cleaned'!D64,products!$A$1:$A$49,products!$E$1:$E$49,0)</f>
        <v>4.7549999999999999</v>
      </c>
      <c r="M64" s="6">
        <f>'data cleaned'!E64*'data cleaned'!L64</f>
        <v>23.774999999999999</v>
      </c>
      <c r="N64" t="str">
        <f t="shared" si="0"/>
        <v>Liberica</v>
      </c>
      <c r="O64" t="str">
        <f t="shared" si="1"/>
        <v>Light</v>
      </c>
      <c r="P64" t="str">
        <f>_xlfn.XLOOKUP(worksheet[[#This Row],[Customer ID]],customers!$A$1:$A$1001,customers!$I$1:$I$1001,0)</f>
        <v>Yes</v>
      </c>
    </row>
    <row r="65" spans="1:16" x14ac:dyDescent="0.25">
      <c r="A65" s="2" t="s">
        <v>843</v>
      </c>
      <c r="B65" s="4">
        <v>43868</v>
      </c>
      <c r="C65" s="2" t="s">
        <v>844</v>
      </c>
      <c r="D65" t="s">
        <v>6157</v>
      </c>
      <c r="E65" s="2">
        <v>1</v>
      </c>
      <c r="F65" s="2" t="str">
        <f>_xlfn.XLOOKUP(C65,customers!$A$1:$A$1001,customers!$B$1:$B$1001,0)</f>
        <v>Annadiane Dykes</v>
      </c>
      <c r="G65" s="2" t="s">
        <v>846</v>
      </c>
      <c r="H65" s="2" t="str">
        <f>_xlfn.XLOOKUP(C65,customers!$A$1:$A$1001,customers!$G$1:$G$1001,0)</f>
        <v>United States</v>
      </c>
      <c r="I65" t="str">
        <f>_xlfn.XLOOKUP(D65,products!$A$1:$A$49,products!$B$1:$B$49,0)</f>
        <v>Ara</v>
      </c>
      <c r="J65" t="str">
        <f>_xlfn.XLOOKUP('data cleaned'!D65,products!$A$1:$A$49,products!$C$1:$C$49,0)</f>
        <v>M</v>
      </c>
      <c r="K65" s="5">
        <f>_xlfn.XLOOKUP('data cleaned'!D65,products!$A$1:$A$49,products!$D$1:$D$49,0)</f>
        <v>0.5</v>
      </c>
      <c r="L65" s="6">
        <f>_xlfn.XLOOKUP('data cleaned'!D65,products!$A$1:$A$49,products!$E$1:$E$49,0)</f>
        <v>6.75</v>
      </c>
      <c r="M65" s="6">
        <f>'data cleaned'!E65*'data cleaned'!L65</f>
        <v>6.75</v>
      </c>
      <c r="N65" t="str">
        <f t="shared" si="0"/>
        <v>Arabica</v>
      </c>
      <c r="O65" t="str">
        <f t="shared" si="1"/>
        <v>Medium</v>
      </c>
      <c r="P65" t="str">
        <f>_xlfn.XLOOKUP(worksheet[[#This Row],[Customer ID]],customers!$A$1:$A$1001,customers!$I$1:$I$1001,0)</f>
        <v>No</v>
      </c>
    </row>
    <row r="66" spans="1:16" x14ac:dyDescent="0.25">
      <c r="A66" s="2" t="s">
        <v>849</v>
      </c>
      <c r="B66" s="4">
        <v>43913</v>
      </c>
      <c r="C66" s="2" t="s">
        <v>850</v>
      </c>
      <c r="D66" t="s">
        <v>6146</v>
      </c>
      <c r="E66" s="2">
        <v>6</v>
      </c>
      <c r="F66" s="2" t="str">
        <f>_xlfn.XLOOKUP(C66,customers!$A$1:$A$1001,customers!$B$1:$B$1001,0)</f>
        <v>Felecia Dodgson</v>
      </c>
      <c r="G66" s="2" t="s">
        <v>6222</v>
      </c>
      <c r="H66" s="2" t="str">
        <f>_xlfn.XLOOKUP(C66,customers!$A$1:$A$1001,customers!$G$1:$G$1001,0)</f>
        <v>United States</v>
      </c>
      <c r="I66" t="str">
        <f>_xlfn.XLOOKUP(D66,products!$A$1:$A$49,products!$B$1:$B$49,0)</f>
        <v>Rob</v>
      </c>
      <c r="J66" t="str">
        <f>_xlfn.XLOOKUP('data cleaned'!D66,products!$A$1:$A$49,products!$C$1:$C$49,0)</f>
        <v>M</v>
      </c>
      <c r="K66" s="5">
        <f>_xlfn.XLOOKUP('data cleaned'!D66,products!$A$1:$A$49,products!$D$1:$D$49,0)</f>
        <v>0.5</v>
      </c>
      <c r="L66" s="6">
        <f>_xlfn.XLOOKUP('data cleaned'!D66,products!$A$1:$A$49,products!$E$1:$E$49,0)</f>
        <v>5.97</v>
      </c>
      <c r="M66" s="6">
        <f>'data cleaned'!E66*'data cleaned'!L66</f>
        <v>35.82</v>
      </c>
      <c r="N66" t="str">
        <f t="shared" si="0"/>
        <v>Robusta</v>
      </c>
      <c r="O66" t="str">
        <f t="shared" si="1"/>
        <v>Medium</v>
      </c>
      <c r="P66" t="str">
        <f>_xlfn.XLOOKUP(worksheet[[#This Row],[Customer ID]],customers!$A$1:$A$1001,customers!$I$1:$I$1001,0)</f>
        <v>Yes</v>
      </c>
    </row>
    <row r="67" spans="1:16" x14ac:dyDescent="0.25">
      <c r="A67" s="2" t="s">
        <v>854</v>
      </c>
      <c r="B67" s="4">
        <v>44626</v>
      </c>
      <c r="C67" s="2" t="s">
        <v>855</v>
      </c>
      <c r="D67" t="s">
        <v>6149</v>
      </c>
      <c r="E67" s="2">
        <v>4</v>
      </c>
      <c r="F67" s="2" t="str">
        <f>_xlfn.XLOOKUP(C67,customers!$A$1:$A$1001,customers!$B$1:$B$1001,0)</f>
        <v>Angelia Cockrem</v>
      </c>
      <c r="G67" s="2" t="s">
        <v>857</v>
      </c>
      <c r="H67" s="2" t="str">
        <f>_xlfn.XLOOKUP(C67,customers!$A$1:$A$1001,customers!$G$1:$G$1001,0)</f>
        <v>United States</v>
      </c>
      <c r="I67" t="str">
        <f>_xlfn.XLOOKUP(D67,products!$A$1:$A$49,products!$B$1:$B$49,0)</f>
        <v>Rob</v>
      </c>
      <c r="J67" t="str">
        <f>_xlfn.XLOOKUP('data cleaned'!D67,products!$A$1:$A$49,products!$C$1:$C$49,0)</f>
        <v>D</v>
      </c>
      <c r="K67" s="5">
        <f>_xlfn.XLOOKUP('data cleaned'!D67,products!$A$1:$A$49,products!$D$1:$D$49,0)</f>
        <v>2.5</v>
      </c>
      <c r="L67" s="6">
        <f>_xlfn.XLOOKUP('data cleaned'!D67,products!$A$1:$A$49,products!$E$1:$E$49,0)</f>
        <v>20.584999999999997</v>
      </c>
      <c r="M67" s="6">
        <f>'data cleaned'!E67*'data cleaned'!L67</f>
        <v>82.339999999999989</v>
      </c>
      <c r="N67" t="str">
        <f t="shared" ref="N67:N130" si="2">IF(I67="Rob","Robusta",IF(I67="Exc","Excelsa",IF(I67="Ara","Arabica",IF(I67="Lib","Liberica",""))))</f>
        <v>Robusta</v>
      </c>
      <c r="O67" t="str">
        <f t="shared" ref="O67:O130" si="3">IF(J67="M","Medium",IF(J67="L","Light",IF(J67="D","Dark","")))</f>
        <v>Dark</v>
      </c>
      <c r="P67" t="str">
        <f>_xlfn.XLOOKUP(worksheet[[#This Row],[Customer ID]],customers!$A$1:$A$1001,customers!$I$1:$I$1001,0)</f>
        <v>Yes</v>
      </c>
    </row>
    <row r="68" spans="1:16" x14ac:dyDescent="0.25">
      <c r="A68" s="2" t="s">
        <v>860</v>
      </c>
      <c r="B68" s="4">
        <v>44666</v>
      </c>
      <c r="C68" s="2" t="s">
        <v>861</v>
      </c>
      <c r="D68" t="s">
        <v>6173</v>
      </c>
      <c r="E68" s="2">
        <v>1</v>
      </c>
      <c r="F68" s="2" t="str">
        <f>_xlfn.XLOOKUP(C68,customers!$A$1:$A$1001,customers!$B$1:$B$1001,0)</f>
        <v>Belvia Umpleby</v>
      </c>
      <c r="G68" s="2" t="s">
        <v>863</v>
      </c>
      <c r="H68" s="2" t="str">
        <f>_xlfn.XLOOKUP(C68,customers!$A$1:$A$1001,customers!$G$1:$G$1001,0)</f>
        <v>United States</v>
      </c>
      <c r="I68" t="str">
        <f>_xlfn.XLOOKUP(D68,products!$A$1:$A$49,products!$B$1:$B$49,0)</f>
        <v>Rob</v>
      </c>
      <c r="J68" t="str">
        <f>_xlfn.XLOOKUP('data cleaned'!D68,products!$A$1:$A$49,products!$C$1:$C$49,0)</f>
        <v>L</v>
      </c>
      <c r="K68" s="5">
        <f>_xlfn.XLOOKUP('data cleaned'!D68,products!$A$1:$A$49,products!$D$1:$D$49,0)</f>
        <v>0.5</v>
      </c>
      <c r="L68" s="6">
        <f>_xlfn.XLOOKUP('data cleaned'!D68,products!$A$1:$A$49,products!$E$1:$E$49,0)</f>
        <v>7.169999999999999</v>
      </c>
      <c r="M68" s="6">
        <f>'data cleaned'!E68*'data cleaned'!L68</f>
        <v>7.169999999999999</v>
      </c>
      <c r="N68" t="str">
        <f t="shared" si="2"/>
        <v>Robusta</v>
      </c>
      <c r="O68" t="str">
        <f t="shared" si="3"/>
        <v>Light</v>
      </c>
      <c r="P68" t="str">
        <f>_xlfn.XLOOKUP(worksheet[[#This Row],[Customer ID]],customers!$A$1:$A$1001,customers!$I$1:$I$1001,0)</f>
        <v>Yes</v>
      </c>
    </row>
    <row r="69" spans="1:16" x14ac:dyDescent="0.25">
      <c r="A69" s="2" t="s">
        <v>866</v>
      </c>
      <c r="B69" s="4">
        <v>44519</v>
      </c>
      <c r="C69" s="2" t="s">
        <v>867</v>
      </c>
      <c r="D69" t="s">
        <v>6145</v>
      </c>
      <c r="E69" s="2">
        <v>2</v>
      </c>
      <c r="F69" s="2" t="str">
        <f>_xlfn.XLOOKUP(C69,customers!$A$1:$A$1001,customers!$B$1:$B$1001,0)</f>
        <v>Nat Saleway</v>
      </c>
      <c r="G69" s="2" t="s">
        <v>869</v>
      </c>
      <c r="H69" s="2" t="str">
        <f>_xlfn.XLOOKUP(C69,customers!$A$1:$A$1001,customers!$G$1:$G$1001,0)</f>
        <v>United States</v>
      </c>
      <c r="I69" t="str">
        <f>_xlfn.XLOOKUP(D69,products!$A$1:$A$49,products!$B$1:$B$49,0)</f>
        <v>Lib</v>
      </c>
      <c r="J69" t="str">
        <f>_xlfn.XLOOKUP('data cleaned'!D69,products!$A$1:$A$49,products!$C$1:$C$49,0)</f>
        <v>L</v>
      </c>
      <c r="K69" s="5">
        <f>_xlfn.XLOOKUP('data cleaned'!D69,products!$A$1:$A$49,products!$D$1:$D$49,0)</f>
        <v>0.2</v>
      </c>
      <c r="L69" s="6">
        <f>_xlfn.XLOOKUP('data cleaned'!D69,products!$A$1:$A$49,products!$E$1:$E$49,0)</f>
        <v>4.7549999999999999</v>
      </c>
      <c r="M69" s="6">
        <f>'data cleaned'!E69*'data cleaned'!L69</f>
        <v>9.51</v>
      </c>
      <c r="N69" t="str">
        <f t="shared" si="2"/>
        <v>Liberica</v>
      </c>
      <c r="O69" t="str">
        <f t="shared" si="3"/>
        <v>Light</v>
      </c>
      <c r="P69" t="str">
        <f>_xlfn.XLOOKUP(worksheet[[#This Row],[Customer ID]],customers!$A$1:$A$1001,customers!$I$1:$I$1001,0)</f>
        <v>No</v>
      </c>
    </row>
    <row r="70" spans="1:16" x14ac:dyDescent="0.25">
      <c r="A70" s="2" t="s">
        <v>872</v>
      </c>
      <c r="B70" s="4">
        <v>43754</v>
      </c>
      <c r="C70" s="2" t="s">
        <v>873</v>
      </c>
      <c r="D70" t="s">
        <v>6174</v>
      </c>
      <c r="E70" s="2">
        <v>1</v>
      </c>
      <c r="F70" s="2" t="str">
        <f>_xlfn.XLOOKUP(C70,customers!$A$1:$A$1001,customers!$B$1:$B$1001,0)</f>
        <v>Hayward Goulter</v>
      </c>
      <c r="G70" s="2" t="s">
        <v>875</v>
      </c>
      <c r="H70" s="2" t="str">
        <f>_xlfn.XLOOKUP(C70,customers!$A$1:$A$1001,customers!$G$1:$G$1001,0)</f>
        <v>United States</v>
      </c>
      <c r="I70" t="str">
        <f>_xlfn.XLOOKUP(D70,products!$A$1:$A$49,products!$B$1:$B$49,0)</f>
        <v>Rob</v>
      </c>
      <c r="J70" t="str">
        <f>_xlfn.XLOOKUP('data cleaned'!D70,products!$A$1:$A$49,products!$C$1:$C$49,0)</f>
        <v>M</v>
      </c>
      <c r="K70" s="5">
        <f>_xlfn.XLOOKUP('data cleaned'!D70,products!$A$1:$A$49,products!$D$1:$D$49,0)</f>
        <v>0.2</v>
      </c>
      <c r="L70" s="6">
        <f>_xlfn.XLOOKUP('data cleaned'!D70,products!$A$1:$A$49,products!$E$1:$E$49,0)</f>
        <v>2.9849999999999999</v>
      </c>
      <c r="M70" s="6">
        <f>'data cleaned'!E70*'data cleaned'!L70</f>
        <v>2.9849999999999999</v>
      </c>
      <c r="N70" t="str">
        <f t="shared" si="2"/>
        <v>Robusta</v>
      </c>
      <c r="O70" t="str">
        <f t="shared" si="3"/>
        <v>Medium</v>
      </c>
      <c r="P70" t="str">
        <f>_xlfn.XLOOKUP(worksheet[[#This Row],[Customer ID]],customers!$A$1:$A$1001,customers!$I$1:$I$1001,0)</f>
        <v>No</v>
      </c>
    </row>
    <row r="71" spans="1:16" x14ac:dyDescent="0.25">
      <c r="A71" s="2" t="s">
        <v>878</v>
      </c>
      <c r="B71" s="4">
        <v>43795</v>
      </c>
      <c r="C71" s="2" t="s">
        <v>879</v>
      </c>
      <c r="D71" t="s">
        <v>6138</v>
      </c>
      <c r="E71" s="2">
        <v>6</v>
      </c>
      <c r="F71" s="2" t="str">
        <f>_xlfn.XLOOKUP(C71,customers!$A$1:$A$1001,customers!$B$1:$B$1001,0)</f>
        <v>Gay Rizzello</v>
      </c>
      <c r="G71" s="2" t="s">
        <v>881</v>
      </c>
      <c r="H71" s="2" t="str">
        <f>_xlfn.XLOOKUP(C71,customers!$A$1:$A$1001,customers!$G$1:$G$1001,0)</f>
        <v>United Kingdom</v>
      </c>
      <c r="I71" t="str">
        <f>_xlfn.XLOOKUP(D71,products!$A$1:$A$49,products!$B$1:$B$49,0)</f>
        <v>Rob</v>
      </c>
      <c r="J71" t="str">
        <f>_xlfn.XLOOKUP('data cleaned'!D71,products!$A$1:$A$49,products!$C$1:$C$49,0)</f>
        <v>M</v>
      </c>
      <c r="K71" s="5">
        <f>_xlfn.XLOOKUP('data cleaned'!D71,products!$A$1:$A$49,products!$D$1:$D$49,0)</f>
        <v>1</v>
      </c>
      <c r="L71" s="6">
        <f>_xlfn.XLOOKUP('data cleaned'!D71,products!$A$1:$A$49,products!$E$1:$E$49,0)</f>
        <v>9.9499999999999993</v>
      </c>
      <c r="M71" s="6">
        <f>'data cleaned'!E71*'data cleaned'!L71</f>
        <v>59.699999999999996</v>
      </c>
      <c r="N71" t="str">
        <f t="shared" si="2"/>
        <v>Robusta</v>
      </c>
      <c r="O71" t="str">
        <f t="shared" si="3"/>
        <v>Medium</v>
      </c>
      <c r="P71" t="str">
        <f>_xlfn.XLOOKUP(worksheet[[#This Row],[Customer ID]],customers!$A$1:$A$1001,customers!$I$1:$I$1001,0)</f>
        <v>Yes</v>
      </c>
    </row>
    <row r="72" spans="1:16" x14ac:dyDescent="0.25">
      <c r="A72" s="2" t="s">
        <v>885</v>
      </c>
      <c r="B72" s="4">
        <v>43646</v>
      </c>
      <c r="C72" s="2" t="s">
        <v>886</v>
      </c>
      <c r="D72" t="s">
        <v>6148</v>
      </c>
      <c r="E72" s="2">
        <v>4</v>
      </c>
      <c r="F72" s="2" t="str">
        <f>_xlfn.XLOOKUP(C72,customers!$A$1:$A$1001,customers!$B$1:$B$1001,0)</f>
        <v>Shannon List</v>
      </c>
      <c r="G72" s="2" t="s">
        <v>888</v>
      </c>
      <c r="H72" s="2" t="str">
        <f>_xlfn.XLOOKUP(C72,customers!$A$1:$A$1001,customers!$G$1:$G$1001,0)</f>
        <v>United States</v>
      </c>
      <c r="I72" t="str">
        <f>_xlfn.XLOOKUP(D72,products!$A$1:$A$49,products!$B$1:$B$49,0)</f>
        <v>Exc</v>
      </c>
      <c r="J72" t="str">
        <f>_xlfn.XLOOKUP('data cleaned'!D72,products!$A$1:$A$49,products!$C$1:$C$49,0)</f>
        <v>L</v>
      </c>
      <c r="K72" s="5">
        <f>_xlfn.XLOOKUP('data cleaned'!D72,products!$A$1:$A$49,products!$D$1:$D$49,0)</f>
        <v>2.5</v>
      </c>
      <c r="L72" s="6">
        <f>_xlfn.XLOOKUP('data cleaned'!D72,products!$A$1:$A$49,products!$E$1:$E$49,0)</f>
        <v>34.154999999999994</v>
      </c>
      <c r="M72" s="6">
        <f>'data cleaned'!E72*'data cleaned'!L72</f>
        <v>136.61999999999998</v>
      </c>
      <c r="N72" t="str">
        <f t="shared" si="2"/>
        <v>Excelsa</v>
      </c>
      <c r="O72" t="str">
        <f t="shared" si="3"/>
        <v>Light</v>
      </c>
      <c r="P72" t="str">
        <f>_xlfn.XLOOKUP(worksheet[[#This Row],[Customer ID]],customers!$A$1:$A$1001,customers!$I$1:$I$1001,0)</f>
        <v>No</v>
      </c>
    </row>
    <row r="73" spans="1:16" x14ac:dyDescent="0.25">
      <c r="A73" s="2" t="s">
        <v>891</v>
      </c>
      <c r="B73" s="4">
        <v>44200</v>
      </c>
      <c r="C73" s="2" t="s">
        <v>892</v>
      </c>
      <c r="D73" t="s">
        <v>6145</v>
      </c>
      <c r="E73" s="2">
        <v>2</v>
      </c>
      <c r="F73" s="2" t="str">
        <f>_xlfn.XLOOKUP(C73,customers!$A$1:$A$1001,customers!$B$1:$B$1001,0)</f>
        <v>Shirlene Edmondson</v>
      </c>
      <c r="G73" s="2" t="s">
        <v>894</v>
      </c>
      <c r="H73" s="2" t="str">
        <f>_xlfn.XLOOKUP(C73,customers!$A$1:$A$1001,customers!$G$1:$G$1001,0)</f>
        <v>Ireland</v>
      </c>
      <c r="I73" t="str">
        <f>_xlfn.XLOOKUP(D73,products!$A$1:$A$49,products!$B$1:$B$49,0)</f>
        <v>Lib</v>
      </c>
      <c r="J73" t="str">
        <f>_xlfn.XLOOKUP('data cleaned'!D73,products!$A$1:$A$49,products!$C$1:$C$49,0)</f>
        <v>L</v>
      </c>
      <c r="K73" s="5">
        <f>_xlfn.XLOOKUP('data cleaned'!D73,products!$A$1:$A$49,products!$D$1:$D$49,0)</f>
        <v>0.2</v>
      </c>
      <c r="L73" s="6">
        <f>_xlfn.XLOOKUP('data cleaned'!D73,products!$A$1:$A$49,products!$E$1:$E$49,0)</f>
        <v>4.7549999999999999</v>
      </c>
      <c r="M73" s="6">
        <f>'data cleaned'!E73*'data cleaned'!L73</f>
        <v>9.51</v>
      </c>
      <c r="N73" t="str">
        <f t="shared" si="2"/>
        <v>Liberica</v>
      </c>
      <c r="O73" t="str">
        <f t="shared" si="3"/>
        <v>Light</v>
      </c>
      <c r="P73" t="str">
        <f>_xlfn.XLOOKUP(worksheet[[#This Row],[Customer ID]],customers!$A$1:$A$1001,customers!$I$1:$I$1001,0)</f>
        <v>No</v>
      </c>
    </row>
    <row r="74" spans="1:16" x14ac:dyDescent="0.25">
      <c r="A74" s="2" t="s">
        <v>897</v>
      </c>
      <c r="B74" s="4">
        <v>44131</v>
      </c>
      <c r="C74" s="2" t="s">
        <v>898</v>
      </c>
      <c r="D74" t="s">
        <v>6175</v>
      </c>
      <c r="E74" s="2">
        <v>3</v>
      </c>
      <c r="F74" s="2" t="str">
        <f>_xlfn.XLOOKUP(C74,customers!$A$1:$A$1001,customers!$B$1:$B$1001,0)</f>
        <v>Aurlie McCarl</v>
      </c>
      <c r="G74" s="2" t="s">
        <v>6222</v>
      </c>
      <c r="H74" s="2" t="str">
        <f>_xlfn.XLOOKUP(C74,customers!$A$1:$A$1001,customers!$G$1:$G$1001,0)</f>
        <v>United States</v>
      </c>
      <c r="I74" t="str">
        <f>_xlfn.XLOOKUP(D74,products!$A$1:$A$49,products!$B$1:$B$49,0)</f>
        <v>Ara</v>
      </c>
      <c r="J74" t="str">
        <f>_xlfn.XLOOKUP('data cleaned'!D74,products!$A$1:$A$49,products!$C$1:$C$49,0)</f>
        <v>M</v>
      </c>
      <c r="K74" s="5">
        <f>_xlfn.XLOOKUP('data cleaned'!D74,products!$A$1:$A$49,products!$D$1:$D$49,0)</f>
        <v>2.5</v>
      </c>
      <c r="L74" s="6">
        <f>_xlfn.XLOOKUP('data cleaned'!D74,products!$A$1:$A$49,products!$E$1:$E$49,0)</f>
        <v>25.874999999999996</v>
      </c>
      <c r="M74" s="6">
        <f>'data cleaned'!E74*'data cleaned'!L74</f>
        <v>77.624999999999986</v>
      </c>
      <c r="N74" t="str">
        <f t="shared" si="2"/>
        <v>Arabica</v>
      </c>
      <c r="O74" t="str">
        <f t="shared" si="3"/>
        <v>Medium</v>
      </c>
      <c r="P74" t="str">
        <f>_xlfn.XLOOKUP(worksheet[[#This Row],[Customer ID]],customers!$A$1:$A$1001,customers!$I$1:$I$1001,0)</f>
        <v>No</v>
      </c>
    </row>
    <row r="75" spans="1:16" x14ac:dyDescent="0.25">
      <c r="A75" s="2" t="s">
        <v>902</v>
      </c>
      <c r="B75" s="4">
        <v>44362</v>
      </c>
      <c r="C75" s="2" t="s">
        <v>903</v>
      </c>
      <c r="D75" t="s">
        <v>6159</v>
      </c>
      <c r="E75" s="2">
        <v>5</v>
      </c>
      <c r="F75" s="2" t="str">
        <f>_xlfn.XLOOKUP(C75,customers!$A$1:$A$1001,customers!$B$1:$B$1001,0)</f>
        <v>Alikee Carryer</v>
      </c>
      <c r="G75" s="2" t="s">
        <v>6222</v>
      </c>
      <c r="H75" s="2" t="str">
        <f>_xlfn.XLOOKUP(C75,customers!$A$1:$A$1001,customers!$G$1:$G$1001,0)</f>
        <v>United States</v>
      </c>
      <c r="I75" t="str">
        <f>_xlfn.XLOOKUP(D75,products!$A$1:$A$49,products!$B$1:$B$49,0)</f>
        <v>Lib</v>
      </c>
      <c r="J75" t="str">
        <f>_xlfn.XLOOKUP('data cleaned'!D75,products!$A$1:$A$49,products!$C$1:$C$49,0)</f>
        <v>M</v>
      </c>
      <c r="K75" s="5">
        <f>_xlfn.XLOOKUP('data cleaned'!D75,products!$A$1:$A$49,products!$D$1:$D$49,0)</f>
        <v>0.2</v>
      </c>
      <c r="L75" s="6">
        <f>_xlfn.XLOOKUP('data cleaned'!D75,products!$A$1:$A$49,products!$E$1:$E$49,0)</f>
        <v>4.3650000000000002</v>
      </c>
      <c r="M75" s="6">
        <f>'data cleaned'!E75*'data cleaned'!L75</f>
        <v>21.825000000000003</v>
      </c>
      <c r="N75" t="str">
        <f t="shared" si="2"/>
        <v>Liberica</v>
      </c>
      <c r="O75" t="str">
        <f t="shared" si="3"/>
        <v>Medium</v>
      </c>
      <c r="P75" t="str">
        <f>_xlfn.XLOOKUP(worksheet[[#This Row],[Customer ID]],customers!$A$1:$A$1001,customers!$I$1:$I$1001,0)</f>
        <v>Yes</v>
      </c>
    </row>
    <row r="76" spans="1:16" x14ac:dyDescent="0.25">
      <c r="A76" s="2" t="s">
        <v>907</v>
      </c>
      <c r="B76" s="4">
        <v>44396</v>
      </c>
      <c r="C76" s="2" t="s">
        <v>908</v>
      </c>
      <c r="D76" t="s">
        <v>6176</v>
      </c>
      <c r="E76" s="2">
        <v>2</v>
      </c>
      <c r="F76" s="2" t="str">
        <f>_xlfn.XLOOKUP(C76,customers!$A$1:$A$1001,customers!$B$1:$B$1001,0)</f>
        <v>Jennifer Rangall</v>
      </c>
      <c r="G76" s="2" t="s">
        <v>910</v>
      </c>
      <c r="H76" s="2" t="str">
        <f>_xlfn.XLOOKUP(C76,customers!$A$1:$A$1001,customers!$G$1:$G$1001,0)</f>
        <v>United States</v>
      </c>
      <c r="I76" t="str">
        <f>_xlfn.XLOOKUP(D76,products!$A$1:$A$49,products!$B$1:$B$49,0)</f>
        <v>Exc</v>
      </c>
      <c r="J76" t="str">
        <f>_xlfn.XLOOKUP('data cleaned'!D76,products!$A$1:$A$49,products!$C$1:$C$49,0)</f>
        <v>L</v>
      </c>
      <c r="K76" s="5">
        <f>_xlfn.XLOOKUP('data cleaned'!D76,products!$A$1:$A$49,products!$D$1:$D$49,0)</f>
        <v>0.5</v>
      </c>
      <c r="L76" s="6">
        <f>_xlfn.XLOOKUP('data cleaned'!D76,products!$A$1:$A$49,products!$E$1:$E$49,0)</f>
        <v>8.91</v>
      </c>
      <c r="M76" s="6">
        <f>'data cleaned'!E76*'data cleaned'!L76</f>
        <v>17.82</v>
      </c>
      <c r="N76" t="str">
        <f t="shared" si="2"/>
        <v>Excelsa</v>
      </c>
      <c r="O76" t="str">
        <f t="shared" si="3"/>
        <v>Light</v>
      </c>
      <c r="P76" t="str">
        <f>_xlfn.XLOOKUP(worksheet[[#This Row],[Customer ID]],customers!$A$1:$A$1001,customers!$I$1:$I$1001,0)</f>
        <v>Yes</v>
      </c>
    </row>
    <row r="77" spans="1:16" x14ac:dyDescent="0.25">
      <c r="A77" s="2" t="s">
        <v>913</v>
      </c>
      <c r="B77" s="4">
        <v>44400</v>
      </c>
      <c r="C77" s="2" t="s">
        <v>914</v>
      </c>
      <c r="D77" t="s">
        <v>6177</v>
      </c>
      <c r="E77" s="2">
        <v>6</v>
      </c>
      <c r="F77" s="2" t="str">
        <f>_xlfn.XLOOKUP(C77,customers!$A$1:$A$1001,customers!$B$1:$B$1001,0)</f>
        <v>Kipper Boorn</v>
      </c>
      <c r="G77" s="2" t="s">
        <v>916</v>
      </c>
      <c r="H77" s="2" t="str">
        <f>_xlfn.XLOOKUP(C77,customers!$A$1:$A$1001,customers!$G$1:$G$1001,0)</f>
        <v>Ireland</v>
      </c>
      <c r="I77" t="str">
        <f>_xlfn.XLOOKUP(D77,products!$A$1:$A$49,products!$B$1:$B$49,0)</f>
        <v>Rob</v>
      </c>
      <c r="J77" t="str">
        <f>_xlfn.XLOOKUP('data cleaned'!D77,products!$A$1:$A$49,products!$C$1:$C$49,0)</f>
        <v>D</v>
      </c>
      <c r="K77" s="5">
        <f>_xlfn.XLOOKUP('data cleaned'!D77,products!$A$1:$A$49,products!$D$1:$D$49,0)</f>
        <v>1</v>
      </c>
      <c r="L77" s="6">
        <f>_xlfn.XLOOKUP('data cleaned'!D77,products!$A$1:$A$49,products!$E$1:$E$49,0)</f>
        <v>8.9499999999999993</v>
      </c>
      <c r="M77" s="6">
        <f>'data cleaned'!E77*'data cleaned'!L77</f>
        <v>53.699999999999996</v>
      </c>
      <c r="N77" t="str">
        <f t="shared" si="2"/>
        <v>Robusta</v>
      </c>
      <c r="O77" t="str">
        <f t="shared" si="3"/>
        <v>Dark</v>
      </c>
      <c r="P77" t="str">
        <f>_xlfn.XLOOKUP(worksheet[[#This Row],[Customer ID]],customers!$A$1:$A$1001,customers!$I$1:$I$1001,0)</f>
        <v>Yes</v>
      </c>
    </row>
    <row r="78" spans="1:16" x14ac:dyDescent="0.25">
      <c r="A78" s="2" t="s">
        <v>919</v>
      </c>
      <c r="B78" s="4">
        <v>43855</v>
      </c>
      <c r="C78" s="2" t="s">
        <v>920</v>
      </c>
      <c r="D78" t="s">
        <v>6178</v>
      </c>
      <c r="E78" s="2">
        <v>1</v>
      </c>
      <c r="F78" s="2" t="str">
        <f>_xlfn.XLOOKUP(C78,customers!$A$1:$A$1001,customers!$B$1:$B$1001,0)</f>
        <v>Melania Beadle</v>
      </c>
      <c r="G78" s="2" t="s">
        <v>6222</v>
      </c>
      <c r="H78" s="2" t="str">
        <f>_xlfn.XLOOKUP(C78,customers!$A$1:$A$1001,customers!$G$1:$G$1001,0)</f>
        <v>Ireland</v>
      </c>
      <c r="I78" t="str">
        <f>_xlfn.XLOOKUP(D78,products!$A$1:$A$49,products!$B$1:$B$49,0)</f>
        <v>Rob</v>
      </c>
      <c r="J78" t="str">
        <f>_xlfn.XLOOKUP('data cleaned'!D78,products!$A$1:$A$49,products!$C$1:$C$49,0)</f>
        <v>L</v>
      </c>
      <c r="K78" s="5">
        <f>_xlfn.XLOOKUP('data cleaned'!D78,products!$A$1:$A$49,products!$D$1:$D$49,0)</f>
        <v>0.2</v>
      </c>
      <c r="L78" s="6">
        <f>_xlfn.XLOOKUP('data cleaned'!D78,products!$A$1:$A$49,products!$E$1:$E$49,0)</f>
        <v>3.5849999999999995</v>
      </c>
      <c r="M78" s="6">
        <f>'data cleaned'!E78*'data cleaned'!L78</f>
        <v>3.5849999999999995</v>
      </c>
      <c r="N78" t="str">
        <f t="shared" si="2"/>
        <v>Robusta</v>
      </c>
      <c r="O78" t="str">
        <f t="shared" si="3"/>
        <v>Light</v>
      </c>
      <c r="P78" t="str">
        <f>_xlfn.XLOOKUP(worksheet[[#This Row],[Customer ID]],customers!$A$1:$A$1001,customers!$I$1:$I$1001,0)</f>
        <v>Yes</v>
      </c>
    </row>
    <row r="79" spans="1:16" x14ac:dyDescent="0.25">
      <c r="A79" s="2" t="s">
        <v>924</v>
      </c>
      <c r="B79" s="4">
        <v>43594</v>
      </c>
      <c r="C79" s="2" t="s">
        <v>925</v>
      </c>
      <c r="D79" t="s">
        <v>6153</v>
      </c>
      <c r="E79" s="2">
        <v>2</v>
      </c>
      <c r="F79" s="2" t="str">
        <f>_xlfn.XLOOKUP(C79,customers!$A$1:$A$1001,customers!$B$1:$B$1001,0)</f>
        <v>Colene Elgey</v>
      </c>
      <c r="G79" s="2" t="s">
        <v>927</v>
      </c>
      <c r="H79" s="2" t="str">
        <f>_xlfn.XLOOKUP(C79,customers!$A$1:$A$1001,customers!$G$1:$G$1001,0)</f>
        <v>United States</v>
      </c>
      <c r="I79" t="str">
        <f>_xlfn.XLOOKUP(D79,products!$A$1:$A$49,products!$B$1:$B$49,0)</f>
        <v>Exc</v>
      </c>
      <c r="J79" t="str">
        <f>_xlfn.XLOOKUP('data cleaned'!D79,products!$A$1:$A$49,products!$C$1:$C$49,0)</f>
        <v>D</v>
      </c>
      <c r="K79" s="5">
        <f>_xlfn.XLOOKUP('data cleaned'!D79,products!$A$1:$A$49,products!$D$1:$D$49,0)</f>
        <v>0.2</v>
      </c>
      <c r="L79" s="6">
        <f>_xlfn.XLOOKUP('data cleaned'!D79,products!$A$1:$A$49,products!$E$1:$E$49,0)</f>
        <v>3.645</v>
      </c>
      <c r="M79" s="6">
        <f>'data cleaned'!E79*'data cleaned'!L79</f>
        <v>7.29</v>
      </c>
      <c r="N79" t="str">
        <f t="shared" si="2"/>
        <v>Excelsa</v>
      </c>
      <c r="O79" t="str">
        <f t="shared" si="3"/>
        <v>Dark</v>
      </c>
      <c r="P79" t="str">
        <f>_xlfn.XLOOKUP(worksheet[[#This Row],[Customer ID]],customers!$A$1:$A$1001,customers!$I$1:$I$1001,0)</f>
        <v>No</v>
      </c>
    </row>
    <row r="80" spans="1:16" x14ac:dyDescent="0.25">
      <c r="A80" s="2" t="s">
        <v>930</v>
      </c>
      <c r="B80" s="4">
        <v>43920</v>
      </c>
      <c r="C80" s="2" t="s">
        <v>931</v>
      </c>
      <c r="D80" t="s">
        <v>6157</v>
      </c>
      <c r="E80" s="2">
        <v>6</v>
      </c>
      <c r="F80" s="2" t="str">
        <f>_xlfn.XLOOKUP(C80,customers!$A$1:$A$1001,customers!$B$1:$B$1001,0)</f>
        <v>Lothaire Mizzi</v>
      </c>
      <c r="G80" s="2" t="s">
        <v>933</v>
      </c>
      <c r="H80" s="2" t="str">
        <f>_xlfn.XLOOKUP(C80,customers!$A$1:$A$1001,customers!$G$1:$G$1001,0)</f>
        <v>United States</v>
      </c>
      <c r="I80" t="str">
        <f>_xlfn.XLOOKUP(D80,products!$A$1:$A$49,products!$B$1:$B$49,0)</f>
        <v>Ara</v>
      </c>
      <c r="J80" t="str">
        <f>_xlfn.XLOOKUP('data cleaned'!D80,products!$A$1:$A$49,products!$C$1:$C$49,0)</f>
        <v>M</v>
      </c>
      <c r="K80" s="5">
        <f>_xlfn.XLOOKUP('data cleaned'!D80,products!$A$1:$A$49,products!$D$1:$D$49,0)</f>
        <v>0.5</v>
      </c>
      <c r="L80" s="6">
        <f>_xlfn.XLOOKUP('data cleaned'!D80,products!$A$1:$A$49,products!$E$1:$E$49,0)</f>
        <v>6.75</v>
      </c>
      <c r="M80" s="6">
        <f>'data cleaned'!E80*'data cleaned'!L80</f>
        <v>40.5</v>
      </c>
      <c r="N80" t="str">
        <f t="shared" si="2"/>
        <v>Arabica</v>
      </c>
      <c r="O80" t="str">
        <f t="shared" si="3"/>
        <v>Medium</v>
      </c>
      <c r="P80" t="str">
        <f>_xlfn.XLOOKUP(worksheet[[#This Row],[Customer ID]],customers!$A$1:$A$1001,customers!$I$1:$I$1001,0)</f>
        <v>Yes</v>
      </c>
    </row>
    <row r="81" spans="1:16" x14ac:dyDescent="0.25">
      <c r="A81" s="2" t="s">
        <v>936</v>
      </c>
      <c r="B81" s="4">
        <v>44633</v>
      </c>
      <c r="C81" s="2" t="s">
        <v>937</v>
      </c>
      <c r="D81" t="s">
        <v>6179</v>
      </c>
      <c r="E81" s="2">
        <v>4</v>
      </c>
      <c r="F81" s="2" t="str">
        <f>_xlfn.XLOOKUP(C81,customers!$A$1:$A$1001,customers!$B$1:$B$1001,0)</f>
        <v>Cletis Giacomazzo</v>
      </c>
      <c r="G81" s="2" t="s">
        <v>939</v>
      </c>
      <c r="H81" s="2" t="str">
        <f>_xlfn.XLOOKUP(C81,customers!$A$1:$A$1001,customers!$G$1:$G$1001,0)</f>
        <v>United States</v>
      </c>
      <c r="I81" t="str">
        <f>_xlfn.XLOOKUP(D81,products!$A$1:$A$49,products!$B$1:$B$49,0)</f>
        <v>Rob</v>
      </c>
      <c r="J81" t="str">
        <f>_xlfn.XLOOKUP('data cleaned'!D81,products!$A$1:$A$49,products!$C$1:$C$49,0)</f>
        <v>L</v>
      </c>
      <c r="K81" s="5">
        <f>_xlfn.XLOOKUP('data cleaned'!D81,products!$A$1:$A$49,products!$D$1:$D$49,0)</f>
        <v>1</v>
      </c>
      <c r="L81" s="6">
        <f>_xlfn.XLOOKUP('data cleaned'!D81,products!$A$1:$A$49,products!$E$1:$E$49,0)</f>
        <v>11.95</v>
      </c>
      <c r="M81" s="6">
        <f>'data cleaned'!E81*'data cleaned'!L81</f>
        <v>47.8</v>
      </c>
      <c r="N81" t="str">
        <f t="shared" si="2"/>
        <v>Robusta</v>
      </c>
      <c r="O81" t="str">
        <f t="shared" si="3"/>
        <v>Light</v>
      </c>
      <c r="P81" t="str">
        <f>_xlfn.XLOOKUP(worksheet[[#This Row],[Customer ID]],customers!$A$1:$A$1001,customers!$I$1:$I$1001,0)</f>
        <v>No</v>
      </c>
    </row>
    <row r="82" spans="1:16" x14ac:dyDescent="0.25">
      <c r="A82" s="2" t="s">
        <v>942</v>
      </c>
      <c r="B82" s="4">
        <v>43572</v>
      </c>
      <c r="C82" s="2" t="s">
        <v>943</v>
      </c>
      <c r="D82" t="s">
        <v>6180</v>
      </c>
      <c r="E82" s="2">
        <v>5</v>
      </c>
      <c r="F82" s="2" t="str">
        <f>_xlfn.XLOOKUP(C82,customers!$A$1:$A$1001,customers!$B$1:$B$1001,0)</f>
        <v>Ami Arnow</v>
      </c>
      <c r="G82" s="2" t="s">
        <v>945</v>
      </c>
      <c r="H82" s="2" t="str">
        <f>_xlfn.XLOOKUP(C82,customers!$A$1:$A$1001,customers!$G$1:$G$1001,0)</f>
        <v>United States</v>
      </c>
      <c r="I82" t="str">
        <f>_xlfn.XLOOKUP(D82,products!$A$1:$A$49,products!$B$1:$B$49,0)</f>
        <v>Ara</v>
      </c>
      <c r="J82" t="str">
        <f>_xlfn.XLOOKUP('data cleaned'!D82,products!$A$1:$A$49,products!$C$1:$C$49,0)</f>
        <v>L</v>
      </c>
      <c r="K82" s="5">
        <f>_xlfn.XLOOKUP('data cleaned'!D82,products!$A$1:$A$49,products!$D$1:$D$49,0)</f>
        <v>0.5</v>
      </c>
      <c r="L82" s="6">
        <f>_xlfn.XLOOKUP('data cleaned'!D82,products!$A$1:$A$49,products!$E$1:$E$49,0)</f>
        <v>7.77</v>
      </c>
      <c r="M82" s="6">
        <f>'data cleaned'!E82*'data cleaned'!L82</f>
        <v>38.849999999999994</v>
      </c>
      <c r="N82" t="str">
        <f t="shared" si="2"/>
        <v>Arabica</v>
      </c>
      <c r="O82" t="str">
        <f t="shared" si="3"/>
        <v>Light</v>
      </c>
      <c r="P82" t="str">
        <f>_xlfn.XLOOKUP(worksheet[[#This Row],[Customer ID]],customers!$A$1:$A$1001,customers!$I$1:$I$1001,0)</f>
        <v>Yes</v>
      </c>
    </row>
    <row r="83" spans="1:16" x14ac:dyDescent="0.25">
      <c r="A83" s="2" t="s">
        <v>948</v>
      </c>
      <c r="B83" s="4">
        <v>43763</v>
      </c>
      <c r="C83" s="2" t="s">
        <v>949</v>
      </c>
      <c r="D83" t="s">
        <v>6164</v>
      </c>
      <c r="E83" s="2">
        <v>3</v>
      </c>
      <c r="F83" s="2" t="str">
        <f>_xlfn.XLOOKUP(C83,customers!$A$1:$A$1001,customers!$B$1:$B$1001,0)</f>
        <v>Sheppard Yann</v>
      </c>
      <c r="G83" s="2" t="s">
        <v>951</v>
      </c>
      <c r="H83" s="2" t="str">
        <f>_xlfn.XLOOKUP(C83,customers!$A$1:$A$1001,customers!$G$1:$G$1001,0)</f>
        <v>United States</v>
      </c>
      <c r="I83" t="str">
        <f>_xlfn.XLOOKUP(D83,products!$A$1:$A$49,products!$B$1:$B$49,0)</f>
        <v>Lib</v>
      </c>
      <c r="J83" t="str">
        <f>_xlfn.XLOOKUP('data cleaned'!D83,products!$A$1:$A$49,products!$C$1:$C$49,0)</f>
        <v>L</v>
      </c>
      <c r="K83" s="5">
        <f>_xlfn.XLOOKUP('data cleaned'!D83,products!$A$1:$A$49,products!$D$1:$D$49,0)</f>
        <v>2.5</v>
      </c>
      <c r="L83" s="6">
        <f>_xlfn.XLOOKUP('data cleaned'!D83,products!$A$1:$A$49,products!$E$1:$E$49,0)</f>
        <v>36.454999999999998</v>
      </c>
      <c r="M83" s="6">
        <f>'data cleaned'!E83*'data cleaned'!L83</f>
        <v>109.36499999999999</v>
      </c>
      <c r="N83" t="str">
        <f t="shared" si="2"/>
        <v>Liberica</v>
      </c>
      <c r="O83" t="str">
        <f t="shared" si="3"/>
        <v>Light</v>
      </c>
      <c r="P83" t="str">
        <f>_xlfn.XLOOKUP(worksheet[[#This Row],[Customer ID]],customers!$A$1:$A$1001,customers!$I$1:$I$1001,0)</f>
        <v>Yes</v>
      </c>
    </row>
    <row r="84" spans="1:16" x14ac:dyDescent="0.25">
      <c r="A84" s="2" t="s">
        <v>954</v>
      </c>
      <c r="B84" s="4">
        <v>43721</v>
      </c>
      <c r="C84" s="2" t="s">
        <v>955</v>
      </c>
      <c r="D84" t="s">
        <v>6181</v>
      </c>
      <c r="E84" s="2">
        <v>3</v>
      </c>
      <c r="F84" s="2" t="str">
        <f>_xlfn.XLOOKUP(C84,customers!$A$1:$A$1001,customers!$B$1:$B$1001,0)</f>
        <v>Bunny Naulls</v>
      </c>
      <c r="G84" s="2" t="s">
        <v>957</v>
      </c>
      <c r="H84" s="2" t="str">
        <f>_xlfn.XLOOKUP(C84,customers!$A$1:$A$1001,customers!$G$1:$G$1001,0)</f>
        <v>Ireland</v>
      </c>
      <c r="I84" t="str">
        <f>_xlfn.XLOOKUP(D84,products!$A$1:$A$49,products!$B$1:$B$49,0)</f>
        <v>Lib</v>
      </c>
      <c r="J84" t="str">
        <f>_xlfn.XLOOKUP('data cleaned'!D84,products!$A$1:$A$49,products!$C$1:$C$49,0)</f>
        <v>M</v>
      </c>
      <c r="K84" s="5">
        <f>_xlfn.XLOOKUP('data cleaned'!D84,products!$A$1:$A$49,products!$D$1:$D$49,0)</f>
        <v>2.5</v>
      </c>
      <c r="L84" s="6">
        <f>_xlfn.XLOOKUP('data cleaned'!D84,products!$A$1:$A$49,products!$E$1:$E$49,0)</f>
        <v>33.464999999999996</v>
      </c>
      <c r="M84" s="6">
        <f>'data cleaned'!E84*'data cleaned'!L84</f>
        <v>100.39499999999998</v>
      </c>
      <c r="N84" t="str">
        <f t="shared" si="2"/>
        <v>Liberica</v>
      </c>
      <c r="O84" t="str">
        <f t="shared" si="3"/>
        <v>Medium</v>
      </c>
      <c r="P84" t="str">
        <f>_xlfn.XLOOKUP(worksheet[[#This Row],[Customer ID]],customers!$A$1:$A$1001,customers!$I$1:$I$1001,0)</f>
        <v>Yes</v>
      </c>
    </row>
    <row r="85" spans="1:16" x14ac:dyDescent="0.25">
      <c r="A85" s="2" t="s">
        <v>960</v>
      </c>
      <c r="B85" s="4">
        <v>43933</v>
      </c>
      <c r="C85" s="2" t="s">
        <v>961</v>
      </c>
      <c r="D85" t="s">
        <v>6149</v>
      </c>
      <c r="E85" s="2">
        <v>4</v>
      </c>
      <c r="F85" s="2" t="str">
        <f>_xlfn.XLOOKUP(C85,customers!$A$1:$A$1001,customers!$B$1:$B$1001,0)</f>
        <v>Hally Lorait</v>
      </c>
      <c r="G85" s="2" t="s">
        <v>6222</v>
      </c>
      <c r="H85" s="2" t="str">
        <f>_xlfn.XLOOKUP(C85,customers!$A$1:$A$1001,customers!$G$1:$G$1001,0)</f>
        <v>United States</v>
      </c>
      <c r="I85" t="str">
        <f>_xlfn.XLOOKUP(D85,products!$A$1:$A$49,products!$B$1:$B$49,0)</f>
        <v>Rob</v>
      </c>
      <c r="J85" t="str">
        <f>_xlfn.XLOOKUP('data cleaned'!D85,products!$A$1:$A$49,products!$C$1:$C$49,0)</f>
        <v>D</v>
      </c>
      <c r="K85" s="5">
        <f>_xlfn.XLOOKUP('data cleaned'!D85,products!$A$1:$A$49,products!$D$1:$D$49,0)</f>
        <v>2.5</v>
      </c>
      <c r="L85" s="6">
        <f>_xlfn.XLOOKUP('data cleaned'!D85,products!$A$1:$A$49,products!$E$1:$E$49,0)</f>
        <v>20.584999999999997</v>
      </c>
      <c r="M85" s="6">
        <f>'data cleaned'!E85*'data cleaned'!L85</f>
        <v>82.339999999999989</v>
      </c>
      <c r="N85" t="str">
        <f t="shared" si="2"/>
        <v>Robusta</v>
      </c>
      <c r="O85" t="str">
        <f t="shared" si="3"/>
        <v>Dark</v>
      </c>
      <c r="P85" t="str">
        <f>_xlfn.XLOOKUP(worksheet[[#This Row],[Customer ID]],customers!$A$1:$A$1001,customers!$I$1:$I$1001,0)</f>
        <v>Yes</v>
      </c>
    </row>
    <row r="86" spans="1:16" x14ac:dyDescent="0.25">
      <c r="A86" s="2" t="s">
        <v>965</v>
      </c>
      <c r="B86" s="4">
        <v>43783</v>
      </c>
      <c r="C86" s="2" t="s">
        <v>966</v>
      </c>
      <c r="D86" t="s">
        <v>6161</v>
      </c>
      <c r="E86" s="2">
        <v>1</v>
      </c>
      <c r="F86" s="2" t="str">
        <f>_xlfn.XLOOKUP(C86,customers!$A$1:$A$1001,customers!$B$1:$B$1001,0)</f>
        <v>Zaccaria Sherewood</v>
      </c>
      <c r="G86" s="2" t="s">
        <v>968</v>
      </c>
      <c r="H86" s="2" t="str">
        <f>_xlfn.XLOOKUP(C86,customers!$A$1:$A$1001,customers!$G$1:$G$1001,0)</f>
        <v>United States</v>
      </c>
      <c r="I86" t="str">
        <f>_xlfn.XLOOKUP(D86,products!$A$1:$A$49,products!$B$1:$B$49,0)</f>
        <v>Lib</v>
      </c>
      <c r="J86" t="str">
        <f>_xlfn.XLOOKUP('data cleaned'!D86,products!$A$1:$A$49,products!$C$1:$C$49,0)</f>
        <v>L</v>
      </c>
      <c r="K86" s="5">
        <f>_xlfn.XLOOKUP('data cleaned'!D86,products!$A$1:$A$49,products!$D$1:$D$49,0)</f>
        <v>0.5</v>
      </c>
      <c r="L86" s="6">
        <f>_xlfn.XLOOKUP('data cleaned'!D86,products!$A$1:$A$49,products!$E$1:$E$49,0)</f>
        <v>9.51</v>
      </c>
      <c r="M86" s="6">
        <f>'data cleaned'!E86*'data cleaned'!L86</f>
        <v>9.51</v>
      </c>
      <c r="N86" t="str">
        <f t="shared" si="2"/>
        <v>Liberica</v>
      </c>
      <c r="O86" t="str">
        <f t="shared" si="3"/>
        <v>Light</v>
      </c>
      <c r="P86" t="str">
        <f>_xlfn.XLOOKUP(worksheet[[#This Row],[Customer ID]],customers!$A$1:$A$1001,customers!$I$1:$I$1001,0)</f>
        <v>No</v>
      </c>
    </row>
    <row r="87" spans="1:16" x14ac:dyDescent="0.25">
      <c r="A87" s="2" t="s">
        <v>971</v>
      </c>
      <c r="B87" s="4">
        <v>43664</v>
      </c>
      <c r="C87" s="2" t="s">
        <v>972</v>
      </c>
      <c r="D87" t="s">
        <v>6182</v>
      </c>
      <c r="E87" s="2">
        <v>3</v>
      </c>
      <c r="F87" s="2" t="str">
        <f>_xlfn.XLOOKUP(C87,customers!$A$1:$A$1001,customers!$B$1:$B$1001,0)</f>
        <v>Jeffrey Dufaire</v>
      </c>
      <c r="G87" s="2" t="s">
        <v>974</v>
      </c>
      <c r="H87" s="2" t="str">
        <f>_xlfn.XLOOKUP(C87,customers!$A$1:$A$1001,customers!$G$1:$G$1001,0)</f>
        <v>United States</v>
      </c>
      <c r="I87" t="str">
        <f>_xlfn.XLOOKUP(D87,products!$A$1:$A$49,products!$B$1:$B$49,0)</f>
        <v>Ara</v>
      </c>
      <c r="J87" t="str">
        <f>_xlfn.XLOOKUP('data cleaned'!D87,products!$A$1:$A$49,products!$C$1:$C$49,0)</f>
        <v>L</v>
      </c>
      <c r="K87" s="5">
        <f>_xlfn.XLOOKUP('data cleaned'!D87,products!$A$1:$A$49,products!$D$1:$D$49,0)</f>
        <v>2.5</v>
      </c>
      <c r="L87" s="6">
        <f>_xlfn.XLOOKUP('data cleaned'!D87,products!$A$1:$A$49,products!$E$1:$E$49,0)</f>
        <v>29.784999999999997</v>
      </c>
      <c r="M87" s="6">
        <f>'data cleaned'!E87*'data cleaned'!L87</f>
        <v>89.35499999999999</v>
      </c>
      <c r="N87" t="str">
        <f t="shared" si="2"/>
        <v>Arabica</v>
      </c>
      <c r="O87" t="str">
        <f t="shared" si="3"/>
        <v>Light</v>
      </c>
      <c r="P87" t="str">
        <f>_xlfn.XLOOKUP(worksheet[[#This Row],[Customer ID]],customers!$A$1:$A$1001,customers!$I$1:$I$1001,0)</f>
        <v>No</v>
      </c>
    </row>
    <row r="88" spans="1:16" x14ac:dyDescent="0.25">
      <c r="A88" s="2" t="s">
        <v>971</v>
      </c>
      <c r="B88" s="4">
        <v>43664</v>
      </c>
      <c r="C88" s="2" t="s">
        <v>972</v>
      </c>
      <c r="D88" t="s">
        <v>6154</v>
      </c>
      <c r="E88" s="2">
        <v>4</v>
      </c>
      <c r="F88" s="2" t="str">
        <f>_xlfn.XLOOKUP(C88,customers!$A$1:$A$1001,customers!$B$1:$B$1001,0)</f>
        <v>Jeffrey Dufaire</v>
      </c>
      <c r="G88" s="2" t="s">
        <v>974</v>
      </c>
      <c r="H88" s="2" t="str">
        <f>_xlfn.XLOOKUP(C88,customers!$A$1:$A$1001,customers!$G$1:$G$1001,0)</f>
        <v>United States</v>
      </c>
      <c r="I88" t="str">
        <f>_xlfn.XLOOKUP(D88,products!$A$1:$A$49,products!$B$1:$B$49,0)</f>
        <v>Ara</v>
      </c>
      <c r="J88" t="str">
        <f>_xlfn.XLOOKUP('data cleaned'!D88,products!$A$1:$A$49,products!$C$1:$C$49,0)</f>
        <v>D</v>
      </c>
      <c r="K88" s="5">
        <f>_xlfn.XLOOKUP('data cleaned'!D88,products!$A$1:$A$49,products!$D$1:$D$49,0)</f>
        <v>0.2</v>
      </c>
      <c r="L88" s="6">
        <f>_xlfn.XLOOKUP('data cleaned'!D88,products!$A$1:$A$49,products!$E$1:$E$49,0)</f>
        <v>2.9849999999999999</v>
      </c>
      <c r="M88" s="6">
        <f>'data cleaned'!E88*'data cleaned'!L88</f>
        <v>11.94</v>
      </c>
      <c r="N88" t="str">
        <f t="shared" si="2"/>
        <v>Arabica</v>
      </c>
      <c r="O88" t="str">
        <f t="shared" si="3"/>
        <v>Dark</v>
      </c>
      <c r="P88" t="str">
        <f>_xlfn.XLOOKUP(worksheet[[#This Row],[Customer ID]],customers!$A$1:$A$1001,customers!$I$1:$I$1001,0)</f>
        <v>No</v>
      </c>
    </row>
    <row r="89" spans="1:16" x14ac:dyDescent="0.25">
      <c r="A89" s="2" t="s">
        <v>980</v>
      </c>
      <c r="B89" s="4">
        <v>44289</v>
      </c>
      <c r="C89" s="2" t="s">
        <v>981</v>
      </c>
      <c r="D89" t="s">
        <v>6155</v>
      </c>
      <c r="E89" s="2">
        <v>3</v>
      </c>
      <c r="F89" s="2" t="str">
        <f>_xlfn.XLOOKUP(C89,customers!$A$1:$A$1001,customers!$B$1:$B$1001,0)</f>
        <v>Beitris Keaveney</v>
      </c>
      <c r="G89" s="2" t="s">
        <v>983</v>
      </c>
      <c r="H89" s="2" t="str">
        <f>_xlfn.XLOOKUP(C89,customers!$A$1:$A$1001,customers!$G$1:$G$1001,0)</f>
        <v>United States</v>
      </c>
      <c r="I89" t="str">
        <f>_xlfn.XLOOKUP(D89,products!$A$1:$A$49,products!$B$1:$B$49,0)</f>
        <v>Ara</v>
      </c>
      <c r="J89" t="str">
        <f>_xlfn.XLOOKUP('data cleaned'!D89,products!$A$1:$A$49,products!$C$1:$C$49,0)</f>
        <v>M</v>
      </c>
      <c r="K89" s="5">
        <f>_xlfn.XLOOKUP('data cleaned'!D89,products!$A$1:$A$49,products!$D$1:$D$49,0)</f>
        <v>1</v>
      </c>
      <c r="L89" s="6">
        <f>_xlfn.XLOOKUP('data cleaned'!D89,products!$A$1:$A$49,products!$E$1:$E$49,0)</f>
        <v>11.25</v>
      </c>
      <c r="M89" s="6">
        <f>'data cleaned'!E89*'data cleaned'!L89</f>
        <v>33.75</v>
      </c>
      <c r="N89" t="str">
        <f t="shared" si="2"/>
        <v>Arabica</v>
      </c>
      <c r="O89" t="str">
        <f t="shared" si="3"/>
        <v>Medium</v>
      </c>
      <c r="P89" t="str">
        <f>_xlfn.XLOOKUP(worksheet[[#This Row],[Customer ID]],customers!$A$1:$A$1001,customers!$I$1:$I$1001,0)</f>
        <v>No</v>
      </c>
    </row>
    <row r="90" spans="1:16" x14ac:dyDescent="0.25">
      <c r="A90" s="2" t="s">
        <v>985</v>
      </c>
      <c r="B90" s="4">
        <v>44284</v>
      </c>
      <c r="C90" s="2" t="s">
        <v>986</v>
      </c>
      <c r="D90" t="s">
        <v>6179</v>
      </c>
      <c r="E90" s="2">
        <v>3</v>
      </c>
      <c r="F90" s="2" t="str">
        <f>_xlfn.XLOOKUP(C90,customers!$A$1:$A$1001,customers!$B$1:$B$1001,0)</f>
        <v>Elna Grise</v>
      </c>
      <c r="G90" s="2" t="s">
        <v>988</v>
      </c>
      <c r="H90" s="2" t="str">
        <f>_xlfn.XLOOKUP(C90,customers!$A$1:$A$1001,customers!$G$1:$G$1001,0)</f>
        <v>United States</v>
      </c>
      <c r="I90" t="str">
        <f>_xlfn.XLOOKUP(D90,products!$A$1:$A$49,products!$B$1:$B$49,0)</f>
        <v>Rob</v>
      </c>
      <c r="J90" t="str">
        <f>_xlfn.XLOOKUP('data cleaned'!D90,products!$A$1:$A$49,products!$C$1:$C$49,0)</f>
        <v>L</v>
      </c>
      <c r="K90" s="5">
        <f>_xlfn.XLOOKUP('data cleaned'!D90,products!$A$1:$A$49,products!$D$1:$D$49,0)</f>
        <v>1</v>
      </c>
      <c r="L90" s="6">
        <f>_xlfn.XLOOKUP('data cleaned'!D90,products!$A$1:$A$49,products!$E$1:$E$49,0)</f>
        <v>11.95</v>
      </c>
      <c r="M90" s="6">
        <f>'data cleaned'!E90*'data cleaned'!L90</f>
        <v>35.849999999999994</v>
      </c>
      <c r="N90" t="str">
        <f t="shared" si="2"/>
        <v>Robusta</v>
      </c>
      <c r="O90" t="str">
        <f t="shared" si="3"/>
        <v>Light</v>
      </c>
      <c r="P90" t="str">
        <f>_xlfn.XLOOKUP(worksheet[[#This Row],[Customer ID]],customers!$A$1:$A$1001,customers!$I$1:$I$1001,0)</f>
        <v>No</v>
      </c>
    </row>
    <row r="91" spans="1:16" x14ac:dyDescent="0.25">
      <c r="A91" s="2" t="s">
        <v>990</v>
      </c>
      <c r="B91" s="4">
        <v>44545</v>
      </c>
      <c r="C91" s="2" t="s">
        <v>991</v>
      </c>
      <c r="D91" t="s">
        <v>6140</v>
      </c>
      <c r="E91" s="2">
        <v>6</v>
      </c>
      <c r="F91" s="2" t="str">
        <f>_xlfn.XLOOKUP(C91,customers!$A$1:$A$1001,customers!$B$1:$B$1001,0)</f>
        <v>Torie Gottelier</v>
      </c>
      <c r="G91" s="2" t="s">
        <v>993</v>
      </c>
      <c r="H91" s="2" t="str">
        <f>_xlfn.XLOOKUP(C91,customers!$A$1:$A$1001,customers!$G$1:$G$1001,0)</f>
        <v>United States</v>
      </c>
      <c r="I91" t="str">
        <f>_xlfn.XLOOKUP(D91,products!$A$1:$A$49,products!$B$1:$B$49,0)</f>
        <v>Ara</v>
      </c>
      <c r="J91" t="str">
        <f>_xlfn.XLOOKUP('data cleaned'!D91,products!$A$1:$A$49,products!$C$1:$C$49,0)</f>
        <v>L</v>
      </c>
      <c r="K91" s="5">
        <f>_xlfn.XLOOKUP('data cleaned'!D91,products!$A$1:$A$49,products!$D$1:$D$49,0)</f>
        <v>1</v>
      </c>
      <c r="L91" s="6">
        <f>_xlfn.XLOOKUP('data cleaned'!D91,products!$A$1:$A$49,products!$E$1:$E$49,0)</f>
        <v>12.95</v>
      </c>
      <c r="M91" s="6">
        <f>'data cleaned'!E91*'data cleaned'!L91</f>
        <v>77.699999999999989</v>
      </c>
      <c r="N91" t="str">
        <f t="shared" si="2"/>
        <v>Arabica</v>
      </c>
      <c r="O91" t="str">
        <f t="shared" si="3"/>
        <v>Light</v>
      </c>
      <c r="P91" t="str">
        <f>_xlfn.XLOOKUP(worksheet[[#This Row],[Customer ID]],customers!$A$1:$A$1001,customers!$I$1:$I$1001,0)</f>
        <v>No</v>
      </c>
    </row>
    <row r="92" spans="1:16" x14ac:dyDescent="0.25">
      <c r="A92" s="2" t="s">
        <v>996</v>
      </c>
      <c r="B92" s="4">
        <v>43971</v>
      </c>
      <c r="C92" s="2" t="s">
        <v>997</v>
      </c>
      <c r="D92" t="s">
        <v>6140</v>
      </c>
      <c r="E92" s="2">
        <v>4</v>
      </c>
      <c r="F92" s="2" t="str">
        <f>_xlfn.XLOOKUP(C92,customers!$A$1:$A$1001,customers!$B$1:$B$1001,0)</f>
        <v>Loydie Langlais</v>
      </c>
      <c r="G92" s="2" t="s">
        <v>6222</v>
      </c>
      <c r="H92" s="2" t="str">
        <f>_xlfn.XLOOKUP(C92,customers!$A$1:$A$1001,customers!$G$1:$G$1001,0)</f>
        <v>Ireland</v>
      </c>
      <c r="I92" t="str">
        <f>_xlfn.XLOOKUP(D92,products!$A$1:$A$49,products!$B$1:$B$49,0)</f>
        <v>Ara</v>
      </c>
      <c r="J92" t="str">
        <f>_xlfn.XLOOKUP('data cleaned'!D92,products!$A$1:$A$49,products!$C$1:$C$49,0)</f>
        <v>L</v>
      </c>
      <c r="K92" s="5">
        <f>_xlfn.XLOOKUP('data cleaned'!D92,products!$A$1:$A$49,products!$D$1:$D$49,0)</f>
        <v>1</v>
      </c>
      <c r="L92" s="6">
        <f>_xlfn.XLOOKUP('data cleaned'!D92,products!$A$1:$A$49,products!$E$1:$E$49,0)</f>
        <v>12.95</v>
      </c>
      <c r="M92" s="6">
        <f>'data cleaned'!E92*'data cleaned'!L92</f>
        <v>51.8</v>
      </c>
      <c r="N92" t="str">
        <f t="shared" si="2"/>
        <v>Arabica</v>
      </c>
      <c r="O92" t="str">
        <f t="shared" si="3"/>
        <v>Light</v>
      </c>
      <c r="P92" t="str">
        <f>_xlfn.XLOOKUP(worksheet[[#This Row],[Customer ID]],customers!$A$1:$A$1001,customers!$I$1:$I$1001,0)</f>
        <v>Yes</v>
      </c>
    </row>
    <row r="93" spans="1:16" x14ac:dyDescent="0.25">
      <c r="A93" s="2" t="s">
        <v>1001</v>
      </c>
      <c r="B93" s="4">
        <v>44137</v>
      </c>
      <c r="C93" s="2" t="s">
        <v>1002</v>
      </c>
      <c r="D93" t="s">
        <v>6175</v>
      </c>
      <c r="E93" s="2">
        <v>4</v>
      </c>
      <c r="F93" s="2" t="str">
        <f>_xlfn.XLOOKUP(C93,customers!$A$1:$A$1001,customers!$B$1:$B$1001,0)</f>
        <v>Adham Greenhead</v>
      </c>
      <c r="G93" s="2" t="s">
        <v>1004</v>
      </c>
      <c r="H93" s="2" t="str">
        <f>_xlfn.XLOOKUP(C93,customers!$A$1:$A$1001,customers!$G$1:$G$1001,0)</f>
        <v>United States</v>
      </c>
      <c r="I93" t="str">
        <f>_xlfn.XLOOKUP(D93,products!$A$1:$A$49,products!$B$1:$B$49,0)</f>
        <v>Ara</v>
      </c>
      <c r="J93" t="str">
        <f>_xlfn.XLOOKUP('data cleaned'!D93,products!$A$1:$A$49,products!$C$1:$C$49,0)</f>
        <v>M</v>
      </c>
      <c r="K93" s="5">
        <f>_xlfn.XLOOKUP('data cleaned'!D93,products!$A$1:$A$49,products!$D$1:$D$49,0)</f>
        <v>2.5</v>
      </c>
      <c r="L93" s="6">
        <f>_xlfn.XLOOKUP('data cleaned'!D93,products!$A$1:$A$49,products!$E$1:$E$49,0)</f>
        <v>25.874999999999996</v>
      </c>
      <c r="M93" s="6">
        <f>'data cleaned'!E93*'data cleaned'!L93</f>
        <v>103.49999999999999</v>
      </c>
      <c r="N93" t="str">
        <f t="shared" si="2"/>
        <v>Arabica</v>
      </c>
      <c r="O93" t="str">
        <f t="shared" si="3"/>
        <v>Medium</v>
      </c>
      <c r="P93" t="str">
        <f>_xlfn.XLOOKUP(worksheet[[#This Row],[Customer ID]],customers!$A$1:$A$1001,customers!$I$1:$I$1001,0)</f>
        <v>No</v>
      </c>
    </row>
    <row r="94" spans="1:16" x14ac:dyDescent="0.25">
      <c r="A94" s="2" t="s">
        <v>1007</v>
      </c>
      <c r="B94" s="4">
        <v>44037</v>
      </c>
      <c r="C94" s="2" t="s">
        <v>1008</v>
      </c>
      <c r="D94" t="s">
        <v>6171</v>
      </c>
      <c r="E94" s="2">
        <v>3</v>
      </c>
      <c r="F94" s="2" t="str">
        <f>_xlfn.XLOOKUP(C94,customers!$A$1:$A$1001,customers!$B$1:$B$1001,0)</f>
        <v>Hamish MacSherry</v>
      </c>
      <c r="G94" s="2" t="s">
        <v>6222</v>
      </c>
      <c r="H94" s="2" t="str">
        <f>_xlfn.XLOOKUP(C94,customers!$A$1:$A$1001,customers!$G$1:$G$1001,0)</f>
        <v>United States</v>
      </c>
      <c r="I94" t="str">
        <f>_xlfn.XLOOKUP(D94,products!$A$1:$A$49,products!$B$1:$B$49,0)</f>
        <v>Exc</v>
      </c>
      <c r="J94" t="str">
        <f>_xlfn.XLOOKUP('data cleaned'!D94,products!$A$1:$A$49,products!$C$1:$C$49,0)</f>
        <v>L</v>
      </c>
      <c r="K94" s="5">
        <f>_xlfn.XLOOKUP('data cleaned'!D94,products!$A$1:$A$49,products!$D$1:$D$49,0)</f>
        <v>1</v>
      </c>
      <c r="L94" s="6">
        <f>_xlfn.XLOOKUP('data cleaned'!D94,products!$A$1:$A$49,products!$E$1:$E$49,0)</f>
        <v>14.85</v>
      </c>
      <c r="M94" s="6">
        <f>'data cleaned'!E94*'data cleaned'!L94</f>
        <v>44.55</v>
      </c>
      <c r="N94" t="str">
        <f t="shared" si="2"/>
        <v>Excelsa</v>
      </c>
      <c r="O94" t="str">
        <f t="shared" si="3"/>
        <v>Light</v>
      </c>
      <c r="P94" t="str">
        <f>_xlfn.XLOOKUP(worksheet[[#This Row],[Customer ID]],customers!$A$1:$A$1001,customers!$I$1:$I$1001,0)</f>
        <v>Yes</v>
      </c>
    </row>
    <row r="95" spans="1:16" x14ac:dyDescent="0.25">
      <c r="A95" s="2" t="s">
        <v>1012</v>
      </c>
      <c r="B95" s="4">
        <v>43538</v>
      </c>
      <c r="C95" s="2" t="s">
        <v>1013</v>
      </c>
      <c r="D95" t="s">
        <v>6176</v>
      </c>
      <c r="E95" s="2">
        <v>4</v>
      </c>
      <c r="F95" s="2" t="str">
        <f>_xlfn.XLOOKUP(C95,customers!$A$1:$A$1001,customers!$B$1:$B$1001,0)</f>
        <v>Else Langcaster</v>
      </c>
      <c r="G95" s="2" t="s">
        <v>1015</v>
      </c>
      <c r="H95" s="2" t="str">
        <f>_xlfn.XLOOKUP(C95,customers!$A$1:$A$1001,customers!$G$1:$G$1001,0)</f>
        <v>United Kingdom</v>
      </c>
      <c r="I95" t="str">
        <f>_xlfn.XLOOKUP(D95,products!$A$1:$A$49,products!$B$1:$B$49,0)</f>
        <v>Exc</v>
      </c>
      <c r="J95" t="str">
        <f>_xlfn.XLOOKUP('data cleaned'!D95,products!$A$1:$A$49,products!$C$1:$C$49,0)</f>
        <v>L</v>
      </c>
      <c r="K95" s="5">
        <f>_xlfn.XLOOKUP('data cleaned'!D95,products!$A$1:$A$49,products!$D$1:$D$49,0)</f>
        <v>0.5</v>
      </c>
      <c r="L95" s="6">
        <f>_xlfn.XLOOKUP('data cleaned'!D95,products!$A$1:$A$49,products!$E$1:$E$49,0)</f>
        <v>8.91</v>
      </c>
      <c r="M95" s="6">
        <f>'data cleaned'!E95*'data cleaned'!L95</f>
        <v>35.64</v>
      </c>
      <c r="N95" t="str">
        <f t="shared" si="2"/>
        <v>Excelsa</v>
      </c>
      <c r="O95" t="str">
        <f t="shared" si="3"/>
        <v>Light</v>
      </c>
      <c r="P95" t="str">
        <f>_xlfn.XLOOKUP(worksheet[[#This Row],[Customer ID]],customers!$A$1:$A$1001,customers!$I$1:$I$1001,0)</f>
        <v>Yes</v>
      </c>
    </row>
    <row r="96" spans="1:16" x14ac:dyDescent="0.25">
      <c r="A96" s="2" t="s">
        <v>1018</v>
      </c>
      <c r="B96" s="4">
        <v>44014</v>
      </c>
      <c r="C96" s="2" t="s">
        <v>1019</v>
      </c>
      <c r="D96" t="s">
        <v>6154</v>
      </c>
      <c r="E96" s="2">
        <v>6</v>
      </c>
      <c r="F96" s="2" t="str">
        <f>_xlfn.XLOOKUP(C96,customers!$A$1:$A$1001,customers!$B$1:$B$1001,0)</f>
        <v>Rudy Farquharson</v>
      </c>
      <c r="G96" s="2" t="s">
        <v>6222</v>
      </c>
      <c r="H96" s="2" t="str">
        <f>_xlfn.XLOOKUP(C96,customers!$A$1:$A$1001,customers!$G$1:$G$1001,0)</f>
        <v>Ireland</v>
      </c>
      <c r="I96" t="str">
        <f>_xlfn.XLOOKUP(D96,products!$A$1:$A$49,products!$B$1:$B$49,0)</f>
        <v>Ara</v>
      </c>
      <c r="J96" t="str">
        <f>_xlfn.XLOOKUP('data cleaned'!D96,products!$A$1:$A$49,products!$C$1:$C$49,0)</f>
        <v>D</v>
      </c>
      <c r="K96" s="5">
        <f>_xlfn.XLOOKUP('data cleaned'!D96,products!$A$1:$A$49,products!$D$1:$D$49,0)</f>
        <v>0.2</v>
      </c>
      <c r="L96" s="6">
        <f>_xlfn.XLOOKUP('data cleaned'!D96,products!$A$1:$A$49,products!$E$1:$E$49,0)</f>
        <v>2.9849999999999999</v>
      </c>
      <c r="M96" s="6">
        <f>'data cleaned'!E96*'data cleaned'!L96</f>
        <v>17.91</v>
      </c>
      <c r="N96" t="str">
        <f t="shared" si="2"/>
        <v>Arabica</v>
      </c>
      <c r="O96" t="str">
        <f t="shared" si="3"/>
        <v>Dark</v>
      </c>
      <c r="P96" t="str">
        <f>_xlfn.XLOOKUP(worksheet[[#This Row],[Customer ID]],customers!$A$1:$A$1001,customers!$I$1:$I$1001,0)</f>
        <v>Yes</v>
      </c>
    </row>
    <row r="97" spans="1:16" x14ac:dyDescent="0.25">
      <c r="A97" s="2" t="s">
        <v>1022</v>
      </c>
      <c r="B97" s="4">
        <v>43816</v>
      </c>
      <c r="C97" s="2" t="s">
        <v>1023</v>
      </c>
      <c r="D97" t="s">
        <v>6175</v>
      </c>
      <c r="E97" s="2">
        <v>6</v>
      </c>
      <c r="F97" s="2" t="str">
        <f>_xlfn.XLOOKUP(C97,customers!$A$1:$A$1001,customers!$B$1:$B$1001,0)</f>
        <v>Norene Magauran</v>
      </c>
      <c r="G97" s="2" t="s">
        <v>1025</v>
      </c>
      <c r="H97" s="2" t="str">
        <f>_xlfn.XLOOKUP(C97,customers!$A$1:$A$1001,customers!$G$1:$G$1001,0)</f>
        <v>United States</v>
      </c>
      <c r="I97" t="str">
        <f>_xlfn.XLOOKUP(D97,products!$A$1:$A$49,products!$B$1:$B$49,0)</f>
        <v>Ara</v>
      </c>
      <c r="J97" t="str">
        <f>_xlfn.XLOOKUP('data cleaned'!D97,products!$A$1:$A$49,products!$C$1:$C$49,0)</f>
        <v>M</v>
      </c>
      <c r="K97" s="5">
        <f>_xlfn.XLOOKUP('data cleaned'!D97,products!$A$1:$A$49,products!$D$1:$D$49,0)</f>
        <v>2.5</v>
      </c>
      <c r="L97" s="6">
        <f>_xlfn.XLOOKUP('data cleaned'!D97,products!$A$1:$A$49,products!$E$1:$E$49,0)</f>
        <v>25.874999999999996</v>
      </c>
      <c r="M97" s="6">
        <f>'data cleaned'!E97*'data cleaned'!L97</f>
        <v>155.24999999999997</v>
      </c>
      <c r="N97" t="str">
        <f t="shared" si="2"/>
        <v>Arabica</v>
      </c>
      <c r="O97" t="str">
        <f t="shared" si="3"/>
        <v>Medium</v>
      </c>
      <c r="P97" t="str">
        <f>_xlfn.XLOOKUP(worksheet[[#This Row],[Customer ID]],customers!$A$1:$A$1001,customers!$I$1:$I$1001,0)</f>
        <v>No</v>
      </c>
    </row>
    <row r="98" spans="1:16" x14ac:dyDescent="0.25">
      <c r="A98" s="2" t="s">
        <v>1027</v>
      </c>
      <c r="B98" s="4">
        <v>44171</v>
      </c>
      <c r="C98" s="2" t="s">
        <v>1028</v>
      </c>
      <c r="D98" t="s">
        <v>6154</v>
      </c>
      <c r="E98" s="2">
        <v>2</v>
      </c>
      <c r="F98" s="2" t="str">
        <f>_xlfn.XLOOKUP(C98,customers!$A$1:$A$1001,customers!$B$1:$B$1001,0)</f>
        <v>Vicki Kirdsch</v>
      </c>
      <c r="G98" s="2" t="s">
        <v>1030</v>
      </c>
      <c r="H98" s="2" t="str">
        <f>_xlfn.XLOOKUP(C98,customers!$A$1:$A$1001,customers!$G$1:$G$1001,0)</f>
        <v>United States</v>
      </c>
      <c r="I98" t="str">
        <f>_xlfn.XLOOKUP(D98,products!$A$1:$A$49,products!$B$1:$B$49,0)</f>
        <v>Ara</v>
      </c>
      <c r="J98" t="str">
        <f>_xlfn.XLOOKUP('data cleaned'!D98,products!$A$1:$A$49,products!$C$1:$C$49,0)</f>
        <v>D</v>
      </c>
      <c r="K98" s="5">
        <f>_xlfn.XLOOKUP('data cleaned'!D98,products!$A$1:$A$49,products!$D$1:$D$49,0)</f>
        <v>0.2</v>
      </c>
      <c r="L98" s="6">
        <f>_xlfn.XLOOKUP('data cleaned'!D98,products!$A$1:$A$49,products!$E$1:$E$49,0)</f>
        <v>2.9849999999999999</v>
      </c>
      <c r="M98" s="6">
        <f>'data cleaned'!E98*'data cleaned'!L98</f>
        <v>5.97</v>
      </c>
      <c r="N98" t="str">
        <f t="shared" si="2"/>
        <v>Arabica</v>
      </c>
      <c r="O98" t="str">
        <f t="shared" si="3"/>
        <v>Dark</v>
      </c>
      <c r="P98" t="str">
        <f>_xlfn.XLOOKUP(worksheet[[#This Row],[Customer ID]],customers!$A$1:$A$1001,customers!$I$1:$I$1001,0)</f>
        <v>No</v>
      </c>
    </row>
    <row r="99" spans="1:16" x14ac:dyDescent="0.25">
      <c r="A99" s="2" t="s">
        <v>1032</v>
      </c>
      <c r="B99" s="4">
        <v>44259</v>
      </c>
      <c r="C99" s="2" t="s">
        <v>1033</v>
      </c>
      <c r="D99" t="s">
        <v>6157</v>
      </c>
      <c r="E99" s="2">
        <v>2</v>
      </c>
      <c r="F99" s="2" t="str">
        <f>_xlfn.XLOOKUP(C99,customers!$A$1:$A$1001,customers!$B$1:$B$1001,0)</f>
        <v>Ilysa Whapple</v>
      </c>
      <c r="G99" s="2" t="s">
        <v>1035</v>
      </c>
      <c r="H99" s="2" t="str">
        <f>_xlfn.XLOOKUP(C99,customers!$A$1:$A$1001,customers!$G$1:$G$1001,0)</f>
        <v>United States</v>
      </c>
      <c r="I99" t="str">
        <f>_xlfn.XLOOKUP(D99,products!$A$1:$A$49,products!$B$1:$B$49,0)</f>
        <v>Ara</v>
      </c>
      <c r="J99" t="str">
        <f>_xlfn.XLOOKUP('data cleaned'!D99,products!$A$1:$A$49,products!$C$1:$C$49,0)</f>
        <v>M</v>
      </c>
      <c r="K99" s="5">
        <f>_xlfn.XLOOKUP('data cleaned'!D99,products!$A$1:$A$49,products!$D$1:$D$49,0)</f>
        <v>0.5</v>
      </c>
      <c r="L99" s="6">
        <f>_xlfn.XLOOKUP('data cleaned'!D99,products!$A$1:$A$49,products!$E$1:$E$49,0)</f>
        <v>6.75</v>
      </c>
      <c r="M99" s="6">
        <f>'data cleaned'!E99*'data cleaned'!L99</f>
        <v>13.5</v>
      </c>
      <c r="N99" t="str">
        <f t="shared" si="2"/>
        <v>Arabica</v>
      </c>
      <c r="O99" t="str">
        <f t="shared" si="3"/>
        <v>Medium</v>
      </c>
      <c r="P99" t="str">
        <f>_xlfn.XLOOKUP(worksheet[[#This Row],[Customer ID]],customers!$A$1:$A$1001,customers!$I$1:$I$1001,0)</f>
        <v>No</v>
      </c>
    </row>
    <row r="100" spans="1:16" x14ac:dyDescent="0.25">
      <c r="A100" s="2" t="s">
        <v>1038</v>
      </c>
      <c r="B100" s="4">
        <v>44394</v>
      </c>
      <c r="C100" s="2" t="s">
        <v>1039</v>
      </c>
      <c r="D100" t="s">
        <v>6154</v>
      </c>
      <c r="E100" s="2">
        <v>1</v>
      </c>
      <c r="F100" s="2" t="str">
        <f>_xlfn.XLOOKUP(C100,customers!$A$1:$A$1001,customers!$B$1:$B$1001,0)</f>
        <v>Ruy Cancellieri</v>
      </c>
      <c r="G100" s="2" t="s">
        <v>6222</v>
      </c>
      <c r="H100" s="2" t="str">
        <f>_xlfn.XLOOKUP(C100,customers!$A$1:$A$1001,customers!$G$1:$G$1001,0)</f>
        <v>Ireland</v>
      </c>
      <c r="I100" t="str">
        <f>_xlfn.XLOOKUP(D100,products!$A$1:$A$49,products!$B$1:$B$49,0)</f>
        <v>Ara</v>
      </c>
      <c r="J100" t="str">
        <f>_xlfn.XLOOKUP('data cleaned'!D100,products!$A$1:$A$49,products!$C$1:$C$49,0)</f>
        <v>D</v>
      </c>
      <c r="K100" s="5">
        <f>_xlfn.XLOOKUP('data cleaned'!D100,products!$A$1:$A$49,products!$D$1:$D$49,0)</f>
        <v>0.2</v>
      </c>
      <c r="L100" s="6">
        <f>_xlfn.XLOOKUP('data cleaned'!D100,products!$A$1:$A$49,products!$E$1:$E$49,0)</f>
        <v>2.9849999999999999</v>
      </c>
      <c r="M100" s="6">
        <f>'data cleaned'!E100*'data cleaned'!L100</f>
        <v>2.9849999999999999</v>
      </c>
      <c r="N100" t="str">
        <f t="shared" si="2"/>
        <v>Arabica</v>
      </c>
      <c r="O100" t="str">
        <f t="shared" si="3"/>
        <v>Dark</v>
      </c>
      <c r="P100" t="str">
        <f>_xlfn.XLOOKUP(worksheet[[#This Row],[Customer ID]],customers!$A$1:$A$1001,customers!$I$1:$I$1001,0)</f>
        <v>No</v>
      </c>
    </row>
    <row r="101" spans="1:16" x14ac:dyDescent="0.25">
      <c r="A101" s="2" t="s">
        <v>1043</v>
      </c>
      <c r="B101" s="4">
        <v>44139</v>
      </c>
      <c r="C101" s="2" t="s">
        <v>1044</v>
      </c>
      <c r="D101" t="s">
        <v>6159</v>
      </c>
      <c r="E101" s="2">
        <v>3</v>
      </c>
      <c r="F101" s="2" t="str">
        <f>_xlfn.XLOOKUP(C101,customers!$A$1:$A$1001,customers!$B$1:$B$1001,0)</f>
        <v>Aube Follett</v>
      </c>
      <c r="G101" s="2" t="s">
        <v>6222</v>
      </c>
      <c r="H101" s="2" t="str">
        <f>_xlfn.XLOOKUP(C101,customers!$A$1:$A$1001,customers!$G$1:$G$1001,0)</f>
        <v>United States</v>
      </c>
      <c r="I101" t="str">
        <f>_xlfn.XLOOKUP(D101,products!$A$1:$A$49,products!$B$1:$B$49,0)</f>
        <v>Lib</v>
      </c>
      <c r="J101" t="str">
        <f>_xlfn.XLOOKUP('data cleaned'!D101,products!$A$1:$A$49,products!$C$1:$C$49,0)</f>
        <v>M</v>
      </c>
      <c r="K101" s="5">
        <f>_xlfn.XLOOKUP('data cleaned'!D101,products!$A$1:$A$49,products!$D$1:$D$49,0)</f>
        <v>0.2</v>
      </c>
      <c r="L101" s="6">
        <f>_xlfn.XLOOKUP('data cleaned'!D101,products!$A$1:$A$49,products!$E$1:$E$49,0)</f>
        <v>4.3650000000000002</v>
      </c>
      <c r="M101" s="6">
        <f>'data cleaned'!E101*'data cleaned'!L101</f>
        <v>13.095000000000001</v>
      </c>
      <c r="N101" t="str">
        <f t="shared" si="2"/>
        <v>Liberica</v>
      </c>
      <c r="O101" t="str">
        <f t="shared" si="3"/>
        <v>Medium</v>
      </c>
      <c r="P101" t="str">
        <f>_xlfn.XLOOKUP(worksheet[[#This Row],[Customer ID]],customers!$A$1:$A$1001,customers!$I$1:$I$1001,0)</f>
        <v>Yes</v>
      </c>
    </row>
    <row r="102" spans="1:16" x14ac:dyDescent="0.25">
      <c r="A102" s="2" t="s">
        <v>1048</v>
      </c>
      <c r="B102" s="4">
        <v>44291</v>
      </c>
      <c r="C102" s="2" t="s">
        <v>1049</v>
      </c>
      <c r="D102" t="s">
        <v>6167</v>
      </c>
      <c r="E102" s="2">
        <v>2</v>
      </c>
      <c r="F102" s="2" t="str">
        <f>_xlfn.XLOOKUP(C102,customers!$A$1:$A$1001,customers!$B$1:$B$1001,0)</f>
        <v>Rudiger Di Bartolomeo</v>
      </c>
      <c r="G102" s="2" t="s">
        <v>6222</v>
      </c>
      <c r="H102" s="2" t="str">
        <f>_xlfn.XLOOKUP(C102,customers!$A$1:$A$1001,customers!$G$1:$G$1001,0)</f>
        <v>United States</v>
      </c>
      <c r="I102" t="str">
        <f>_xlfn.XLOOKUP(D102,products!$A$1:$A$49,products!$B$1:$B$49,0)</f>
        <v>Ara</v>
      </c>
      <c r="J102" t="str">
        <f>_xlfn.XLOOKUP('data cleaned'!D102,products!$A$1:$A$49,products!$C$1:$C$49,0)</f>
        <v>L</v>
      </c>
      <c r="K102" s="5">
        <f>_xlfn.XLOOKUP('data cleaned'!D102,products!$A$1:$A$49,products!$D$1:$D$49,0)</f>
        <v>0.2</v>
      </c>
      <c r="L102" s="6">
        <f>_xlfn.XLOOKUP('data cleaned'!D102,products!$A$1:$A$49,products!$E$1:$E$49,0)</f>
        <v>3.8849999999999998</v>
      </c>
      <c r="M102" s="6">
        <f>'data cleaned'!E102*'data cleaned'!L102</f>
        <v>7.77</v>
      </c>
      <c r="N102" t="str">
        <f t="shared" si="2"/>
        <v>Arabica</v>
      </c>
      <c r="O102" t="str">
        <f t="shared" si="3"/>
        <v>Light</v>
      </c>
      <c r="P102" t="str">
        <f>_xlfn.XLOOKUP(worksheet[[#This Row],[Customer ID]],customers!$A$1:$A$1001,customers!$I$1:$I$1001,0)</f>
        <v>Yes</v>
      </c>
    </row>
    <row r="103" spans="1:16" x14ac:dyDescent="0.25">
      <c r="A103" s="2" t="s">
        <v>1053</v>
      </c>
      <c r="B103" s="4">
        <v>43891</v>
      </c>
      <c r="C103" s="2" t="s">
        <v>1054</v>
      </c>
      <c r="D103" t="s">
        <v>6165</v>
      </c>
      <c r="E103" s="2">
        <v>5</v>
      </c>
      <c r="F103" s="2" t="str">
        <f>_xlfn.XLOOKUP(C103,customers!$A$1:$A$1001,customers!$B$1:$B$1001,0)</f>
        <v>Nickey Youles</v>
      </c>
      <c r="G103" s="2" t="s">
        <v>1056</v>
      </c>
      <c r="H103" s="2" t="str">
        <f>_xlfn.XLOOKUP(C103,customers!$A$1:$A$1001,customers!$G$1:$G$1001,0)</f>
        <v>Ireland</v>
      </c>
      <c r="I103" t="str">
        <f>_xlfn.XLOOKUP(D103,products!$A$1:$A$49,products!$B$1:$B$49,0)</f>
        <v>Lib</v>
      </c>
      <c r="J103" t="str">
        <f>_xlfn.XLOOKUP('data cleaned'!D103,products!$A$1:$A$49,products!$C$1:$C$49,0)</f>
        <v>D</v>
      </c>
      <c r="K103" s="5">
        <f>_xlfn.XLOOKUP('data cleaned'!D103,products!$A$1:$A$49,products!$D$1:$D$49,0)</f>
        <v>2.5</v>
      </c>
      <c r="L103" s="6">
        <f>_xlfn.XLOOKUP('data cleaned'!D103,products!$A$1:$A$49,products!$E$1:$E$49,0)</f>
        <v>29.784999999999997</v>
      </c>
      <c r="M103" s="6">
        <f>'data cleaned'!E103*'data cleaned'!L103</f>
        <v>148.92499999999998</v>
      </c>
      <c r="N103" t="str">
        <f t="shared" si="2"/>
        <v>Liberica</v>
      </c>
      <c r="O103" t="str">
        <f t="shared" si="3"/>
        <v>Dark</v>
      </c>
      <c r="P103" t="str">
        <f>_xlfn.XLOOKUP(worksheet[[#This Row],[Customer ID]],customers!$A$1:$A$1001,customers!$I$1:$I$1001,0)</f>
        <v>Yes</v>
      </c>
    </row>
    <row r="104" spans="1:16" x14ac:dyDescent="0.25">
      <c r="A104" s="2" t="s">
        <v>1059</v>
      </c>
      <c r="B104" s="4">
        <v>44488</v>
      </c>
      <c r="C104" s="2" t="s">
        <v>1060</v>
      </c>
      <c r="D104" t="s">
        <v>6143</v>
      </c>
      <c r="E104" s="2">
        <v>3</v>
      </c>
      <c r="F104" s="2" t="str">
        <f>_xlfn.XLOOKUP(C104,customers!$A$1:$A$1001,customers!$B$1:$B$1001,0)</f>
        <v>Dyanna Aizikovitz</v>
      </c>
      <c r="G104" s="2" t="s">
        <v>1062</v>
      </c>
      <c r="H104" s="2" t="str">
        <f>_xlfn.XLOOKUP(C104,customers!$A$1:$A$1001,customers!$G$1:$G$1001,0)</f>
        <v>Ireland</v>
      </c>
      <c r="I104" t="str">
        <f>_xlfn.XLOOKUP(D104,products!$A$1:$A$49,products!$B$1:$B$49,0)</f>
        <v>Lib</v>
      </c>
      <c r="J104" t="str">
        <f>_xlfn.XLOOKUP('data cleaned'!D104,products!$A$1:$A$49,products!$C$1:$C$49,0)</f>
        <v>D</v>
      </c>
      <c r="K104" s="5">
        <f>_xlfn.XLOOKUP('data cleaned'!D104,products!$A$1:$A$49,products!$D$1:$D$49,0)</f>
        <v>1</v>
      </c>
      <c r="L104" s="6">
        <f>_xlfn.XLOOKUP('data cleaned'!D104,products!$A$1:$A$49,products!$E$1:$E$49,0)</f>
        <v>12.95</v>
      </c>
      <c r="M104" s="6">
        <f>'data cleaned'!E104*'data cleaned'!L104</f>
        <v>38.849999999999994</v>
      </c>
      <c r="N104" t="str">
        <f t="shared" si="2"/>
        <v>Liberica</v>
      </c>
      <c r="O104" t="str">
        <f t="shared" si="3"/>
        <v>Dark</v>
      </c>
      <c r="P104" t="str">
        <f>_xlfn.XLOOKUP(worksheet[[#This Row],[Customer ID]],customers!$A$1:$A$1001,customers!$I$1:$I$1001,0)</f>
        <v>Yes</v>
      </c>
    </row>
    <row r="105" spans="1:16" x14ac:dyDescent="0.25">
      <c r="A105" s="2" t="s">
        <v>1065</v>
      </c>
      <c r="B105" s="4">
        <v>44750</v>
      </c>
      <c r="C105" s="2" t="s">
        <v>1066</v>
      </c>
      <c r="D105" t="s">
        <v>6174</v>
      </c>
      <c r="E105" s="2">
        <v>4</v>
      </c>
      <c r="F105" s="2" t="str">
        <f>_xlfn.XLOOKUP(C105,customers!$A$1:$A$1001,customers!$B$1:$B$1001,0)</f>
        <v>Bram Revel</v>
      </c>
      <c r="G105" s="2" t="s">
        <v>1068</v>
      </c>
      <c r="H105" s="2" t="str">
        <f>_xlfn.XLOOKUP(C105,customers!$A$1:$A$1001,customers!$G$1:$G$1001,0)</f>
        <v>United States</v>
      </c>
      <c r="I105" t="str">
        <f>_xlfn.XLOOKUP(D105,products!$A$1:$A$49,products!$B$1:$B$49,0)</f>
        <v>Rob</v>
      </c>
      <c r="J105" t="str">
        <f>_xlfn.XLOOKUP('data cleaned'!D105,products!$A$1:$A$49,products!$C$1:$C$49,0)</f>
        <v>M</v>
      </c>
      <c r="K105" s="5">
        <f>_xlfn.XLOOKUP('data cleaned'!D105,products!$A$1:$A$49,products!$D$1:$D$49,0)</f>
        <v>0.2</v>
      </c>
      <c r="L105" s="6">
        <f>_xlfn.XLOOKUP('data cleaned'!D105,products!$A$1:$A$49,products!$E$1:$E$49,0)</f>
        <v>2.9849999999999999</v>
      </c>
      <c r="M105" s="6">
        <f>'data cleaned'!E105*'data cleaned'!L105</f>
        <v>11.94</v>
      </c>
      <c r="N105" t="str">
        <f t="shared" si="2"/>
        <v>Robusta</v>
      </c>
      <c r="O105" t="str">
        <f t="shared" si="3"/>
        <v>Medium</v>
      </c>
      <c r="P105" t="str">
        <f>_xlfn.XLOOKUP(worksheet[[#This Row],[Customer ID]],customers!$A$1:$A$1001,customers!$I$1:$I$1001,0)</f>
        <v>No</v>
      </c>
    </row>
    <row r="106" spans="1:16" x14ac:dyDescent="0.25">
      <c r="A106" s="2" t="s">
        <v>1071</v>
      </c>
      <c r="B106" s="4">
        <v>43694</v>
      </c>
      <c r="C106" s="2" t="s">
        <v>1072</v>
      </c>
      <c r="D106" t="s">
        <v>6162</v>
      </c>
      <c r="E106" s="2">
        <v>6</v>
      </c>
      <c r="F106" s="2" t="str">
        <f>_xlfn.XLOOKUP(C106,customers!$A$1:$A$1001,customers!$B$1:$B$1001,0)</f>
        <v>Emiline Priddis</v>
      </c>
      <c r="G106" s="2" t="s">
        <v>1074</v>
      </c>
      <c r="H106" s="2" t="str">
        <f>_xlfn.XLOOKUP(C106,customers!$A$1:$A$1001,customers!$G$1:$G$1001,0)</f>
        <v>United States</v>
      </c>
      <c r="I106" t="str">
        <f>_xlfn.XLOOKUP(D106,products!$A$1:$A$49,products!$B$1:$B$49,0)</f>
        <v>Lib</v>
      </c>
      <c r="J106" t="str">
        <f>_xlfn.XLOOKUP('data cleaned'!D106,products!$A$1:$A$49,products!$C$1:$C$49,0)</f>
        <v>M</v>
      </c>
      <c r="K106" s="5">
        <f>_xlfn.XLOOKUP('data cleaned'!D106,products!$A$1:$A$49,products!$D$1:$D$49,0)</f>
        <v>1</v>
      </c>
      <c r="L106" s="6">
        <f>_xlfn.XLOOKUP('data cleaned'!D106,products!$A$1:$A$49,products!$E$1:$E$49,0)</f>
        <v>14.55</v>
      </c>
      <c r="M106" s="6">
        <f>'data cleaned'!E106*'data cleaned'!L106</f>
        <v>87.300000000000011</v>
      </c>
      <c r="N106" t="str">
        <f t="shared" si="2"/>
        <v>Liberica</v>
      </c>
      <c r="O106" t="str">
        <f t="shared" si="3"/>
        <v>Medium</v>
      </c>
      <c r="P106" t="str">
        <f>_xlfn.XLOOKUP(worksheet[[#This Row],[Customer ID]],customers!$A$1:$A$1001,customers!$I$1:$I$1001,0)</f>
        <v>No</v>
      </c>
    </row>
    <row r="107" spans="1:16" x14ac:dyDescent="0.25">
      <c r="A107" s="2" t="s">
        <v>1077</v>
      </c>
      <c r="B107" s="4">
        <v>43982</v>
      </c>
      <c r="C107" s="2" t="s">
        <v>1078</v>
      </c>
      <c r="D107" t="s">
        <v>6157</v>
      </c>
      <c r="E107" s="2">
        <v>6</v>
      </c>
      <c r="F107" s="2" t="str">
        <f>_xlfn.XLOOKUP(C107,customers!$A$1:$A$1001,customers!$B$1:$B$1001,0)</f>
        <v>Queenie Veel</v>
      </c>
      <c r="G107" s="2" t="s">
        <v>1080</v>
      </c>
      <c r="H107" s="2" t="str">
        <f>_xlfn.XLOOKUP(C107,customers!$A$1:$A$1001,customers!$G$1:$G$1001,0)</f>
        <v>United States</v>
      </c>
      <c r="I107" t="str">
        <f>_xlfn.XLOOKUP(D107,products!$A$1:$A$49,products!$B$1:$B$49,0)</f>
        <v>Ara</v>
      </c>
      <c r="J107" t="str">
        <f>_xlfn.XLOOKUP('data cleaned'!D107,products!$A$1:$A$49,products!$C$1:$C$49,0)</f>
        <v>M</v>
      </c>
      <c r="K107" s="5">
        <f>_xlfn.XLOOKUP('data cleaned'!D107,products!$A$1:$A$49,products!$D$1:$D$49,0)</f>
        <v>0.5</v>
      </c>
      <c r="L107" s="6">
        <f>_xlfn.XLOOKUP('data cleaned'!D107,products!$A$1:$A$49,products!$E$1:$E$49,0)</f>
        <v>6.75</v>
      </c>
      <c r="M107" s="6">
        <f>'data cleaned'!E107*'data cleaned'!L107</f>
        <v>40.5</v>
      </c>
      <c r="N107" t="str">
        <f t="shared" si="2"/>
        <v>Arabica</v>
      </c>
      <c r="O107" t="str">
        <f t="shared" si="3"/>
        <v>Medium</v>
      </c>
      <c r="P107" t="str">
        <f>_xlfn.XLOOKUP(worksheet[[#This Row],[Customer ID]],customers!$A$1:$A$1001,customers!$I$1:$I$1001,0)</f>
        <v>Yes</v>
      </c>
    </row>
    <row r="108" spans="1:16" x14ac:dyDescent="0.25">
      <c r="A108" s="2" t="s">
        <v>1083</v>
      </c>
      <c r="B108" s="4">
        <v>43956</v>
      </c>
      <c r="C108" s="2" t="s">
        <v>1084</v>
      </c>
      <c r="D108" t="s">
        <v>6183</v>
      </c>
      <c r="E108" s="2">
        <v>2</v>
      </c>
      <c r="F108" s="2" t="str">
        <f>_xlfn.XLOOKUP(C108,customers!$A$1:$A$1001,customers!$B$1:$B$1001,0)</f>
        <v>Lind Conyers</v>
      </c>
      <c r="G108" s="2" t="s">
        <v>1086</v>
      </c>
      <c r="H108" s="2" t="str">
        <f>_xlfn.XLOOKUP(C108,customers!$A$1:$A$1001,customers!$G$1:$G$1001,0)</f>
        <v>United States</v>
      </c>
      <c r="I108" t="str">
        <f>_xlfn.XLOOKUP(D108,products!$A$1:$A$49,products!$B$1:$B$49,0)</f>
        <v>Exc</v>
      </c>
      <c r="J108" t="str">
        <f>_xlfn.XLOOKUP('data cleaned'!D108,products!$A$1:$A$49,products!$C$1:$C$49,0)</f>
        <v>D</v>
      </c>
      <c r="K108" s="5">
        <f>_xlfn.XLOOKUP('data cleaned'!D108,products!$A$1:$A$49,products!$D$1:$D$49,0)</f>
        <v>1</v>
      </c>
      <c r="L108" s="6">
        <f>_xlfn.XLOOKUP('data cleaned'!D108,products!$A$1:$A$49,products!$E$1:$E$49,0)</f>
        <v>12.15</v>
      </c>
      <c r="M108" s="6">
        <f>'data cleaned'!E108*'data cleaned'!L108</f>
        <v>24.3</v>
      </c>
      <c r="N108" t="str">
        <f t="shared" si="2"/>
        <v>Excelsa</v>
      </c>
      <c r="O108" t="str">
        <f t="shared" si="3"/>
        <v>Dark</v>
      </c>
      <c r="P108" t="str">
        <f>_xlfn.XLOOKUP(worksheet[[#This Row],[Customer ID]],customers!$A$1:$A$1001,customers!$I$1:$I$1001,0)</f>
        <v>No</v>
      </c>
    </row>
    <row r="109" spans="1:16" x14ac:dyDescent="0.25">
      <c r="A109" s="2" t="s">
        <v>1089</v>
      </c>
      <c r="B109" s="4">
        <v>43569</v>
      </c>
      <c r="C109" s="2" t="s">
        <v>1090</v>
      </c>
      <c r="D109" t="s">
        <v>6146</v>
      </c>
      <c r="E109" s="2">
        <v>3</v>
      </c>
      <c r="F109" s="2" t="str">
        <f>_xlfn.XLOOKUP(C109,customers!$A$1:$A$1001,customers!$B$1:$B$1001,0)</f>
        <v>Pen Wye</v>
      </c>
      <c r="G109" s="2" t="s">
        <v>1092</v>
      </c>
      <c r="H109" s="2" t="str">
        <f>_xlfn.XLOOKUP(C109,customers!$A$1:$A$1001,customers!$G$1:$G$1001,0)</f>
        <v>United States</v>
      </c>
      <c r="I109" t="str">
        <f>_xlfn.XLOOKUP(D109,products!$A$1:$A$49,products!$B$1:$B$49,0)</f>
        <v>Rob</v>
      </c>
      <c r="J109" t="str">
        <f>_xlfn.XLOOKUP('data cleaned'!D109,products!$A$1:$A$49,products!$C$1:$C$49,0)</f>
        <v>M</v>
      </c>
      <c r="K109" s="5">
        <f>_xlfn.XLOOKUP('data cleaned'!D109,products!$A$1:$A$49,products!$D$1:$D$49,0)</f>
        <v>0.5</v>
      </c>
      <c r="L109" s="6">
        <f>_xlfn.XLOOKUP('data cleaned'!D109,products!$A$1:$A$49,products!$E$1:$E$49,0)</f>
        <v>5.97</v>
      </c>
      <c r="M109" s="6">
        <f>'data cleaned'!E109*'data cleaned'!L109</f>
        <v>17.91</v>
      </c>
      <c r="N109" t="str">
        <f t="shared" si="2"/>
        <v>Robusta</v>
      </c>
      <c r="O109" t="str">
        <f t="shared" si="3"/>
        <v>Medium</v>
      </c>
      <c r="P109" t="str">
        <f>_xlfn.XLOOKUP(worksheet[[#This Row],[Customer ID]],customers!$A$1:$A$1001,customers!$I$1:$I$1001,0)</f>
        <v>Yes</v>
      </c>
    </row>
    <row r="110" spans="1:16" x14ac:dyDescent="0.25">
      <c r="A110" s="2" t="s">
        <v>1095</v>
      </c>
      <c r="B110" s="4">
        <v>44041</v>
      </c>
      <c r="C110" s="2" t="s">
        <v>1096</v>
      </c>
      <c r="D110" t="s">
        <v>6157</v>
      </c>
      <c r="E110" s="2">
        <v>4</v>
      </c>
      <c r="F110" s="2" t="str">
        <f>_xlfn.XLOOKUP(C110,customers!$A$1:$A$1001,customers!$B$1:$B$1001,0)</f>
        <v>Isahella Hagland</v>
      </c>
      <c r="G110" s="2" t="s">
        <v>6222</v>
      </c>
      <c r="H110" s="2" t="str">
        <f>_xlfn.XLOOKUP(C110,customers!$A$1:$A$1001,customers!$G$1:$G$1001,0)</f>
        <v>United States</v>
      </c>
      <c r="I110" t="str">
        <f>_xlfn.XLOOKUP(D110,products!$A$1:$A$49,products!$B$1:$B$49,0)</f>
        <v>Ara</v>
      </c>
      <c r="J110" t="str">
        <f>_xlfn.XLOOKUP('data cleaned'!D110,products!$A$1:$A$49,products!$C$1:$C$49,0)</f>
        <v>M</v>
      </c>
      <c r="K110" s="5">
        <f>_xlfn.XLOOKUP('data cleaned'!D110,products!$A$1:$A$49,products!$D$1:$D$49,0)</f>
        <v>0.5</v>
      </c>
      <c r="L110" s="6">
        <f>_xlfn.XLOOKUP('data cleaned'!D110,products!$A$1:$A$49,products!$E$1:$E$49,0)</f>
        <v>6.75</v>
      </c>
      <c r="M110" s="6">
        <f>'data cleaned'!E110*'data cleaned'!L110</f>
        <v>27</v>
      </c>
      <c r="N110" t="str">
        <f t="shared" si="2"/>
        <v>Arabica</v>
      </c>
      <c r="O110" t="str">
        <f t="shared" si="3"/>
        <v>Medium</v>
      </c>
      <c r="P110" t="str">
        <f>_xlfn.XLOOKUP(worksheet[[#This Row],[Customer ID]],customers!$A$1:$A$1001,customers!$I$1:$I$1001,0)</f>
        <v>No</v>
      </c>
    </row>
    <row r="111" spans="1:16" x14ac:dyDescent="0.25">
      <c r="A111" s="2" t="s">
        <v>1100</v>
      </c>
      <c r="B111" s="4">
        <v>43811</v>
      </c>
      <c r="C111" s="2" t="s">
        <v>1101</v>
      </c>
      <c r="D111" t="s">
        <v>6169</v>
      </c>
      <c r="E111" s="2">
        <v>1</v>
      </c>
      <c r="F111" s="2" t="str">
        <f>_xlfn.XLOOKUP(C111,customers!$A$1:$A$1001,customers!$B$1:$B$1001,0)</f>
        <v>Terry Sheryn</v>
      </c>
      <c r="G111" s="2" t="s">
        <v>1103</v>
      </c>
      <c r="H111" s="2" t="str">
        <f>_xlfn.XLOOKUP(C111,customers!$A$1:$A$1001,customers!$G$1:$G$1001,0)</f>
        <v>United States</v>
      </c>
      <c r="I111" t="str">
        <f>_xlfn.XLOOKUP(D111,products!$A$1:$A$49,products!$B$1:$B$49,0)</f>
        <v>Lib</v>
      </c>
      <c r="J111" t="str">
        <f>_xlfn.XLOOKUP('data cleaned'!D111,products!$A$1:$A$49,products!$C$1:$C$49,0)</f>
        <v>D</v>
      </c>
      <c r="K111" s="5">
        <f>_xlfn.XLOOKUP('data cleaned'!D111,products!$A$1:$A$49,products!$D$1:$D$49,0)</f>
        <v>0.5</v>
      </c>
      <c r="L111" s="6">
        <f>_xlfn.XLOOKUP('data cleaned'!D111,products!$A$1:$A$49,products!$E$1:$E$49,0)</f>
        <v>7.77</v>
      </c>
      <c r="M111" s="6">
        <f>'data cleaned'!E111*'data cleaned'!L111</f>
        <v>7.77</v>
      </c>
      <c r="N111" t="str">
        <f t="shared" si="2"/>
        <v>Liberica</v>
      </c>
      <c r="O111" t="str">
        <f t="shared" si="3"/>
        <v>Dark</v>
      </c>
      <c r="P111" t="str">
        <f>_xlfn.XLOOKUP(worksheet[[#This Row],[Customer ID]],customers!$A$1:$A$1001,customers!$I$1:$I$1001,0)</f>
        <v>Yes</v>
      </c>
    </row>
    <row r="112" spans="1:16" x14ac:dyDescent="0.25">
      <c r="A112" s="2" t="s">
        <v>1106</v>
      </c>
      <c r="B112" s="4">
        <v>44727</v>
      </c>
      <c r="C112" s="2" t="s">
        <v>1107</v>
      </c>
      <c r="D112" t="s">
        <v>6184</v>
      </c>
      <c r="E112" s="2">
        <v>3</v>
      </c>
      <c r="F112" s="2" t="str">
        <f>_xlfn.XLOOKUP(C112,customers!$A$1:$A$1001,customers!$B$1:$B$1001,0)</f>
        <v>Marie-jeanne Redgrave</v>
      </c>
      <c r="G112" s="2" t="s">
        <v>1109</v>
      </c>
      <c r="H112" s="2" t="str">
        <f>_xlfn.XLOOKUP(C112,customers!$A$1:$A$1001,customers!$G$1:$G$1001,0)</f>
        <v>United States</v>
      </c>
      <c r="I112" t="str">
        <f>_xlfn.XLOOKUP(D112,products!$A$1:$A$49,products!$B$1:$B$49,0)</f>
        <v>Exc</v>
      </c>
      <c r="J112" t="str">
        <f>_xlfn.XLOOKUP('data cleaned'!D112,products!$A$1:$A$49,products!$C$1:$C$49,0)</f>
        <v>L</v>
      </c>
      <c r="K112" s="5">
        <f>_xlfn.XLOOKUP('data cleaned'!D112,products!$A$1:$A$49,products!$D$1:$D$49,0)</f>
        <v>0.2</v>
      </c>
      <c r="L112" s="6">
        <f>_xlfn.XLOOKUP('data cleaned'!D112,products!$A$1:$A$49,products!$E$1:$E$49,0)</f>
        <v>4.4550000000000001</v>
      </c>
      <c r="M112" s="6">
        <f>'data cleaned'!E112*'data cleaned'!L112</f>
        <v>13.365</v>
      </c>
      <c r="N112" t="str">
        <f t="shared" si="2"/>
        <v>Excelsa</v>
      </c>
      <c r="O112" t="str">
        <f t="shared" si="3"/>
        <v>Light</v>
      </c>
      <c r="P112" t="str">
        <f>_xlfn.XLOOKUP(worksheet[[#This Row],[Customer ID]],customers!$A$1:$A$1001,customers!$I$1:$I$1001,0)</f>
        <v>Yes</v>
      </c>
    </row>
    <row r="113" spans="1:16" x14ac:dyDescent="0.25">
      <c r="A113" s="2" t="s">
        <v>1112</v>
      </c>
      <c r="B113" s="4">
        <v>43642</v>
      </c>
      <c r="C113" s="2" t="s">
        <v>1113</v>
      </c>
      <c r="D113" t="s">
        <v>6172</v>
      </c>
      <c r="E113" s="2">
        <v>5</v>
      </c>
      <c r="F113" s="2" t="str">
        <f>_xlfn.XLOOKUP(C113,customers!$A$1:$A$1001,customers!$B$1:$B$1001,0)</f>
        <v>Betty Fominov</v>
      </c>
      <c r="G113" s="2" t="s">
        <v>1115</v>
      </c>
      <c r="H113" s="2" t="str">
        <f>_xlfn.XLOOKUP(C113,customers!$A$1:$A$1001,customers!$G$1:$G$1001,0)</f>
        <v>United States</v>
      </c>
      <c r="I113" t="str">
        <f>_xlfn.XLOOKUP(D113,products!$A$1:$A$49,products!$B$1:$B$49,0)</f>
        <v>Rob</v>
      </c>
      <c r="J113" t="str">
        <f>_xlfn.XLOOKUP('data cleaned'!D113,products!$A$1:$A$49,products!$C$1:$C$49,0)</f>
        <v>D</v>
      </c>
      <c r="K113" s="5">
        <f>_xlfn.XLOOKUP('data cleaned'!D113,products!$A$1:$A$49,products!$D$1:$D$49,0)</f>
        <v>0.5</v>
      </c>
      <c r="L113" s="6">
        <f>_xlfn.XLOOKUP('data cleaned'!D113,products!$A$1:$A$49,products!$E$1:$E$49,0)</f>
        <v>5.3699999999999992</v>
      </c>
      <c r="M113" s="6">
        <f>'data cleaned'!E113*'data cleaned'!L113</f>
        <v>26.849999999999994</v>
      </c>
      <c r="N113" t="str">
        <f t="shared" si="2"/>
        <v>Robusta</v>
      </c>
      <c r="O113" t="str">
        <f t="shared" si="3"/>
        <v>Dark</v>
      </c>
      <c r="P113" t="str">
        <f>_xlfn.XLOOKUP(worksheet[[#This Row],[Customer ID]],customers!$A$1:$A$1001,customers!$I$1:$I$1001,0)</f>
        <v>No</v>
      </c>
    </row>
    <row r="114" spans="1:16" x14ac:dyDescent="0.25">
      <c r="A114" s="2" t="s">
        <v>1117</v>
      </c>
      <c r="B114" s="4">
        <v>44481</v>
      </c>
      <c r="C114" s="2" t="s">
        <v>1118</v>
      </c>
      <c r="D114" t="s">
        <v>6155</v>
      </c>
      <c r="E114" s="2">
        <v>1</v>
      </c>
      <c r="F114" s="2" t="str">
        <f>_xlfn.XLOOKUP(C114,customers!$A$1:$A$1001,customers!$B$1:$B$1001,0)</f>
        <v>Shawnee Critchlow</v>
      </c>
      <c r="G114" s="2" t="s">
        <v>1120</v>
      </c>
      <c r="H114" s="2" t="str">
        <f>_xlfn.XLOOKUP(C114,customers!$A$1:$A$1001,customers!$G$1:$G$1001,0)</f>
        <v>United States</v>
      </c>
      <c r="I114" t="str">
        <f>_xlfn.XLOOKUP(D114,products!$A$1:$A$49,products!$B$1:$B$49,0)</f>
        <v>Ara</v>
      </c>
      <c r="J114" t="str">
        <f>_xlfn.XLOOKUP('data cleaned'!D114,products!$A$1:$A$49,products!$C$1:$C$49,0)</f>
        <v>M</v>
      </c>
      <c r="K114" s="5">
        <f>_xlfn.XLOOKUP('data cleaned'!D114,products!$A$1:$A$49,products!$D$1:$D$49,0)</f>
        <v>1</v>
      </c>
      <c r="L114" s="6">
        <f>_xlfn.XLOOKUP('data cleaned'!D114,products!$A$1:$A$49,products!$E$1:$E$49,0)</f>
        <v>11.25</v>
      </c>
      <c r="M114" s="6">
        <f>'data cleaned'!E114*'data cleaned'!L114</f>
        <v>11.25</v>
      </c>
      <c r="N114" t="str">
        <f t="shared" si="2"/>
        <v>Arabica</v>
      </c>
      <c r="O114" t="str">
        <f t="shared" si="3"/>
        <v>Medium</v>
      </c>
      <c r="P114" t="str">
        <f>_xlfn.XLOOKUP(worksheet[[#This Row],[Customer ID]],customers!$A$1:$A$1001,customers!$I$1:$I$1001,0)</f>
        <v>No</v>
      </c>
    </row>
    <row r="115" spans="1:16" x14ac:dyDescent="0.25">
      <c r="A115" s="2" t="s">
        <v>1123</v>
      </c>
      <c r="B115" s="4">
        <v>43556</v>
      </c>
      <c r="C115" s="2" t="s">
        <v>1124</v>
      </c>
      <c r="D115" t="s">
        <v>6162</v>
      </c>
      <c r="E115" s="2">
        <v>1</v>
      </c>
      <c r="F115" s="2" t="str">
        <f>_xlfn.XLOOKUP(C115,customers!$A$1:$A$1001,customers!$B$1:$B$1001,0)</f>
        <v>Merrel Steptow</v>
      </c>
      <c r="G115" s="2" t="s">
        <v>1126</v>
      </c>
      <c r="H115" s="2" t="str">
        <f>_xlfn.XLOOKUP(C115,customers!$A$1:$A$1001,customers!$G$1:$G$1001,0)</f>
        <v>Ireland</v>
      </c>
      <c r="I115" t="str">
        <f>_xlfn.XLOOKUP(D115,products!$A$1:$A$49,products!$B$1:$B$49,0)</f>
        <v>Lib</v>
      </c>
      <c r="J115" t="str">
        <f>_xlfn.XLOOKUP('data cleaned'!D115,products!$A$1:$A$49,products!$C$1:$C$49,0)</f>
        <v>M</v>
      </c>
      <c r="K115" s="5">
        <f>_xlfn.XLOOKUP('data cleaned'!D115,products!$A$1:$A$49,products!$D$1:$D$49,0)</f>
        <v>1</v>
      </c>
      <c r="L115" s="6">
        <f>_xlfn.XLOOKUP('data cleaned'!D115,products!$A$1:$A$49,products!$E$1:$E$49,0)</f>
        <v>14.55</v>
      </c>
      <c r="M115" s="6">
        <f>'data cleaned'!E115*'data cleaned'!L115</f>
        <v>14.55</v>
      </c>
      <c r="N115" t="str">
        <f t="shared" si="2"/>
        <v>Liberica</v>
      </c>
      <c r="O115" t="str">
        <f t="shared" si="3"/>
        <v>Medium</v>
      </c>
      <c r="P115" t="str">
        <f>_xlfn.XLOOKUP(worksheet[[#This Row],[Customer ID]],customers!$A$1:$A$1001,customers!$I$1:$I$1001,0)</f>
        <v>No</v>
      </c>
    </row>
    <row r="116" spans="1:16" x14ac:dyDescent="0.25">
      <c r="A116" s="2" t="s">
        <v>1129</v>
      </c>
      <c r="B116" s="4">
        <v>44265</v>
      </c>
      <c r="C116" s="2" t="s">
        <v>1130</v>
      </c>
      <c r="D116" t="s">
        <v>6178</v>
      </c>
      <c r="E116" s="2">
        <v>4</v>
      </c>
      <c r="F116" s="2" t="str">
        <f>_xlfn.XLOOKUP(C116,customers!$A$1:$A$1001,customers!$B$1:$B$1001,0)</f>
        <v>Carmina Hubbuck</v>
      </c>
      <c r="G116" s="2" t="s">
        <v>6222</v>
      </c>
      <c r="H116" s="2" t="str">
        <f>_xlfn.XLOOKUP(C116,customers!$A$1:$A$1001,customers!$G$1:$G$1001,0)</f>
        <v>United States</v>
      </c>
      <c r="I116" t="str">
        <f>_xlfn.XLOOKUP(D116,products!$A$1:$A$49,products!$B$1:$B$49,0)</f>
        <v>Rob</v>
      </c>
      <c r="J116" t="str">
        <f>_xlfn.XLOOKUP('data cleaned'!D116,products!$A$1:$A$49,products!$C$1:$C$49,0)</f>
        <v>L</v>
      </c>
      <c r="K116" s="5">
        <f>_xlfn.XLOOKUP('data cleaned'!D116,products!$A$1:$A$49,products!$D$1:$D$49,0)</f>
        <v>0.2</v>
      </c>
      <c r="L116" s="6">
        <f>_xlfn.XLOOKUP('data cleaned'!D116,products!$A$1:$A$49,products!$E$1:$E$49,0)</f>
        <v>3.5849999999999995</v>
      </c>
      <c r="M116" s="6">
        <f>'data cleaned'!E116*'data cleaned'!L116</f>
        <v>14.339999999999998</v>
      </c>
      <c r="N116" t="str">
        <f t="shared" si="2"/>
        <v>Robusta</v>
      </c>
      <c r="O116" t="str">
        <f t="shared" si="3"/>
        <v>Light</v>
      </c>
      <c r="P116" t="str">
        <f>_xlfn.XLOOKUP(worksheet[[#This Row],[Customer ID]],customers!$A$1:$A$1001,customers!$I$1:$I$1001,0)</f>
        <v>No</v>
      </c>
    </row>
    <row r="117" spans="1:16" x14ac:dyDescent="0.25">
      <c r="A117" s="2" t="s">
        <v>1134</v>
      </c>
      <c r="B117" s="4">
        <v>43693</v>
      </c>
      <c r="C117" s="2" t="s">
        <v>1135</v>
      </c>
      <c r="D117" t="s">
        <v>6170</v>
      </c>
      <c r="E117" s="2">
        <v>1</v>
      </c>
      <c r="F117" s="2" t="str">
        <f>_xlfn.XLOOKUP(C117,customers!$A$1:$A$1001,customers!$B$1:$B$1001,0)</f>
        <v>Ingeberg Mulliner</v>
      </c>
      <c r="G117" s="2" t="s">
        <v>1137</v>
      </c>
      <c r="H117" s="2" t="str">
        <f>_xlfn.XLOOKUP(C117,customers!$A$1:$A$1001,customers!$G$1:$G$1001,0)</f>
        <v>United Kingdom</v>
      </c>
      <c r="I117" t="str">
        <f>_xlfn.XLOOKUP(D117,products!$A$1:$A$49,products!$B$1:$B$49,0)</f>
        <v>Lib</v>
      </c>
      <c r="J117" t="str">
        <f>_xlfn.XLOOKUP('data cleaned'!D117,products!$A$1:$A$49,products!$C$1:$C$49,0)</f>
        <v>L</v>
      </c>
      <c r="K117" s="5">
        <f>_xlfn.XLOOKUP('data cleaned'!D117,products!$A$1:$A$49,products!$D$1:$D$49,0)</f>
        <v>1</v>
      </c>
      <c r="L117" s="6">
        <f>_xlfn.XLOOKUP('data cleaned'!D117,products!$A$1:$A$49,products!$E$1:$E$49,0)</f>
        <v>15.85</v>
      </c>
      <c r="M117" s="6">
        <f>'data cleaned'!E117*'data cleaned'!L117</f>
        <v>15.85</v>
      </c>
      <c r="N117" t="str">
        <f t="shared" si="2"/>
        <v>Liberica</v>
      </c>
      <c r="O117" t="str">
        <f t="shared" si="3"/>
        <v>Light</v>
      </c>
      <c r="P117" t="str">
        <f>_xlfn.XLOOKUP(worksheet[[#This Row],[Customer ID]],customers!$A$1:$A$1001,customers!$I$1:$I$1001,0)</f>
        <v>No</v>
      </c>
    </row>
    <row r="118" spans="1:16" x14ac:dyDescent="0.25">
      <c r="A118" s="2" t="s">
        <v>1140</v>
      </c>
      <c r="B118" s="4">
        <v>44054</v>
      </c>
      <c r="C118" s="2" t="s">
        <v>1141</v>
      </c>
      <c r="D118" t="s">
        <v>6145</v>
      </c>
      <c r="E118" s="2">
        <v>4</v>
      </c>
      <c r="F118" s="2" t="str">
        <f>_xlfn.XLOOKUP(C118,customers!$A$1:$A$1001,customers!$B$1:$B$1001,0)</f>
        <v>Geneva Standley</v>
      </c>
      <c r="G118" s="2" t="s">
        <v>1143</v>
      </c>
      <c r="H118" s="2" t="str">
        <f>_xlfn.XLOOKUP(C118,customers!$A$1:$A$1001,customers!$G$1:$G$1001,0)</f>
        <v>Ireland</v>
      </c>
      <c r="I118" t="str">
        <f>_xlfn.XLOOKUP(D118,products!$A$1:$A$49,products!$B$1:$B$49,0)</f>
        <v>Lib</v>
      </c>
      <c r="J118" t="str">
        <f>_xlfn.XLOOKUP('data cleaned'!D118,products!$A$1:$A$49,products!$C$1:$C$49,0)</f>
        <v>L</v>
      </c>
      <c r="K118" s="5">
        <f>_xlfn.XLOOKUP('data cleaned'!D118,products!$A$1:$A$49,products!$D$1:$D$49,0)</f>
        <v>0.2</v>
      </c>
      <c r="L118" s="6">
        <f>_xlfn.XLOOKUP('data cleaned'!D118,products!$A$1:$A$49,products!$E$1:$E$49,0)</f>
        <v>4.7549999999999999</v>
      </c>
      <c r="M118" s="6">
        <f>'data cleaned'!E118*'data cleaned'!L118</f>
        <v>19.02</v>
      </c>
      <c r="N118" t="str">
        <f t="shared" si="2"/>
        <v>Liberica</v>
      </c>
      <c r="O118" t="str">
        <f t="shared" si="3"/>
        <v>Light</v>
      </c>
      <c r="P118" t="str">
        <f>_xlfn.XLOOKUP(worksheet[[#This Row],[Customer ID]],customers!$A$1:$A$1001,customers!$I$1:$I$1001,0)</f>
        <v>Yes</v>
      </c>
    </row>
    <row r="119" spans="1:16" x14ac:dyDescent="0.25">
      <c r="A119" s="2" t="s">
        <v>1146</v>
      </c>
      <c r="B119" s="4">
        <v>44656</v>
      </c>
      <c r="C119" s="2" t="s">
        <v>1147</v>
      </c>
      <c r="D119" t="s">
        <v>6161</v>
      </c>
      <c r="E119" s="2">
        <v>4</v>
      </c>
      <c r="F119" s="2" t="str">
        <f>_xlfn.XLOOKUP(C119,customers!$A$1:$A$1001,customers!$B$1:$B$1001,0)</f>
        <v>Brook Drage</v>
      </c>
      <c r="G119" s="2" t="s">
        <v>1149</v>
      </c>
      <c r="H119" s="2" t="str">
        <f>_xlfn.XLOOKUP(C119,customers!$A$1:$A$1001,customers!$G$1:$G$1001,0)</f>
        <v>United States</v>
      </c>
      <c r="I119" t="str">
        <f>_xlfn.XLOOKUP(D119,products!$A$1:$A$49,products!$B$1:$B$49,0)</f>
        <v>Lib</v>
      </c>
      <c r="J119" t="str">
        <f>_xlfn.XLOOKUP('data cleaned'!D119,products!$A$1:$A$49,products!$C$1:$C$49,0)</f>
        <v>L</v>
      </c>
      <c r="K119" s="5">
        <f>_xlfn.XLOOKUP('data cleaned'!D119,products!$A$1:$A$49,products!$D$1:$D$49,0)</f>
        <v>0.5</v>
      </c>
      <c r="L119" s="6">
        <f>_xlfn.XLOOKUP('data cleaned'!D119,products!$A$1:$A$49,products!$E$1:$E$49,0)</f>
        <v>9.51</v>
      </c>
      <c r="M119" s="6">
        <f>'data cleaned'!E119*'data cleaned'!L119</f>
        <v>38.04</v>
      </c>
      <c r="N119" t="str">
        <f t="shared" si="2"/>
        <v>Liberica</v>
      </c>
      <c r="O119" t="str">
        <f t="shared" si="3"/>
        <v>Light</v>
      </c>
      <c r="P119" t="str">
        <f>_xlfn.XLOOKUP(worksheet[[#This Row],[Customer ID]],customers!$A$1:$A$1001,customers!$I$1:$I$1001,0)</f>
        <v>No</v>
      </c>
    </row>
    <row r="120" spans="1:16" x14ac:dyDescent="0.25">
      <c r="A120" s="2" t="s">
        <v>1152</v>
      </c>
      <c r="B120" s="4">
        <v>43760</v>
      </c>
      <c r="C120" s="2" t="s">
        <v>1153</v>
      </c>
      <c r="D120" t="s">
        <v>6144</v>
      </c>
      <c r="E120" s="2">
        <v>3</v>
      </c>
      <c r="F120" s="2" t="str">
        <f>_xlfn.XLOOKUP(C120,customers!$A$1:$A$1001,customers!$B$1:$B$1001,0)</f>
        <v>Muffin Yallop</v>
      </c>
      <c r="G120" s="2" t="s">
        <v>1155</v>
      </c>
      <c r="H120" s="2" t="str">
        <f>_xlfn.XLOOKUP(C120,customers!$A$1:$A$1001,customers!$G$1:$G$1001,0)</f>
        <v>United States</v>
      </c>
      <c r="I120" t="str">
        <f>_xlfn.XLOOKUP(D120,products!$A$1:$A$49,products!$B$1:$B$49,0)</f>
        <v>Exc</v>
      </c>
      <c r="J120" t="str">
        <f>_xlfn.XLOOKUP('data cleaned'!D120,products!$A$1:$A$49,products!$C$1:$C$49,0)</f>
        <v>D</v>
      </c>
      <c r="K120" s="5">
        <f>_xlfn.XLOOKUP('data cleaned'!D120,products!$A$1:$A$49,products!$D$1:$D$49,0)</f>
        <v>0.5</v>
      </c>
      <c r="L120" s="6">
        <f>_xlfn.XLOOKUP('data cleaned'!D120,products!$A$1:$A$49,products!$E$1:$E$49,0)</f>
        <v>7.29</v>
      </c>
      <c r="M120" s="6">
        <f>'data cleaned'!E120*'data cleaned'!L120</f>
        <v>21.87</v>
      </c>
      <c r="N120" t="str">
        <f t="shared" si="2"/>
        <v>Excelsa</v>
      </c>
      <c r="O120" t="str">
        <f t="shared" si="3"/>
        <v>Dark</v>
      </c>
      <c r="P120" t="str">
        <f>_xlfn.XLOOKUP(worksheet[[#This Row],[Customer ID]],customers!$A$1:$A$1001,customers!$I$1:$I$1001,0)</f>
        <v>Yes</v>
      </c>
    </row>
    <row r="121" spans="1:16" x14ac:dyDescent="0.25">
      <c r="A121" s="2" t="s">
        <v>1158</v>
      </c>
      <c r="B121" s="4">
        <v>44471</v>
      </c>
      <c r="C121" s="2" t="s">
        <v>1159</v>
      </c>
      <c r="D121" t="s">
        <v>6156</v>
      </c>
      <c r="E121" s="2">
        <v>1</v>
      </c>
      <c r="F121" s="2" t="str">
        <f>_xlfn.XLOOKUP(C121,customers!$A$1:$A$1001,customers!$B$1:$B$1001,0)</f>
        <v>Cordi Switsur</v>
      </c>
      <c r="G121" s="2" t="s">
        <v>1161</v>
      </c>
      <c r="H121" s="2" t="str">
        <f>_xlfn.XLOOKUP(C121,customers!$A$1:$A$1001,customers!$G$1:$G$1001,0)</f>
        <v>United States</v>
      </c>
      <c r="I121" t="str">
        <f>_xlfn.XLOOKUP(D121,products!$A$1:$A$49,products!$B$1:$B$49,0)</f>
        <v>Exc</v>
      </c>
      <c r="J121" t="str">
        <f>_xlfn.XLOOKUP('data cleaned'!D121,products!$A$1:$A$49,products!$C$1:$C$49,0)</f>
        <v>M</v>
      </c>
      <c r="K121" s="5">
        <f>_xlfn.XLOOKUP('data cleaned'!D121,products!$A$1:$A$49,products!$D$1:$D$49,0)</f>
        <v>0.2</v>
      </c>
      <c r="L121" s="6">
        <f>_xlfn.XLOOKUP('data cleaned'!D121,products!$A$1:$A$49,products!$E$1:$E$49,0)</f>
        <v>4.125</v>
      </c>
      <c r="M121" s="6">
        <f>'data cleaned'!E121*'data cleaned'!L121</f>
        <v>4.125</v>
      </c>
      <c r="N121" t="str">
        <f t="shared" si="2"/>
        <v>Excelsa</v>
      </c>
      <c r="O121" t="str">
        <f t="shared" si="3"/>
        <v>Medium</v>
      </c>
      <c r="P121" t="str">
        <f>_xlfn.XLOOKUP(worksheet[[#This Row],[Customer ID]],customers!$A$1:$A$1001,customers!$I$1:$I$1001,0)</f>
        <v>No</v>
      </c>
    </row>
    <row r="122" spans="1:16" x14ac:dyDescent="0.25">
      <c r="A122" s="2" t="s">
        <v>1158</v>
      </c>
      <c r="B122" s="4">
        <v>44471</v>
      </c>
      <c r="C122" s="2" t="s">
        <v>1159</v>
      </c>
      <c r="D122" t="s">
        <v>6167</v>
      </c>
      <c r="E122" s="2">
        <v>1</v>
      </c>
      <c r="F122" s="2" t="str">
        <f>_xlfn.XLOOKUP(C122,customers!$A$1:$A$1001,customers!$B$1:$B$1001,0)</f>
        <v>Cordi Switsur</v>
      </c>
      <c r="G122" s="2" t="s">
        <v>1161</v>
      </c>
      <c r="H122" s="2" t="str">
        <f>_xlfn.XLOOKUP(C122,customers!$A$1:$A$1001,customers!$G$1:$G$1001,0)</f>
        <v>United States</v>
      </c>
      <c r="I122" t="str">
        <f>_xlfn.XLOOKUP(D122,products!$A$1:$A$49,products!$B$1:$B$49,0)</f>
        <v>Ara</v>
      </c>
      <c r="J122" t="str">
        <f>_xlfn.XLOOKUP('data cleaned'!D122,products!$A$1:$A$49,products!$C$1:$C$49,0)</f>
        <v>L</v>
      </c>
      <c r="K122" s="5">
        <f>_xlfn.XLOOKUP('data cleaned'!D122,products!$A$1:$A$49,products!$D$1:$D$49,0)</f>
        <v>0.2</v>
      </c>
      <c r="L122" s="6">
        <f>_xlfn.XLOOKUP('data cleaned'!D122,products!$A$1:$A$49,products!$E$1:$E$49,0)</f>
        <v>3.8849999999999998</v>
      </c>
      <c r="M122" s="6">
        <f>'data cleaned'!E122*'data cleaned'!L122</f>
        <v>3.8849999999999998</v>
      </c>
      <c r="N122" t="str">
        <f t="shared" si="2"/>
        <v>Arabica</v>
      </c>
      <c r="O122" t="str">
        <f t="shared" si="3"/>
        <v>Light</v>
      </c>
      <c r="P122" t="str">
        <f>_xlfn.XLOOKUP(worksheet[[#This Row],[Customer ID]],customers!$A$1:$A$1001,customers!$I$1:$I$1001,0)</f>
        <v>No</v>
      </c>
    </row>
    <row r="123" spans="1:16" x14ac:dyDescent="0.25">
      <c r="A123" s="2" t="s">
        <v>1158</v>
      </c>
      <c r="B123" s="4">
        <v>44471</v>
      </c>
      <c r="C123" s="2" t="s">
        <v>1159</v>
      </c>
      <c r="D123" t="s">
        <v>6141</v>
      </c>
      <c r="E123" s="2">
        <v>5</v>
      </c>
      <c r="F123" s="2" t="str">
        <f>_xlfn.XLOOKUP(C123,customers!$A$1:$A$1001,customers!$B$1:$B$1001,0)</f>
        <v>Cordi Switsur</v>
      </c>
      <c r="G123" s="2" t="s">
        <v>1161</v>
      </c>
      <c r="H123" s="2" t="str">
        <f>_xlfn.XLOOKUP(C123,customers!$A$1:$A$1001,customers!$G$1:$G$1001,0)</f>
        <v>United States</v>
      </c>
      <c r="I123" t="str">
        <f>_xlfn.XLOOKUP(D123,products!$A$1:$A$49,products!$B$1:$B$49,0)</f>
        <v>Exc</v>
      </c>
      <c r="J123" t="str">
        <f>_xlfn.XLOOKUP('data cleaned'!D123,products!$A$1:$A$49,products!$C$1:$C$49,0)</f>
        <v>M</v>
      </c>
      <c r="K123" s="5">
        <f>_xlfn.XLOOKUP('data cleaned'!D123,products!$A$1:$A$49,products!$D$1:$D$49,0)</f>
        <v>1</v>
      </c>
      <c r="L123" s="6">
        <f>_xlfn.XLOOKUP('data cleaned'!D123,products!$A$1:$A$49,products!$E$1:$E$49,0)</f>
        <v>13.75</v>
      </c>
      <c r="M123" s="6">
        <f>'data cleaned'!E123*'data cleaned'!L123</f>
        <v>68.75</v>
      </c>
      <c r="N123" t="str">
        <f t="shared" si="2"/>
        <v>Excelsa</v>
      </c>
      <c r="O123" t="str">
        <f t="shared" si="3"/>
        <v>Medium</v>
      </c>
      <c r="P123" t="str">
        <f>_xlfn.XLOOKUP(worksheet[[#This Row],[Customer ID]],customers!$A$1:$A$1001,customers!$I$1:$I$1001,0)</f>
        <v>No</v>
      </c>
    </row>
    <row r="124" spans="1:16" x14ac:dyDescent="0.25">
      <c r="A124" s="2" t="s">
        <v>1174</v>
      </c>
      <c r="B124" s="4">
        <v>44268</v>
      </c>
      <c r="C124" s="2" t="s">
        <v>1175</v>
      </c>
      <c r="D124" t="s">
        <v>6158</v>
      </c>
      <c r="E124" s="2">
        <v>4</v>
      </c>
      <c r="F124" s="2" t="str">
        <f>_xlfn.XLOOKUP(C124,customers!$A$1:$A$1001,customers!$B$1:$B$1001,0)</f>
        <v>Mahala Ludwell</v>
      </c>
      <c r="G124" s="2" t="s">
        <v>1177</v>
      </c>
      <c r="H124" s="2" t="str">
        <f>_xlfn.XLOOKUP(C124,customers!$A$1:$A$1001,customers!$G$1:$G$1001,0)</f>
        <v>United States</v>
      </c>
      <c r="I124" t="str">
        <f>_xlfn.XLOOKUP(D124,products!$A$1:$A$49,products!$B$1:$B$49,0)</f>
        <v>Ara</v>
      </c>
      <c r="J124" t="str">
        <f>_xlfn.XLOOKUP('data cleaned'!D124,products!$A$1:$A$49,products!$C$1:$C$49,0)</f>
        <v>D</v>
      </c>
      <c r="K124" s="5">
        <f>_xlfn.XLOOKUP('data cleaned'!D124,products!$A$1:$A$49,products!$D$1:$D$49,0)</f>
        <v>0.5</v>
      </c>
      <c r="L124" s="6">
        <f>_xlfn.XLOOKUP('data cleaned'!D124,products!$A$1:$A$49,products!$E$1:$E$49,0)</f>
        <v>5.97</v>
      </c>
      <c r="M124" s="6">
        <f>'data cleaned'!E124*'data cleaned'!L124</f>
        <v>23.88</v>
      </c>
      <c r="N124" t="str">
        <f t="shared" si="2"/>
        <v>Arabica</v>
      </c>
      <c r="O124" t="str">
        <f t="shared" si="3"/>
        <v>Dark</v>
      </c>
      <c r="P124" t="str">
        <f>_xlfn.XLOOKUP(worksheet[[#This Row],[Customer ID]],customers!$A$1:$A$1001,customers!$I$1:$I$1001,0)</f>
        <v>Yes</v>
      </c>
    </row>
    <row r="125" spans="1:16" x14ac:dyDescent="0.25">
      <c r="A125" s="2" t="s">
        <v>1180</v>
      </c>
      <c r="B125" s="4">
        <v>44724</v>
      </c>
      <c r="C125" s="2" t="s">
        <v>1181</v>
      </c>
      <c r="D125" t="s">
        <v>6164</v>
      </c>
      <c r="E125" s="2">
        <v>4</v>
      </c>
      <c r="F125" s="2" t="str">
        <f>_xlfn.XLOOKUP(C125,customers!$A$1:$A$1001,customers!$B$1:$B$1001,0)</f>
        <v>Doll Beauchamp</v>
      </c>
      <c r="G125" s="2" t="s">
        <v>1183</v>
      </c>
      <c r="H125" s="2" t="str">
        <f>_xlfn.XLOOKUP(C125,customers!$A$1:$A$1001,customers!$G$1:$G$1001,0)</f>
        <v>United States</v>
      </c>
      <c r="I125" t="str">
        <f>_xlfn.XLOOKUP(D125,products!$A$1:$A$49,products!$B$1:$B$49,0)</f>
        <v>Lib</v>
      </c>
      <c r="J125" t="str">
        <f>_xlfn.XLOOKUP('data cleaned'!D125,products!$A$1:$A$49,products!$C$1:$C$49,0)</f>
        <v>L</v>
      </c>
      <c r="K125" s="5">
        <f>_xlfn.XLOOKUP('data cleaned'!D125,products!$A$1:$A$49,products!$D$1:$D$49,0)</f>
        <v>2.5</v>
      </c>
      <c r="L125" s="6">
        <f>_xlfn.XLOOKUP('data cleaned'!D125,products!$A$1:$A$49,products!$E$1:$E$49,0)</f>
        <v>36.454999999999998</v>
      </c>
      <c r="M125" s="6">
        <f>'data cleaned'!E125*'data cleaned'!L125</f>
        <v>145.82</v>
      </c>
      <c r="N125" t="str">
        <f t="shared" si="2"/>
        <v>Liberica</v>
      </c>
      <c r="O125" t="str">
        <f t="shared" si="3"/>
        <v>Light</v>
      </c>
      <c r="P125" t="str">
        <f>_xlfn.XLOOKUP(worksheet[[#This Row],[Customer ID]],customers!$A$1:$A$1001,customers!$I$1:$I$1001,0)</f>
        <v>No</v>
      </c>
    </row>
    <row r="126" spans="1:16" x14ac:dyDescent="0.25">
      <c r="A126" s="2" t="s">
        <v>1186</v>
      </c>
      <c r="B126" s="4">
        <v>43582</v>
      </c>
      <c r="C126" s="2" t="s">
        <v>1187</v>
      </c>
      <c r="D126" t="s">
        <v>6159</v>
      </c>
      <c r="E126" s="2">
        <v>5</v>
      </c>
      <c r="F126" s="2" t="str">
        <f>_xlfn.XLOOKUP(C126,customers!$A$1:$A$1001,customers!$B$1:$B$1001,0)</f>
        <v>Stanford Rodliff</v>
      </c>
      <c r="G126" s="2" t="s">
        <v>1189</v>
      </c>
      <c r="H126" s="2" t="str">
        <f>_xlfn.XLOOKUP(C126,customers!$A$1:$A$1001,customers!$G$1:$G$1001,0)</f>
        <v>United States</v>
      </c>
      <c r="I126" t="str">
        <f>_xlfn.XLOOKUP(D126,products!$A$1:$A$49,products!$B$1:$B$49,0)</f>
        <v>Lib</v>
      </c>
      <c r="J126" t="str">
        <f>_xlfn.XLOOKUP('data cleaned'!D126,products!$A$1:$A$49,products!$C$1:$C$49,0)</f>
        <v>M</v>
      </c>
      <c r="K126" s="5">
        <f>_xlfn.XLOOKUP('data cleaned'!D126,products!$A$1:$A$49,products!$D$1:$D$49,0)</f>
        <v>0.2</v>
      </c>
      <c r="L126" s="6">
        <f>_xlfn.XLOOKUP('data cleaned'!D126,products!$A$1:$A$49,products!$E$1:$E$49,0)</f>
        <v>4.3650000000000002</v>
      </c>
      <c r="M126" s="6">
        <f>'data cleaned'!E126*'data cleaned'!L126</f>
        <v>21.825000000000003</v>
      </c>
      <c r="N126" t="str">
        <f t="shared" si="2"/>
        <v>Liberica</v>
      </c>
      <c r="O126" t="str">
        <f t="shared" si="3"/>
        <v>Medium</v>
      </c>
      <c r="P126" t="str">
        <f>_xlfn.XLOOKUP(worksheet[[#This Row],[Customer ID]],customers!$A$1:$A$1001,customers!$I$1:$I$1001,0)</f>
        <v>Yes</v>
      </c>
    </row>
    <row r="127" spans="1:16" x14ac:dyDescent="0.25">
      <c r="A127" s="2" t="s">
        <v>1192</v>
      </c>
      <c r="B127" s="4">
        <v>43608</v>
      </c>
      <c r="C127" s="2" t="s">
        <v>1193</v>
      </c>
      <c r="D127" t="s">
        <v>6160</v>
      </c>
      <c r="E127" s="2">
        <v>3</v>
      </c>
      <c r="F127" s="2" t="str">
        <f>_xlfn.XLOOKUP(C127,customers!$A$1:$A$1001,customers!$B$1:$B$1001,0)</f>
        <v>Stevana Woodham</v>
      </c>
      <c r="G127" s="2" t="s">
        <v>1195</v>
      </c>
      <c r="H127" s="2" t="str">
        <f>_xlfn.XLOOKUP(C127,customers!$A$1:$A$1001,customers!$G$1:$G$1001,0)</f>
        <v>Ireland</v>
      </c>
      <c r="I127" t="str">
        <f>_xlfn.XLOOKUP(D127,products!$A$1:$A$49,products!$B$1:$B$49,0)</f>
        <v>Lib</v>
      </c>
      <c r="J127" t="str">
        <f>_xlfn.XLOOKUP('data cleaned'!D127,products!$A$1:$A$49,products!$C$1:$C$49,0)</f>
        <v>M</v>
      </c>
      <c r="K127" s="5">
        <f>_xlfn.XLOOKUP('data cleaned'!D127,products!$A$1:$A$49,products!$D$1:$D$49,0)</f>
        <v>0.5</v>
      </c>
      <c r="L127" s="6">
        <f>_xlfn.XLOOKUP('data cleaned'!D127,products!$A$1:$A$49,products!$E$1:$E$49,0)</f>
        <v>8.73</v>
      </c>
      <c r="M127" s="6">
        <f>'data cleaned'!E127*'data cleaned'!L127</f>
        <v>26.19</v>
      </c>
      <c r="N127" t="str">
        <f t="shared" si="2"/>
        <v>Liberica</v>
      </c>
      <c r="O127" t="str">
        <f t="shared" si="3"/>
        <v>Medium</v>
      </c>
      <c r="P127" t="str">
        <f>_xlfn.XLOOKUP(worksheet[[#This Row],[Customer ID]],customers!$A$1:$A$1001,customers!$I$1:$I$1001,0)</f>
        <v>Yes</v>
      </c>
    </row>
    <row r="128" spans="1:16" x14ac:dyDescent="0.25">
      <c r="A128" s="2" t="s">
        <v>1198</v>
      </c>
      <c r="B128" s="4">
        <v>44026</v>
      </c>
      <c r="C128" s="2" t="s">
        <v>1199</v>
      </c>
      <c r="D128" t="s">
        <v>6155</v>
      </c>
      <c r="E128" s="2">
        <v>1</v>
      </c>
      <c r="F128" s="2" t="str">
        <f>_xlfn.XLOOKUP(C128,customers!$A$1:$A$1001,customers!$B$1:$B$1001,0)</f>
        <v>Hewet Synnot</v>
      </c>
      <c r="G128" s="2" t="s">
        <v>1201</v>
      </c>
      <c r="H128" s="2" t="str">
        <f>_xlfn.XLOOKUP(C128,customers!$A$1:$A$1001,customers!$G$1:$G$1001,0)</f>
        <v>United States</v>
      </c>
      <c r="I128" t="str">
        <f>_xlfn.XLOOKUP(D128,products!$A$1:$A$49,products!$B$1:$B$49,0)</f>
        <v>Ara</v>
      </c>
      <c r="J128" t="str">
        <f>_xlfn.XLOOKUP('data cleaned'!D128,products!$A$1:$A$49,products!$C$1:$C$49,0)</f>
        <v>M</v>
      </c>
      <c r="K128" s="5">
        <f>_xlfn.XLOOKUP('data cleaned'!D128,products!$A$1:$A$49,products!$D$1:$D$49,0)</f>
        <v>1</v>
      </c>
      <c r="L128" s="6">
        <f>_xlfn.XLOOKUP('data cleaned'!D128,products!$A$1:$A$49,products!$E$1:$E$49,0)</f>
        <v>11.25</v>
      </c>
      <c r="M128" s="6">
        <f>'data cleaned'!E128*'data cleaned'!L128</f>
        <v>11.25</v>
      </c>
      <c r="N128" t="str">
        <f t="shared" si="2"/>
        <v>Arabica</v>
      </c>
      <c r="O128" t="str">
        <f t="shared" si="3"/>
        <v>Medium</v>
      </c>
      <c r="P128" t="str">
        <f>_xlfn.XLOOKUP(worksheet[[#This Row],[Customer ID]],customers!$A$1:$A$1001,customers!$I$1:$I$1001,0)</f>
        <v>No</v>
      </c>
    </row>
    <row r="129" spans="1:16" x14ac:dyDescent="0.25">
      <c r="A129" s="2" t="s">
        <v>1204</v>
      </c>
      <c r="B129" s="4">
        <v>44510</v>
      </c>
      <c r="C129" s="2" t="s">
        <v>1205</v>
      </c>
      <c r="D129" t="s">
        <v>6143</v>
      </c>
      <c r="E129" s="2">
        <v>6</v>
      </c>
      <c r="F129" s="2" t="str">
        <f>_xlfn.XLOOKUP(C129,customers!$A$1:$A$1001,customers!$B$1:$B$1001,0)</f>
        <v>Raleigh Lepere</v>
      </c>
      <c r="G129" s="2" t="s">
        <v>1207</v>
      </c>
      <c r="H129" s="2" t="str">
        <f>_xlfn.XLOOKUP(C129,customers!$A$1:$A$1001,customers!$G$1:$G$1001,0)</f>
        <v>Ireland</v>
      </c>
      <c r="I129" t="str">
        <f>_xlfn.XLOOKUP(D129,products!$A$1:$A$49,products!$B$1:$B$49,0)</f>
        <v>Lib</v>
      </c>
      <c r="J129" t="str">
        <f>_xlfn.XLOOKUP('data cleaned'!D129,products!$A$1:$A$49,products!$C$1:$C$49,0)</f>
        <v>D</v>
      </c>
      <c r="K129" s="5">
        <f>_xlfn.XLOOKUP('data cleaned'!D129,products!$A$1:$A$49,products!$D$1:$D$49,0)</f>
        <v>1</v>
      </c>
      <c r="L129" s="6">
        <f>_xlfn.XLOOKUP('data cleaned'!D129,products!$A$1:$A$49,products!$E$1:$E$49,0)</f>
        <v>12.95</v>
      </c>
      <c r="M129" s="6">
        <f>'data cleaned'!E129*'data cleaned'!L129</f>
        <v>77.699999999999989</v>
      </c>
      <c r="N129" t="str">
        <f t="shared" si="2"/>
        <v>Liberica</v>
      </c>
      <c r="O129" t="str">
        <f t="shared" si="3"/>
        <v>Dark</v>
      </c>
      <c r="P129" t="str">
        <f>_xlfn.XLOOKUP(worksheet[[#This Row],[Customer ID]],customers!$A$1:$A$1001,customers!$I$1:$I$1001,0)</f>
        <v>No</v>
      </c>
    </row>
    <row r="130" spans="1:16" x14ac:dyDescent="0.25">
      <c r="A130" s="2" t="s">
        <v>1210</v>
      </c>
      <c r="B130" s="4">
        <v>44439</v>
      </c>
      <c r="C130" s="2" t="s">
        <v>1211</v>
      </c>
      <c r="D130" t="s">
        <v>6157</v>
      </c>
      <c r="E130" s="2">
        <v>1</v>
      </c>
      <c r="F130" s="2" t="str">
        <f>_xlfn.XLOOKUP(C130,customers!$A$1:$A$1001,customers!$B$1:$B$1001,0)</f>
        <v>Timofei Woofinden</v>
      </c>
      <c r="G130" s="2" t="s">
        <v>1213</v>
      </c>
      <c r="H130" s="2" t="str">
        <f>_xlfn.XLOOKUP(C130,customers!$A$1:$A$1001,customers!$G$1:$G$1001,0)</f>
        <v>United States</v>
      </c>
      <c r="I130" t="str">
        <f>_xlfn.XLOOKUP(D130,products!$A$1:$A$49,products!$B$1:$B$49,0)</f>
        <v>Ara</v>
      </c>
      <c r="J130" t="str">
        <f>_xlfn.XLOOKUP('data cleaned'!D130,products!$A$1:$A$49,products!$C$1:$C$49,0)</f>
        <v>M</v>
      </c>
      <c r="K130" s="5">
        <f>_xlfn.XLOOKUP('data cleaned'!D130,products!$A$1:$A$49,products!$D$1:$D$49,0)</f>
        <v>0.5</v>
      </c>
      <c r="L130" s="6">
        <f>_xlfn.XLOOKUP('data cleaned'!D130,products!$A$1:$A$49,products!$E$1:$E$49,0)</f>
        <v>6.75</v>
      </c>
      <c r="M130" s="6">
        <f>'data cleaned'!E130*'data cleaned'!L130</f>
        <v>6.75</v>
      </c>
      <c r="N130" t="str">
        <f t="shared" si="2"/>
        <v>Arabica</v>
      </c>
      <c r="O130" t="str">
        <f t="shared" si="3"/>
        <v>Medium</v>
      </c>
      <c r="P130" t="str">
        <f>_xlfn.XLOOKUP(worksheet[[#This Row],[Customer ID]],customers!$A$1:$A$1001,customers!$I$1:$I$1001,0)</f>
        <v>No</v>
      </c>
    </row>
    <row r="131" spans="1:16" x14ac:dyDescent="0.25">
      <c r="A131" s="2" t="s">
        <v>1216</v>
      </c>
      <c r="B131" s="4">
        <v>43652</v>
      </c>
      <c r="C131" s="2" t="s">
        <v>1217</v>
      </c>
      <c r="D131" t="s">
        <v>6183</v>
      </c>
      <c r="E131" s="2">
        <v>1</v>
      </c>
      <c r="F131" s="2" t="str">
        <f>_xlfn.XLOOKUP(C131,customers!$A$1:$A$1001,customers!$B$1:$B$1001,0)</f>
        <v>Evelina Dacca</v>
      </c>
      <c r="G131" s="2" t="s">
        <v>1219</v>
      </c>
      <c r="H131" s="2" t="str">
        <f>_xlfn.XLOOKUP(C131,customers!$A$1:$A$1001,customers!$G$1:$G$1001,0)</f>
        <v>United States</v>
      </c>
      <c r="I131" t="str">
        <f>_xlfn.XLOOKUP(D131,products!$A$1:$A$49,products!$B$1:$B$49,0)</f>
        <v>Exc</v>
      </c>
      <c r="J131" t="str">
        <f>_xlfn.XLOOKUP('data cleaned'!D131,products!$A$1:$A$49,products!$C$1:$C$49,0)</f>
        <v>D</v>
      </c>
      <c r="K131" s="5">
        <f>_xlfn.XLOOKUP('data cleaned'!D131,products!$A$1:$A$49,products!$D$1:$D$49,0)</f>
        <v>1</v>
      </c>
      <c r="L131" s="6">
        <f>_xlfn.XLOOKUP('data cleaned'!D131,products!$A$1:$A$49,products!$E$1:$E$49,0)</f>
        <v>12.15</v>
      </c>
      <c r="M131" s="6">
        <f>'data cleaned'!E131*'data cleaned'!L131</f>
        <v>12.15</v>
      </c>
      <c r="N131" t="str">
        <f t="shared" ref="N131:N194" si="4">IF(I131="Rob","Robusta",IF(I131="Exc","Excelsa",IF(I131="Ara","Arabica",IF(I131="Lib","Liberica",""))))</f>
        <v>Excelsa</v>
      </c>
      <c r="O131" t="str">
        <f t="shared" ref="O131:O194" si="5">IF(J131="M","Medium",IF(J131="L","Light",IF(J131="D","Dark","")))</f>
        <v>Dark</v>
      </c>
      <c r="P131" t="str">
        <f>_xlfn.XLOOKUP(worksheet[[#This Row],[Customer ID]],customers!$A$1:$A$1001,customers!$I$1:$I$1001,0)</f>
        <v>Yes</v>
      </c>
    </row>
    <row r="132" spans="1:16" x14ac:dyDescent="0.25">
      <c r="A132" s="2" t="s">
        <v>1222</v>
      </c>
      <c r="B132" s="4">
        <v>44624</v>
      </c>
      <c r="C132" s="2" t="s">
        <v>1223</v>
      </c>
      <c r="D132" t="s">
        <v>6182</v>
      </c>
      <c r="E132" s="2">
        <v>5</v>
      </c>
      <c r="F132" s="2" t="str">
        <f>_xlfn.XLOOKUP(C132,customers!$A$1:$A$1001,customers!$B$1:$B$1001,0)</f>
        <v>Bidget Tremellier</v>
      </c>
      <c r="G132" s="2" t="s">
        <v>6222</v>
      </c>
      <c r="H132" s="2" t="str">
        <f>_xlfn.XLOOKUP(C132,customers!$A$1:$A$1001,customers!$G$1:$G$1001,0)</f>
        <v>Ireland</v>
      </c>
      <c r="I132" t="str">
        <f>_xlfn.XLOOKUP(D132,products!$A$1:$A$49,products!$B$1:$B$49,0)</f>
        <v>Ara</v>
      </c>
      <c r="J132" t="str">
        <f>_xlfn.XLOOKUP('data cleaned'!D132,products!$A$1:$A$49,products!$C$1:$C$49,0)</f>
        <v>L</v>
      </c>
      <c r="K132" s="5">
        <f>_xlfn.XLOOKUP('data cleaned'!D132,products!$A$1:$A$49,products!$D$1:$D$49,0)</f>
        <v>2.5</v>
      </c>
      <c r="L132" s="6">
        <f>_xlfn.XLOOKUP('data cleaned'!D132,products!$A$1:$A$49,products!$E$1:$E$49,0)</f>
        <v>29.784999999999997</v>
      </c>
      <c r="M132" s="6">
        <f>'data cleaned'!E132*'data cleaned'!L132</f>
        <v>148.92499999999998</v>
      </c>
      <c r="N132" t="str">
        <f t="shared" si="4"/>
        <v>Arabica</v>
      </c>
      <c r="O132" t="str">
        <f t="shared" si="5"/>
        <v>Light</v>
      </c>
      <c r="P132" t="str">
        <f>_xlfn.XLOOKUP(worksheet[[#This Row],[Customer ID]],customers!$A$1:$A$1001,customers!$I$1:$I$1001,0)</f>
        <v>Yes</v>
      </c>
    </row>
    <row r="133" spans="1:16" x14ac:dyDescent="0.25">
      <c r="A133" s="2" t="s">
        <v>1227</v>
      </c>
      <c r="B133" s="4">
        <v>44196</v>
      </c>
      <c r="C133" s="2" t="s">
        <v>1228</v>
      </c>
      <c r="D133" t="s">
        <v>6144</v>
      </c>
      <c r="E133" s="2">
        <v>2</v>
      </c>
      <c r="F133" s="2" t="str">
        <f>_xlfn.XLOOKUP(C133,customers!$A$1:$A$1001,customers!$B$1:$B$1001,0)</f>
        <v>Bobinette Hindsberg</v>
      </c>
      <c r="G133" s="2" t="s">
        <v>1230</v>
      </c>
      <c r="H133" s="2" t="str">
        <f>_xlfn.XLOOKUP(C133,customers!$A$1:$A$1001,customers!$G$1:$G$1001,0)</f>
        <v>United States</v>
      </c>
      <c r="I133" t="str">
        <f>_xlfn.XLOOKUP(D133,products!$A$1:$A$49,products!$B$1:$B$49,0)</f>
        <v>Exc</v>
      </c>
      <c r="J133" t="str">
        <f>_xlfn.XLOOKUP('data cleaned'!D133,products!$A$1:$A$49,products!$C$1:$C$49,0)</f>
        <v>D</v>
      </c>
      <c r="K133" s="5">
        <f>_xlfn.XLOOKUP('data cleaned'!D133,products!$A$1:$A$49,products!$D$1:$D$49,0)</f>
        <v>0.5</v>
      </c>
      <c r="L133" s="6">
        <f>_xlfn.XLOOKUP('data cleaned'!D133,products!$A$1:$A$49,products!$E$1:$E$49,0)</f>
        <v>7.29</v>
      </c>
      <c r="M133" s="6">
        <f>'data cleaned'!E133*'data cleaned'!L133</f>
        <v>14.58</v>
      </c>
      <c r="N133" t="str">
        <f t="shared" si="4"/>
        <v>Excelsa</v>
      </c>
      <c r="O133" t="str">
        <f t="shared" si="5"/>
        <v>Dark</v>
      </c>
      <c r="P133" t="str">
        <f>_xlfn.XLOOKUP(worksheet[[#This Row],[Customer ID]],customers!$A$1:$A$1001,customers!$I$1:$I$1001,0)</f>
        <v>Yes</v>
      </c>
    </row>
    <row r="134" spans="1:16" x14ac:dyDescent="0.25">
      <c r="A134" s="2" t="s">
        <v>1233</v>
      </c>
      <c r="B134" s="4">
        <v>44043</v>
      </c>
      <c r="C134" s="2" t="s">
        <v>1234</v>
      </c>
      <c r="D134" t="s">
        <v>6182</v>
      </c>
      <c r="E134" s="2">
        <v>5</v>
      </c>
      <c r="F134" s="2" t="str">
        <f>_xlfn.XLOOKUP(C134,customers!$A$1:$A$1001,customers!$B$1:$B$1001,0)</f>
        <v>Osbert Robins</v>
      </c>
      <c r="G134" s="2" t="s">
        <v>1236</v>
      </c>
      <c r="H134" s="2" t="str">
        <f>_xlfn.XLOOKUP(C134,customers!$A$1:$A$1001,customers!$G$1:$G$1001,0)</f>
        <v>United States</v>
      </c>
      <c r="I134" t="str">
        <f>_xlfn.XLOOKUP(D134,products!$A$1:$A$49,products!$B$1:$B$49,0)</f>
        <v>Ara</v>
      </c>
      <c r="J134" t="str">
        <f>_xlfn.XLOOKUP('data cleaned'!D134,products!$A$1:$A$49,products!$C$1:$C$49,0)</f>
        <v>L</v>
      </c>
      <c r="K134" s="5">
        <f>_xlfn.XLOOKUP('data cleaned'!D134,products!$A$1:$A$49,products!$D$1:$D$49,0)</f>
        <v>2.5</v>
      </c>
      <c r="L134" s="6">
        <f>_xlfn.XLOOKUP('data cleaned'!D134,products!$A$1:$A$49,products!$E$1:$E$49,0)</f>
        <v>29.784999999999997</v>
      </c>
      <c r="M134" s="6">
        <f>'data cleaned'!E134*'data cleaned'!L134</f>
        <v>148.92499999999998</v>
      </c>
      <c r="N134" t="str">
        <f t="shared" si="4"/>
        <v>Arabica</v>
      </c>
      <c r="O134" t="str">
        <f t="shared" si="5"/>
        <v>Light</v>
      </c>
      <c r="P134" t="str">
        <f>_xlfn.XLOOKUP(worksheet[[#This Row],[Customer ID]],customers!$A$1:$A$1001,customers!$I$1:$I$1001,0)</f>
        <v>Yes</v>
      </c>
    </row>
    <row r="135" spans="1:16" x14ac:dyDescent="0.25">
      <c r="A135" s="2" t="s">
        <v>1239</v>
      </c>
      <c r="B135" s="4">
        <v>44340</v>
      </c>
      <c r="C135" s="2" t="s">
        <v>1240</v>
      </c>
      <c r="D135" t="s">
        <v>6143</v>
      </c>
      <c r="E135" s="2">
        <v>1</v>
      </c>
      <c r="F135" s="2" t="str">
        <f>_xlfn.XLOOKUP(C135,customers!$A$1:$A$1001,customers!$B$1:$B$1001,0)</f>
        <v>Othello Syseland</v>
      </c>
      <c r="G135" s="2" t="s">
        <v>1242</v>
      </c>
      <c r="H135" s="2" t="str">
        <f>_xlfn.XLOOKUP(C135,customers!$A$1:$A$1001,customers!$G$1:$G$1001,0)</f>
        <v>United States</v>
      </c>
      <c r="I135" t="str">
        <f>_xlfn.XLOOKUP(D135,products!$A$1:$A$49,products!$B$1:$B$49,0)</f>
        <v>Lib</v>
      </c>
      <c r="J135" t="str">
        <f>_xlfn.XLOOKUP('data cleaned'!D135,products!$A$1:$A$49,products!$C$1:$C$49,0)</f>
        <v>D</v>
      </c>
      <c r="K135" s="5">
        <f>_xlfn.XLOOKUP('data cleaned'!D135,products!$A$1:$A$49,products!$D$1:$D$49,0)</f>
        <v>1</v>
      </c>
      <c r="L135" s="6">
        <f>_xlfn.XLOOKUP('data cleaned'!D135,products!$A$1:$A$49,products!$E$1:$E$49,0)</f>
        <v>12.95</v>
      </c>
      <c r="M135" s="6">
        <f>'data cleaned'!E135*'data cleaned'!L135</f>
        <v>12.95</v>
      </c>
      <c r="N135" t="str">
        <f t="shared" si="4"/>
        <v>Liberica</v>
      </c>
      <c r="O135" t="str">
        <f t="shared" si="5"/>
        <v>Dark</v>
      </c>
      <c r="P135" t="str">
        <f>_xlfn.XLOOKUP(worksheet[[#This Row],[Customer ID]],customers!$A$1:$A$1001,customers!$I$1:$I$1001,0)</f>
        <v>No</v>
      </c>
    </row>
    <row r="136" spans="1:16" x14ac:dyDescent="0.25">
      <c r="A136" s="2" t="s">
        <v>1245</v>
      </c>
      <c r="B136" s="4">
        <v>44758</v>
      </c>
      <c r="C136" s="2" t="s">
        <v>1246</v>
      </c>
      <c r="D136" t="s">
        <v>6166</v>
      </c>
      <c r="E136" s="2">
        <v>3</v>
      </c>
      <c r="F136" s="2" t="str">
        <f>_xlfn.XLOOKUP(C136,customers!$A$1:$A$1001,customers!$B$1:$B$1001,0)</f>
        <v>Ewell Hanby</v>
      </c>
      <c r="G136" s="2" t="s">
        <v>6222</v>
      </c>
      <c r="H136" s="2" t="str">
        <f>_xlfn.XLOOKUP(C136,customers!$A$1:$A$1001,customers!$G$1:$G$1001,0)</f>
        <v>United States</v>
      </c>
      <c r="I136" t="str">
        <f>_xlfn.XLOOKUP(D136,products!$A$1:$A$49,products!$B$1:$B$49,0)</f>
        <v>Exc</v>
      </c>
      <c r="J136" t="str">
        <f>_xlfn.XLOOKUP('data cleaned'!D136,products!$A$1:$A$49,products!$C$1:$C$49,0)</f>
        <v>M</v>
      </c>
      <c r="K136" s="5">
        <f>_xlfn.XLOOKUP('data cleaned'!D136,products!$A$1:$A$49,products!$D$1:$D$49,0)</f>
        <v>2.5</v>
      </c>
      <c r="L136" s="6">
        <f>_xlfn.XLOOKUP('data cleaned'!D136,products!$A$1:$A$49,products!$E$1:$E$49,0)</f>
        <v>31.624999999999996</v>
      </c>
      <c r="M136" s="6">
        <f>'data cleaned'!E136*'data cleaned'!L136</f>
        <v>94.874999999999986</v>
      </c>
      <c r="N136" t="str">
        <f t="shared" si="4"/>
        <v>Excelsa</v>
      </c>
      <c r="O136" t="str">
        <f t="shared" si="5"/>
        <v>Medium</v>
      </c>
      <c r="P136" t="str">
        <f>_xlfn.XLOOKUP(worksheet[[#This Row],[Customer ID]],customers!$A$1:$A$1001,customers!$I$1:$I$1001,0)</f>
        <v>Yes</v>
      </c>
    </row>
    <row r="137" spans="1:16" x14ac:dyDescent="0.25">
      <c r="A137" s="2" t="s">
        <v>1249</v>
      </c>
      <c r="B137" s="4">
        <v>44232</v>
      </c>
      <c r="C137" s="2" t="s">
        <v>976</v>
      </c>
      <c r="D137" t="s">
        <v>6180</v>
      </c>
      <c r="E137" s="2">
        <v>5</v>
      </c>
      <c r="F137" s="2" t="str">
        <f>_xlfn.XLOOKUP(C137,customers!$A$1:$A$1001,customers!$B$1:$B$1001,0)</f>
        <v>Blancha McAmish</v>
      </c>
      <c r="G137" s="2" t="s">
        <v>978</v>
      </c>
      <c r="H137" s="2" t="str">
        <f>_xlfn.XLOOKUP(C137,customers!$A$1:$A$1001,customers!$G$1:$G$1001,0)</f>
        <v>United States</v>
      </c>
      <c r="I137" t="str">
        <f>_xlfn.XLOOKUP(D137,products!$A$1:$A$49,products!$B$1:$B$49,0)</f>
        <v>Ara</v>
      </c>
      <c r="J137" t="str">
        <f>_xlfn.XLOOKUP('data cleaned'!D137,products!$A$1:$A$49,products!$C$1:$C$49,0)</f>
        <v>L</v>
      </c>
      <c r="K137" s="5">
        <f>_xlfn.XLOOKUP('data cleaned'!D137,products!$A$1:$A$49,products!$D$1:$D$49,0)</f>
        <v>0.5</v>
      </c>
      <c r="L137" s="6">
        <f>_xlfn.XLOOKUP('data cleaned'!D137,products!$A$1:$A$49,products!$E$1:$E$49,0)</f>
        <v>7.77</v>
      </c>
      <c r="M137" s="6">
        <f>'data cleaned'!E137*'data cleaned'!L137</f>
        <v>38.849999999999994</v>
      </c>
      <c r="N137" t="str">
        <f t="shared" si="4"/>
        <v>Arabica</v>
      </c>
      <c r="O137" t="str">
        <f t="shared" si="5"/>
        <v>Light</v>
      </c>
      <c r="P137" t="str">
        <f>_xlfn.XLOOKUP(worksheet[[#This Row],[Customer ID]],customers!$A$1:$A$1001,customers!$I$1:$I$1001,0)</f>
        <v>Yes</v>
      </c>
    </row>
    <row r="138" spans="1:16" x14ac:dyDescent="0.25">
      <c r="A138" s="2" t="s">
        <v>1255</v>
      </c>
      <c r="B138" s="4">
        <v>44406</v>
      </c>
      <c r="C138" s="2" t="s">
        <v>1256</v>
      </c>
      <c r="D138" t="s">
        <v>6154</v>
      </c>
      <c r="E138" s="2">
        <v>4</v>
      </c>
      <c r="F138" s="2" t="str">
        <f>_xlfn.XLOOKUP(C138,customers!$A$1:$A$1001,customers!$B$1:$B$1001,0)</f>
        <v>Lowell Keenleyside</v>
      </c>
      <c r="G138" s="2" t="s">
        <v>1258</v>
      </c>
      <c r="H138" s="2" t="str">
        <f>_xlfn.XLOOKUP(C138,customers!$A$1:$A$1001,customers!$G$1:$G$1001,0)</f>
        <v>United States</v>
      </c>
      <c r="I138" t="str">
        <f>_xlfn.XLOOKUP(D138,products!$A$1:$A$49,products!$B$1:$B$49,0)</f>
        <v>Ara</v>
      </c>
      <c r="J138" t="str">
        <f>_xlfn.XLOOKUP('data cleaned'!D138,products!$A$1:$A$49,products!$C$1:$C$49,0)</f>
        <v>D</v>
      </c>
      <c r="K138" s="5">
        <f>_xlfn.XLOOKUP('data cleaned'!D138,products!$A$1:$A$49,products!$D$1:$D$49,0)</f>
        <v>0.2</v>
      </c>
      <c r="L138" s="6">
        <f>_xlfn.XLOOKUP('data cleaned'!D138,products!$A$1:$A$49,products!$E$1:$E$49,0)</f>
        <v>2.9849999999999999</v>
      </c>
      <c r="M138" s="6">
        <f>'data cleaned'!E138*'data cleaned'!L138</f>
        <v>11.94</v>
      </c>
      <c r="N138" t="str">
        <f t="shared" si="4"/>
        <v>Arabica</v>
      </c>
      <c r="O138" t="str">
        <f t="shared" si="5"/>
        <v>Dark</v>
      </c>
      <c r="P138" t="str">
        <f>_xlfn.XLOOKUP(worksheet[[#This Row],[Customer ID]],customers!$A$1:$A$1001,customers!$I$1:$I$1001,0)</f>
        <v>No</v>
      </c>
    </row>
    <row r="139" spans="1:16" x14ac:dyDescent="0.25">
      <c r="A139" s="2" t="s">
        <v>1261</v>
      </c>
      <c r="B139" s="4">
        <v>44637</v>
      </c>
      <c r="C139" s="2" t="s">
        <v>1262</v>
      </c>
      <c r="D139" t="s">
        <v>6148</v>
      </c>
      <c r="E139" s="2">
        <v>3</v>
      </c>
      <c r="F139" s="2" t="str">
        <f>_xlfn.XLOOKUP(C139,customers!$A$1:$A$1001,customers!$B$1:$B$1001,0)</f>
        <v>Elonore Joliffe</v>
      </c>
      <c r="G139" s="2" t="s">
        <v>6222</v>
      </c>
      <c r="H139" s="2" t="str">
        <f>_xlfn.XLOOKUP(C139,customers!$A$1:$A$1001,customers!$G$1:$G$1001,0)</f>
        <v>Ireland</v>
      </c>
      <c r="I139" t="str">
        <f>_xlfn.XLOOKUP(D139,products!$A$1:$A$49,products!$B$1:$B$49,0)</f>
        <v>Exc</v>
      </c>
      <c r="J139" t="str">
        <f>_xlfn.XLOOKUP('data cleaned'!D139,products!$A$1:$A$49,products!$C$1:$C$49,0)</f>
        <v>L</v>
      </c>
      <c r="K139" s="5">
        <f>_xlfn.XLOOKUP('data cleaned'!D139,products!$A$1:$A$49,products!$D$1:$D$49,0)</f>
        <v>2.5</v>
      </c>
      <c r="L139" s="6">
        <f>_xlfn.XLOOKUP('data cleaned'!D139,products!$A$1:$A$49,products!$E$1:$E$49,0)</f>
        <v>34.154999999999994</v>
      </c>
      <c r="M139" s="6">
        <f>'data cleaned'!E139*'data cleaned'!L139</f>
        <v>102.46499999999997</v>
      </c>
      <c r="N139" t="str">
        <f t="shared" si="4"/>
        <v>Excelsa</v>
      </c>
      <c r="O139" t="str">
        <f t="shared" si="5"/>
        <v>Light</v>
      </c>
      <c r="P139" t="str">
        <f>_xlfn.XLOOKUP(worksheet[[#This Row],[Customer ID]],customers!$A$1:$A$1001,customers!$I$1:$I$1001,0)</f>
        <v>No</v>
      </c>
    </row>
    <row r="140" spans="1:16" x14ac:dyDescent="0.25">
      <c r="A140" s="2" t="s">
        <v>1266</v>
      </c>
      <c r="B140" s="4">
        <v>44238</v>
      </c>
      <c r="C140" s="2" t="s">
        <v>1267</v>
      </c>
      <c r="D140" t="s">
        <v>6183</v>
      </c>
      <c r="E140" s="2">
        <v>4</v>
      </c>
      <c r="F140" s="2" t="str">
        <f>_xlfn.XLOOKUP(C140,customers!$A$1:$A$1001,customers!$B$1:$B$1001,0)</f>
        <v>Abraham Coleman</v>
      </c>
      <c r="G140" s="2" t="s">
        <v>6222</v>
      </c>
      <c r="H140" s="2" t="str">
        <f>_xlfn.XLOOKUP(C140,customers!$A$1:$A$1001,customers!$G$1:$G$1001,0)</f>
        <v>United States</v>
      </c>
      <c r="I140" t="str">
        <f>_xlfn.XLOOKUP(D140,products!$A$1:$A$49,products!$B$1:$B$49,0)</f>
        <v>Exc</v>
      </c>
      <c r="J140" t="str">
        <f>_xlfn.XLOOKUP('data cleaned'!D140,products!$A$1:$A$49,products!$C$1:$C$49,0)</f>
        <v>D</v>
      </c>
      <c r="K140" s="5">
        <f>_xlfn.XLOOKUP('data cleaned'!D140,products!$A$1:$A$49,products!$D$1:$D$49,0)</f>
        <v>1</v>
      </c>
      <c r="L140" s="6">
        <f>_xlfn.XLOOKUP('data cleaned'!D140,products!$A$1:$A$49,products!$E$1:$E$49,0)</f>
        <v>12.15</v>
      </c>
      <c r="M140" s="6">
        <f>'data cleaned'!E140*'data cleaned'!L140</f>
        <v>48.6</v>
      </c>
      <c r="N140" t="str">
        <f t="shared" si="4"/>
        <v>Excelsa</v>
      </c>
      <c r="O140" t="str">
        <f t="shared" si="5"/>
        <v>Dark</v>
      </c>
      <c r="P140" t="str">
        <f>_xlfn.XLOOKUP(worksheet[[#This Row],[Customer ID]],customers!$A$1:$A$1001,customers!$I$1:$I$1001,0)</f>
        <v>No</v>
      </c>
    </row>
    <row r="141" spans="1:16" x14ac:dyDescent="0.25">
      <c r="A141" s="2" t="s">
        <v>1271</v>
      </c>
      <c r="B141" s="4">
        <v>43509</v>
      </c>
      <c r="C141" s="2" t="s">
        <v>1272</v>
      </c>
      <c r="D141" t="s">
        <v>6143</v>
      </c>
      <c r="E141" s="2">
        <v>6</v>
      </c>
      <c r="F141" s="2" t="str">
        <f>_xlfn.XLOOKUP(C141,customers!$A$1:$A$1001,customers!$B$1:$B$1001,0)</f>
        <v>Rivy Farington</v>
      </c>
      <c r="G141" s="2" t="s">
        <v>6222</v>
      </c>
      <c r="H141" s="2" t="str">
        <f>_xlfn.XLOOKUP(C141,customers!$A$1:$A$1001,customers!$G$1:$G$1001,0)</f>
        <v>United States</v>
      </c>
      <c r="I141" t="str">
        <f>_xlfn.XLOOKUP(D141,products!$A$1:$A$49,products!$B$1:$B$49,0)</f>
        <v>Lib</v>
      </c>
      <c r="J141" t="str">
        <f>_xlfn.XLOOKUP('data cleaned'!D141,products!$A$1:$A$49,products!$C$1:$C$49,0)</f>
        <v>D</v>
      </c>
      <c r="K141" s="5">
        <f>_xlfn.XLOOKUP('data cleaned'!D141,products!$A$1:$A$49,products!$D$1:$D$49,0)</f>
        <v>1</v>
      </c>
      <c r="L141" s="6">
        <f>_xlfn.XLOOKUP('data cleaned'!D141,products!$A$1:$A$49,products!$E$1:$E$49,0)</f>
        <v>12.95</v>
      </c>
      <c r="M141" s="6">
        <f>'data cleaned'!E141*'data cleaned'!L141</f>
        <v>77.699999999999989</v>
      </c>
      <c r="N141" t="str">
        <f t="shared" si="4"/>
        <v>Liberica</v>
      </c>
      <c r="O141" t="str">
        <f t="shared" si="5"/>
        <v>Dark</v>
      </c>
      <c r="P141" t="str">
        <f>_xlfn.XLOOKUP(worksheet[[#This Row],[Customer ID]],customers!$A$1:$A$1001,customers!$I$1:$I$1001,0)</f>
        <v>Yes</v>
      </c>
    </row>
    <row r="142" spans="1:16" x14ac:dyDescent="0.25">
      <c r="A142" s="2" t="s">
        <v>1276</v>
      </c>
      <c r="B142" s="4">
        <v>44694</v>
      </c>
      <c r="C142" s="2" t="s">
        <v>1277</v>
      </c>
      <c r="D142" t="s">
        <v>6165</v>
      </c>
      <c r="E142" s="2">
        <v>1</v>
      </c>
      <c r="F142" s="2" t="str">
        <f>_xlfn.XLOOKUP(C142,customers!$A$1:$A$1001,customers!$B$1:$B$1001,0)</f>
        <v>Vallie Kundt</v>
      </c>
      <c r="G142" s="2" t="s">
        <v>1279</v>
      </c>
      <c r="H142" s="2" t="str">
        <f>_xlfn.XLOOKUP(C142,customers!$A$1:$A$1001,customers!$G$1:$G$1001,0)</f>
        <v>Ireland</v>
      </c>
      <c r="I142" t="str">
        <f>_xlfn.XLOOKUP(D142,products!$A$1:$A$49,products!$B$1:$B$49,0)</f>
        <v>Lib</v>
      </c>
      <c r="J142" t="str">
        <f>_xlfn.XLOOKUP('data cleaned'!D142,products!$A$1:$A$49,products!$C$1:$C$49,0)</f>
        <v>D</v>
      </c>
      <c r="K142" s="5">
        <f>_xlfn.XLOOKUP('data cleaned'!D142,products!$A$1:$A$49,products!$D$1:$D$49,0)</f>
        <v>2.5</v>
      </c>
      <c r="L142" s="6">
        <f>_xlfn.XLOOKUP('data cleaned'!D142,products!$A$1:$A$49,products!$E$1:$E$49,0)</f>
        <v>29.784999999999997</v>
      </c>
      <c r="M142" s="6">
        <f>'data cleaned'!E142*'data cleaned'!L142</f>
        <v>29.784999999999997</v>
      </c>
      <c r="N142" t="str">
        <f t="shared" si="4"/>
        <v>Liberica</v>
      </c>
      <c r="O142" t="str">
        <f t="shared" si="5"/>
        <v>Dark</v>
      </c>
      <c r="P142" t="str">
        <f>_xlfn.XLOOKUP(worksheet[[#This Row],[Customer ID]],customers!$A$1:$A$1001,customers!$I$1:$I$1001,0)</f>
        <v>Yes</v>
      </c>
    </row>
    <row r="143" spans="1:16" x14ac:dyDescent="0.25">
      <c r="A143" s="2" t="s">
        <v>1283</v>
      </c>
      <c r="B143" s="4">
        <v>43970</v>
      </c>
      <c r="C143" s="2" t="s">
        <v>1284</v>
      </c>
      <c r="D143" t="s">
        <v>6167</v>
      </c>
      <c r="E143" s="2">
        <v>4</v>
      </c>
      <c r="F143" s="2" t="str">
        <f>_xlfn.XLOOKUP(C143,customers!$A$1:$A$1001,customers!$B$1:$B$1001,0)</f>
        <v>Boyd Bett</v>
      </c>
      <c r="G143" s="2" t="s">
        <v>1286</v>
      </c>
      <c r="H143" s="2" t="str">
        <f>_xlfn.XLOOKUP(C143,customers!$A$1:$A$1001,customers!$G$1:$G$1001,0)</f>
        <v>United States</v>
      </c>
      <c r="I143" t="str">
        <f>_xlfn.XLOOKUP(D143,products!$A$1:$A$49,products!$B$1:$B$49,0)</f>
        <v>Ara</v>
      </c>
      <c r="J143" t="str">
        <f>_xlfn.XLOOKUP('data cleaned'!D143,products!$A$1:$A$49,products!$C$1:$C$49,0)</f>
        <v>L</v>
      </c>
      <c r="K143" s="5">
        <f>_xlfn.XLOOKUP('data cleaned'!D143,products!$A$1:$A$49,products!$D$1:$D$49,0)</f>
        <v>0.2</v>
      </c>
      <c r="L143" s="6">
        <f>_xlfn.XLOOKUP('data cleaned'!D143,products!$A$1:$A$49,products!$E$1:$E$49,0)</f>
        <v>3.8849999999999998</v>
      </c>
      <c r="M143" s="6">
        <f>'data cleaned'!E143*'data cleaned'!L143</f>
        <v>15.54</v>
      </c>
      <c r="N143" t="str">
        <f t="shared" si="4"/>
        <v>Arabica</v>
      </c>
      <c r="O143" t="str">
        <f t="shared" si="5"/>
        <v>Light</v>
      </c>
      <c r="P143" t="str">
        <f>_xlfn.XLOOKUP(worksheet[[#This Row],[Customer ID]],customers!$A$1:$A$1001,customers!$I$1:$I$1001,0)</f>
        <v>Yes</v>
      </c>
    </row>
    <row r="144" spans="1:16" x14ac:dyDescent="0.25">
      <c r="A144" s="2" t="s">
        <v>1289</v>
      </c>
      <c r="B144" s="4">
        <v>44678</v>
      </c>
      <c r="C144" s="2" t="s">
        <v>1290</v>
      </c>
      <c r="D144" t="s">
        <v>6148</v>
      </c>
      <c r="E144" s="2">
        <v>4</v>
      </c>
      <c r="F144" s="2" t="str">
        <f>_xlfn.XLOOKUP(C144,customers!$A$1:$A$1001,customers!$B$1:$B$1001,0)</f>
        <v>Julio Armytage</v>
      </c>
      <c r="G144" s="2" t="s">
        <v>6222</v>
      </c>
      <c r="H144" s="2" t="str">
        <f>_xlfn.XLOOKUP(C144,customers!$A$1:$A$1001,customers!$G$1:$G$1001,0)</f>
        <v>Ireland</v>
      </c>
      <c r="I144" t="str">
        <f>_xlfn.XLOOKUP(D144,products!$A$1:$A$49,products!$B$1:$B$49,0)</f>
        <v>Exc</v>
      </c>
      <c r="J144" t="str">
        <f>_xlfn.XLOOKUP('data cleaned'!D144,products!$A$1:$A$49,products!$C$1:$C$49,0)</f>
        <v>L</v>
      </c>
      <c r="K144" s="5">
        <f>_xlfn.XLOOKUP('data cleaned'!D144,products!$A$1:$A$49,products!$D$1:$D$49,0)</f>
        <v>2.5</v>
      </c>
      <c r="L144" s="6">
        <f>_xlfn.XLOOKUP('data cleaned'!D144,products!$A$1:$A$49,products!$E$1:$E$49,0)</f>
        <v>34.154999999999994</v>
      </c>
      <c r="M144" s="6">
        <f>'data cleaned'!E144*'data cleaned'!L144</f>
        <v>136.61999999999998</v>
      </c>
      <c r="N144" t="str">
        <f t="shared" si="4"/>
        <v>Excelsa</v>
      </c>
      <c r="O144" t="str">
        <f t="shared" si="5"/>
        <v>Light</v>
      </c>
      <c r="P144" t="str">
        <f>_xlfn.XLOOKUP(worksheet[[#This Row],[Customer ID]],customers!$A$1:$A$1001,customers!$I$1:$I$1001,0)</f>
        <v>Yes</v>
      </c>
    </row>
    <row r="145" spans="1:16" x14ac:dyDescent="0.25">
      <c r="A145" s="2" t="s">
        <v>1293</v>
      </c>
      <c r="B145" s="4">
        <v>44083</v>
      </c>
      <c r="C145" s="2" t="s">
        <v>1294</v>
      </c>
      <c r="D145" t="s">
        <v>6160</v>
      </c>
      <c r="E145" s="2">
        <v>2</v>
      </c>
      <c r="F145" s="2" t="str">
        <f>_xlfn.XLOOKUP(C145,customers!$A$1:$A$1001,customers!$B$1:$B$1001,0)</f>
        <v>Deana Staite</v>
      </c>
      <c r="G145" s="2" t="s">
        <v>1296</v>
      </c>
      <c r="H145" s="2" t="str">
        <f>_xlfn.XLOOKUP(C145,customers!$A$1:$A$1001,customers!$G$1:$G$1001,0)</f>
        <v>United States</v>
      </c>
      <c r="I145" t="str">
        <f>_xlfn.XLOOKUP(D145,products!$A$1:$A$49,products!$B$1:$B$49,0)</f>
        <v>Lib</v>
      </c>
      <c r="J145" t="str">
        <f>_xlfn.XLOOKUP('data cleaned'!D145,products!$A$1:$A$49,products!$C$1:$C$49,0)</f>
        <v>M</v>
      </c>
      <c r="K145" s="5">
        <f>_xlfn.XLOOKUP('data cleaned'!D145,products!$A$1:$A$49,products!$D$1:$D$49,0)</f>
        <v>0.5</v>
      </c>
      <c r="L145" s="6">
        <f>_xlfn.XLOOKUP('data cleaned'!D145,products!$A$1:$A$49,products!$E$1:$E$49,0)</f>
        <v>8.73</v>
      </c>
      <c r="M145" s="6">
        <f>'data cleaned'!E145*'data cleaned'!L145</f>
        <v>17.46</v>
      </c>
      <c r="N145" t="str">
        <f t="shared" si="4"/>
        <v>Liberica</v>
      </c>
      <c r="O145" t="str">
        <f t="shared" si="5"/>
        <v>Medium</v>
      </c>
      <c r="P145" t="str">
        <f>_xlfn.XLOOKUP(worksheet[[#This Row],[Customer ID]],customers!$A$1:$A$1001,customers!$I$1:$I$1001,0)</f>
        <v>No</v>
      </c>
    </row>
    <row r="146" spans="1:16" x14ac:dyDescent="0.25">
      <c r="A146" s="2" t="s">
        <v>1299</v>
      </c>
      <c r="B146" s="4">
        <v>44265</v>
      </c>
      <c r="C146" s="2" t="s">
        <v>1300</v>
      </c>
      <c r="D146" t="s">
        <v>6148</v>
      </c>
      <c r="E146" s="2">
        <v>2</v>
      </c>
      <c r="F146" s="2" t="str">
        <f>_xlfn.XLOOKUP(C146,customers!$A$1:$A$1001,customers!$B$1:$B$1001,0)</f>
        <v>Winn Keyse</v>
      </c>
      <c r="G146" s="2" t="s">
        <v>1302</v>
      </c>
      <c r="H146" s="2" t="str">
        <f>_xlfn.XLOOKUP(C146,customers!$A$1:$A$1001,customers!$G$1:$G$1001,0)</f>
        <v>United States</v>
      </c>
      <c r="I146" t="str">
        <f>_xlfn.XLOOKUP(D146,products!$A$1:$A$49,products!$B$1:$B$49,0)</f>
        <v>Exc</v>
      </c>
      <c r="J146" t="str">
        <f>_xlfn.XLOOKUP('data cleaned'!D146,products!$A$1:$A$49,products!$C$1:$C$49,0)</f>
        <v>L</v>
      </c>
      <c r="K146" s="5">
        <f>_xlfn.XLOOKUP('data cleaned'!D146,products!$A$1:$A$49,products!$D$1:$D$49,0)</f>
        <v>2.5</v>
      </c>
      <c r="L146" s="6">
        <f>_xlfn.XLOOKUP('data cleaned'!D146,products!$A$1:$A$49,products!$E$1:$E$49,0)</f>
        <v>34.154999999999994</v>
      </c>
      <c r="M146" s="6">
        <f>'data cleaned'!E146*'data cleaned'!L146</f>
        <v>68.309999999999988</v>
      </c>
      <c r="N146" t="str">
        <f t="shared" si="4"/>
        <v>Excelsa</v>
      </c>
      <c r="O146" t="str">
        <f t="shared" si="5"/>
        <v>Light</v>
      </c>
      <c r="P146" t="str">
        <f>_xlfn.XLOOKUP(worksheet[[#This Row],[Customer ID]],customers!$A$1:$A$1001,customers!$I$1:$I$1001,0)</f>
        <v>Yes</v>
      </c>
    </row>
    <row r="147" spans="1:16" x14ac:dyDescent="0.25">
      <c r="A147" s="2" t="s">
        <v>1305</v>
      </c>
      <c r="B147" s="4">
        <v>43562</v>
      </c>
      <c r="C147" s="2" t="s">
        <v>1306</v>
      </c>
      <c r="D147" t="s">
        <v>6159</v>
      </c>
      <c r="E147" s="2">
        <v>4</v>
      </c>
      <c r="F147" s="2" t="str">
        <f>_xlfn.XLOOKUP(C147,customers!$A$1:$A$1001,customers!$B$1:$B$1001,0)</f>
        <v>Osmund Clausen-Thue</v>
      </c>
      <c r="G147" s="2" t="s">
        <v>1308</v>
      </c>
      <c r="H147" s="2" t="str">
        <f>_xlfn.XLOOKUP(C147,customers!$A$1:$A$1001,customers!$G$1:$G$1001,0)</f>
        <v>United States</v>
      </c>
      <c r="I147" t="str">
        <f>_xlfn.XLOOKUP(D147,products!$A$1:$A$49,products!$B$1:$B$49,0)</f>
        <v>Lib</v>
      </c>
      <c r="J147" t="str">
        <f>_xlfn.XLOOKUP('data cleaned'!D147,products!$A$1:$A$49,products!$C$1:$C$49,0)</f>
        <v>M</v>
      </c>
      <c r="K147" s="5">
        <f>_xlfn.XLOOKUP('data cleaned'!D147,products!$A$1:$A$49,products!$D$1:$D$49,0)</f>
        <v>0.2</v>
      </c>
      <c r="L147" s="6">
        <f>_xlfn.XLOOKUP('data cleaned'!D147,products!$A$1:$A$49,products!$E$1:$E$49,0)</f>
        <v>4.3650000000000002</v>
      </c>
      <c r="M147" s="6">
        <f>'data cleaned'!E147*'data cleaned'!L147</f>
        <v>17.46</v>
      </c>
      <c r="N147" t="str">
        <f t="shared" si="4"/>
        <v>Liberica</v>
      </c>
      <c r="O147" t="str">
        <f t="shared" si="5"/>
        <v>Medium</v>
      </c>
      <c r="P147" t="str">
        <f>_xlfn.XLOOKUP(worksheet[[#This Row],[Customer ID]],customers!$A$1:$A$1001,customers!$I$1:$I$1001,0)</f>
        <v>No</v>
      </c>
    </row>
    <row r="148" spans="1:16" x14ac:dyDescent="0.25">
      <c r="A148" s="2" t="s">
        <v>1311</v>
      </c>
      <c r="B148" s="4">
        <v>44024</v>
      </c>
      <c r="C148" s="2" t="s">
        <v>1312</v>
      </c>
      <c r="D148" t="s">
        <v>6162</v>
      </c>
      <c r="E148" s="2">
        <v>3</v>
      </c>
      <c r="F148" s="2" t="str">
        <f>_xlfn.XLOOKUP(C148,customers!$A$1:$A$1001,customers!$B$1:$B$1001,0)</f>
        <v>Leonore Francisco</v>
      </c>
      <c r="G148" s="2" t="s">
        <v>1314</v>
      </c>
      <c r="H148" s="2" t="str">
        <f>_xlfn.XLOOKUP(C148,customers!$A$1:$A$1001,customers!$G$1:$G$1001,0)</f>
        <v>United States</v>
      </c>
      <c r="I148" t="str">
        <f>_xlfn.XLOOKUP(D148,products!$A$1:$A$49,products!$B$1:$B$49,0)</f>
        <v>Lib</v>
      </c>
      <c r="J148" t="str">
        <f>_xlfn.XLOOKUP('data cleaned'!D148,products!$A$1:$A$49,products!$C$1:$C$49,0)</f>
        <v>M</v>
      </c>
      <c r="K148" s="5">
        <f>_xlfn.XLOOKUP('data cleaned'!D148,products!$A$1:$A$49,products!$D$1:$D$49,0)</f>
        <v>1</v>
      </c>
      <c r="L148" s="6">
        <f>_xlfn.XLOOKUP('data cleaned'!D148,products!$A$1:$A$49,products!$E$1:$E$49,0)</f>
        <v>14.55</v>
      </c>
      <c r="M148" s="6">
        <f>'data cleaned'!E148*'data cleaned'!L148</f>
        <v>43.650000000000006</v>
      </c>
      <c r="N148" t="str">
        <f t="shared" si="4"/>
        <v>Liberica</v>
      </c>
      <c r="O148" t="str">
        <f t="shared" si="5"/>
        <v>Medium</v>
      </c>
      <c r="P148" t="str">
        <f>_xlfn.XLOOKUP(worksheet[[#This Row],[Customer ID]],customers!$A$1:$A$1001,customers!$I$1:$I$1001,0)</f>
        <v>No</v>
      </c>
    </row>
    <row r="149" spans="1:16" x14ac:dyDescent="0.25">
      <c r="A149" s="2" t="s">
        <v>1311</v>
      </c>
      <c r="B149" s="4">
        <v>44024</v>
      </c>
      <c r="C149" s="2" t="s">
        <v>1312</v>
      </c>
      <c r="D149" t="s">
        <v>6141</v>
      </c>
      <c r="E149" s="2">
        <v>2</v>
      </c>
      <c r="F149" s="2" t="str">
        <f>_xlfn.XLOOKUP(C149,customers!$A$1:$A$1001,customers!$B$1:$B$1001,0)</f>
        <v>Leonore Francisco</v>
      </c>
      <c r="G149" s="2" t="s">
        <v>1314</v>
      </c>
      <c r="H149" s="2" t="str">
        <f>_xlfn.XLOOKUP(C149,customers!$A$1:$A$1001,customers!$G$1:$G$1001,0)</f>
        <v>United States</v>
      </c>
      <c r="I149" t="str">
        <f>_xlfn.XLOOKUP(D149,products!$A$1:$A$49,products!$B$1:$B$49,0)</f>
        <v>Exc</v>
      </c>
      <c r="J149" t="str">
        <f>_xlfn.XLOOKUP('data cleaned'!D149,products!$A$1:$A$49,products!$C$1:$C$49,0)</f>
        <v>M</v>
      </c>
      <c r="K149" s="5">
        <f>_xlfn.XLOOKUP('data cleaned'!D149,products!$A$1:$A$49,products!$D$1:$D$49,0)</f>
        <v>1</v>
      </c>
      <c r="L149" s="6">
        <f>_xlfn.XLOOKUP('data cleaned'!D149,products!$A$1:$A$49,products!$E$1:$E$49,0)</f>
        <v>13.75</v>
      </c>
      <c r="M149" s="6">
        <f>'data cleaned'!E149*'data cleaned'!L149</f>
        <v>27.5</v>
      </c>
      <c r="N149" t="str">
        <f t="shared" si="4"/>
        <v>Excelsa</v>
      </c>
      <c r="O149" t="str">
        <f t="shared" si="5"/>
        <v>Medium</v>
      </c>
      <c r="P149" t="str">
        <f>_xlfn.XLOOKUP(worksheet[[#This Row],[Customer ID]],customers!$A$1:$A$1001,customers!$I$1:$I$1001,0)</f>
        <v>No</v>
      </c>
    </row>
    <row r="150" spans="1:16" x14ac:dyDescent="0.25">
      <c r="A150" s="2" t="s">
        <v>1322</v>
      </c>
      <c r="B150" s="4">
        <v>44551</v>
      </c>
      <c r="C150" s="2" t="s">
        <v>1323</v>
      </c>
      <c r="D150" t="s">
        <v>6153</v>
      </c>
      <c r="E150" s="2">
        <v>5</v>
      </c>
      <c r="F150" s="2" t="str">
        <f>_xlfn.XLOOKUP(C150,customers!$A$1:$A$1001,customers!$B$1:$B$1001,0)</f>
        <v>Giacobo Skingle</v>
      </c>
      <c r="G150" s="2" t="s">
        <v>1325</v>
      </c>
      <c r="H150" s="2" t="str">
        <f>_xlfn.XLOOKUP(C150,customers!$A$1:$A$1001,customers!$G$1:$G$1001,0)</f>
        <v>United States</v>
      </c>
      <c r="I150" t="str">
        <f>_xlfn.XLOOKUP(D150,products!$A$1:$A$49,products!$B$1:$B$49,0)</f>
        <v>Exc</v>
      </c>
      <c r="J150" t="str">
        <f>_xlfn.XLOOKUP('data cleaned'!D150,products!$A$1:$A$49,products!$C$1:$C$49,0)</f>
        <v>D</v>
      </c>
      <c r="K150" s="5">
        <f>_xlfn.XLOOKUP('data cleaned'!D150,products!$A$1:$A$49,products!$D$1:$D$49,0)</f>
        <v>0.2</v>
      </c>
      <c r="L150" s="6">
        <f>_xlfn.XLOOKUP('data cleaned'!D150,products!$A$1:$A$49,products!$E$1:$E$49,0)</f>
        <v>3.645</v>
      </c>
      <c r="M150" s="6">
        <f>'data cleaned'!E150*'data cleaned'!L150</f>
        <v>18.225000000000001</v>
      </c>
      <c r="N150" t="str">
        <f t="shared" si="4"/>
        <v>Excelsa</v>
      </c>
      <c r="O150" t="str">
        <f t="shared" si="5"/>
        <v>Dark</v>
      </c>
      <c r="P150" t="str">
        <f>_xlfn.XLOOKUP(worksheet[[#This Row],[Customer ID]],customers!$A$1:$A$1001,customers!$I$1:$I$1001,0)</f>
        <v>Yes</v>
      </c>
    </row>
    <row r="151" spans="1:16" x14ac:dyDescent="0.25">
      <c r="A151" s="2" t="s">
        <v>1328</v>
      </c>
      <c r="B151" s="4">
        <v>44108</v>
      </c>
      <c r="C151" s="2" t="s">
        <v>1329</v>
      </c>
      <c r="D151" t="s">
        <v>6175</v>
      </c>
      <c r="E151" s="2">
        <v>2</v>
      </c>
      <c r="F151" s="2" t="str">
        <f>_xlfn.XLOOKUP(C151,customers!$A$1:$A$1001,customers!$B$1:$B$1001,0)</f>
        <v>Gerard Pirdy</v>
      </c>
      <c r="G151" s="2" t="s">
        <v>6222</v>
      </c>
      <c r="H151" s="2" t="str">
        <f>_xlfn.XLOOKUP(C151,customers!$A$1:$A$1001,customers!$G$1:$G$1001,0)</f>
        <v>United States</v>
      </c>
      <c r="I151" t="str">
        <f>_xlfn.XLOOKUP(D151,products!$A$1:$A$49,products!$B$1:$B$49,0)</f>
        <v>Ara</v>
      </c>
      <c r="J151" t="str">
        <f>_xlfn.XLOOKUP('data cleaned'!D151,products!$A$1:$A$49,products!$C$1:$C$49,0)</f>
        <v>M</v>
      </c>
      <c r="K151" s="5">
        <f>_xlfn.XLOOKUP('data cleaned'!D151,products!$A$1:$A$49,products!$D$1:$D$49,0)</f>
        <v>2.5</v>
      </c>
      <c r="L151" s="6">
        <f>_xlfn.XLOOKUP('data cleaned'!D151,products!$A$1:$A$49,products!$E$1:$E$49,0)</f>
        <v>25.874999999999996</v>
      </c>
      <c r="M151" s="6">
        <f>'data cleaned'!E151*'data cleaned'!L151</f>
        <v>51.749999999999993</v>
      </c>
      <c r="N151" t="str">
        <f t="shared" si="4"/>
        <v>Arabica</v>
      </c>
      <c r="O151" t="str">
        <f t="shared" si="5"/>
        <v>Medium</v>
      </c>
      <c r="P151" t="str">
        <f>_xlfn.XLOOKUP(worksheet[[#This Row],[Customer ID]],customers!$A$1:$A$1001,customers!$I$1:$I$1001,0)</f>
        <v>Yes</v>
      </c>
    </row>
    <row r="152" spans="1:16" x14ac:dyDescent="0.25">
      <c r="A152" s="2" t="s">
        <v>1333</v>
      </c>
      <c r="B152" s="4">
        <v>44051</v>
      </c>
      <c r="C152" s="2" t="s">
        <v>1334</v>
      </c>
      <c r="D152" t="s">
        <v>6143</v>
      </c>
      <c r="E152" s="2">
        <v>1</v>
      </c>
      <c r="F152" s="2" t="str">
        <f>_xlfn.XLOOKUP(C152,customers!$A$1:$A$1001,customers!$B$1:$B$1001,0)</f>
        <v>Jacinthe Balsillie</v>
      </c>
      <c r="G152" s="2" t="s">
        <v>1336</v>
      </c>
      <c r="H152" s="2" t="str">
        <f>_xlfn.XLOOKUP(C152,customers!$A$1:$A$1001,customers!$G$1:$G$1001,0)</f>
        <v>United States</v>
      </c>
      <c r="I152" t="str">
        <f>_xlfn.XLOOKUP(D152,products!$A$1:$A$49,products!$B$1:$B$49,0)</f>
        <v>Lib</v>
      </c>
      <c r="J152" t="str">
        <f>_xlfn.XLOOKUP('data cleaned'!D152,products!$A$1:$A$49,products!$C$1:$C$49,0)</f>
        <v>D</v>
      </c>
      <c r="K152" s="5">
        <f>_xlfn.XLOOKUP('data cleaned'!D152,products!$A$1:$A$49,products!$D$1:$D$49,0)</f>
        <v>1</v>
      </c>
      <c r="L152" s="6">
        <f>_xlfn.XLOOKUP('data cleaned'!D152,products!$A$1:$A$49,products!$E$1:$E$49,0)</f>
        <v>12.95</v>
      </c>
      <c r="M152" s="6">
        <f>'data cleaned'!E152*'data cleaned'!L152</f>
        <v>12.95</v>
      </c>
      <c r="N152" t="str">
        <f t="shared" si="4"/>
        <v>Liberica</v>
      </c>
      <c r="O152" t="str">
        <f t="shared" si="5"/>
        <v>Dark</v>
      </c>
      <c r="P152" t="str">
        <f>_xlfn.XLOOKUP(worksheet[[#This Row],[Customer ID]],customers!$A$1:$A$1001,customers!$I$1:$I$1001,0)</f>
        <v>Yes</v>
      </c>
    </row>
    <row r="153" spans="1:16" x14ac:dyDescent="0.25">
      <c r="A153" s="2" t="s">
        <v>1339</v>
      </c>
      <c r="B153" s="4">
        <v>44115</v>
      </c>
      <c r="C153" s="2" t="s">
        <v>1340</v>
      </c>
      <c r="D153" t="s">
        <v>6155</v>
      </c>
      <c r="E153" s="2">
        <v>3</v>
      </c>
      <c r="F153" s="2" t="str">
        <f>_xlfn.XLOOKUP(C153,customers!$A$1:$A$1001,customers!$B$1:$B$1001,0)</f>
        <v>Quinton Fouracres</v>
      </c>
      <c r="G153" s="2" t="s">
        <v>6222</v>
      </c>
      <c r="H153" s="2" t="str">
        <f>_xlfn.XLOOKUP(C153,customers!$A$1:$A$1001,customers!$G$1:$G$1001,0)</f>
        <v>United States</v>
      </c>
      <c r="I153" t="str">
        <f>_xlfn.XLOOKUP(D153,products!$A$1:$A$49,products!$B$1:$B$49,0)</f>
        <v>Ara</v>
      </c>
      <c r="J153" t="str">
        <f>_xlfn.XLOOKUP('data cleaned'!D153,products!$A$1:$A$49,products!$C$1:$C$49,0)</f>
        <v>M</v>
      </c>
      <c r="K153" s="5">
        <f>_xlfn.XLOOKUP('data cleaned'!D153,products!$A$1:$A$49,products!$D$1:$D$49,0)</f>
        <v>1</v>
      </c>
      <c r="L153" s="6">
        <f>_xlfn.XLOOKUP('data cleaned'!D153,products!$A$1:$A$49,products!$E$1:$E$49,0)</f>
        <v>11.25</v>
      </c>
      <c r="M153" s="6">
        <f>'data cleaned'!E153*'data cleaned'!L153</f>
        <v>33.75</v>
      </c>
      <c r="N153" t="str">
        <f t="shared" si="4"/>
        <v>Arabica</v>
      </c>
      <c r="O153" t="str">
        <f t="shared" si="5"/>
        <v>Medium</v>
      </c>
      <c r="P153" t="str">
        <f>_xlfn.XLOOKUP(worksheet[[#This Row],[Customer ID]],customers!$A$1:$A$1001,customers!$I$1:$I$1001,0)</f>
        <v>Yes</v>
      </c>
    </row>
    <row r="154" spans="1:16" x14ac:dyDescent="0.25">
      <c r="A154" s="2" t="s">
        <v>1344</v>
      </c>
      <c r="B154" s="4">
        <v>44510</v>
      </c>
      <c r="C154" s="2" t="s">
        <v>1345</v>
      </c>
      <c r="D154" t="s">
        <v>6151</v>
      </c>
      <c r="E154" s="2">
        <v>3</v>
      </c>
      <c r="F154" s="2" t="str">
        <f>_xlfn.XLOOKUP(C154,customers!$A$1:$A$1001,customers!$B$1:$B$1001,0)</f>
        <v>Bettina Leffek</v>
      </c>
      <c r="G154" s="2" t="s">
        <v>1347</v>
      </c>
      <c r="H154" s="2" t="str">
        <f>_xlfn.XLOOKUP(C154,customers!$A$1:$A$1001,customers!$G$1:$G$1001,0)</f>
        <v>United States</v>
      </c>
      <c r="I154" t="str">
        <f>_xlfn.XLOOKUP(D154,products!$A$1:$A$49,products!$B$1:$B$49,0)</f>
        <v>Rob</v>
      </c>
      <c r="J154" t="str">
        <f>_xlfn.XLOOKUP('data cleaned'!D154,products!$A$1:$A$49,products!$C$1:$C$49,0)</f>
        <v>M</v>
      </c>
      <c r="K154" s="5">
        <f>_xlfn.XLOOKUP('data cleaned'!D154,products!$A$1:$A$49,products!$D$1:$D$49,0)</f>
        <v>2.5</v>
      </c>
      <c r="L154" s="6">
        <f>_xlfn.XLOOKUP('data cleaned'!D154,products!$A$1:$A$49,products!$E$1:$E$49,0)</f>
        <v>22.884999999999998</v>
      </c>
      <c r="M154" s="6">
        <f>'data cleaned'!E154*'data cleaned'!L154</f>
        <v>68.655000000000001</v>
      </c>
      <c r="N154" t="str">
        <f t="shared" si="4"/>
        <v>Robusta</v>
      </c>
      <c r="O154" t="str">
        <f t="shared" si="5"/>
        <v>Medium</v>
      </c>
      <c r="P154" t="str">
        <f>_xlfn.XLOOKUP(worksheet[[#This Row],[Customer ID]],customers!$A$1:$A$1001,customers!$I$1:$I$1001,0)</f>
        <v>Yes</v>
      </c>
    </row>
    <row r="155" spans="1:16" x14ac:dyDescent="0.25">
      <c r="A155" s="2" t="s">
        <v>1350</v>
      </c>
      <c r="B155" s="4">
        <v>44367</v>
      </c>
      <c r="C155" s="2" t="s">
        <v>1351</v>
      </c>
      <c r="D155" t="s">
        <v>6163</v>
      </c>
      <c r="E155" s="2">
        <v>1</v>
      </c>
      <c r="F155" s="2" t="str">
        <f>_xlfn.XLOOKUP(C155,customers!$A$1:$A$1001,customers!$B$1:$B$1001,0)</f>
        <v>Hetti Penson</v>
      </c>
      <c r="G155" s="2" t="s">
        <v>6222</v>
      </c>
      <c r="H155" s="2" t="str">
        <f>_xlfn.XLOOKUP(C155,customers!$A$1:$A$1001,customers!$G$1:$G$1001,0)</f>
        <v>United States</v>
      </c>
      <c r="I155" t="str">
        <f>_xlfn.XLOOKUP(D155,products!$A$1:$A$49,products!$B$1:$B$49,0)</f>
        <v>Rob</v>
      </c>
      <c r="J155" t="str">
        <f>_xlfn.XLOOKUP('data cleaned'!D155,products!$A$1:$A$49,products!$C$1:$C$49,0)</f>
        <v>D</v>
      </c>
      <c r="K155" s="5">
        <f>_xlfn.XLOOKUP('data cleaned'!D155,products!$A$1:$A$49,products!$D$1:$D$49,0)</f>
        <v>0.2</v>
      </c>
      <c r="L155" s="6">
        <f>_xlfn.XLOOKUP('data cleaned'!D155,products!$A$1:$A$49,products!$E$1:$E$49,0)</f>
        <v>2.6849999999999996</v>
      </c>
      <c r="M155" s="6">
        <f>'data cleaned'!E155*'data cleaned'!L155</f>
        <v>2.6849999999999996</v>
      </c>
      <c r="N155" t="str">
        <f t="shared" si="4"/>
        <v>Robusta</v>
      </c>
      <c r="O155" t="str">
        <f t="shared" si="5"/>
        <v>Dark</v>
      </c>
      <c r="P155" t="str">
        <f>_xlfn.XLOOKUP(worksheet[[#This Row],[Customer ID]],customers!$A$1:$A$1001,customers!$I$1:$I$1001,0)</f>
        <v>No</v>
      </c>
    </row>
    <row r="156" spans="1:16" x14ac:dyDescent="0.25">
      <c r="A156" s="2" t="s">
        <v>1355</v>
      </c>
      <c r="B156" s="4">
        <v>44473</v>
      </c>
      <c r="C156" s="2" t="s">
        <v>1356</v>
      </c>
      <c r="D156" t="s">
        <v>6168</v>
      </c>
      <c r="E156" s="2">
        <v>5</v>
      </c>
      <c r="F156" s="2" t="str">
        <f>_xlfn.XLOOKUP(C156,customers!$A$1:$A$1001,customers!$B$1:$B$1001,0)</f>
        <v>Jocko Pray</v>
      </c>
      <c r="G156" s="2" t="s">
        <v>1358</v>
      </c>
      <c r="H156" s="2" t="str">
        <f>_xlfn.XLOOKUP(C156,customers!$A$1:$A$1001,customers!$G$1:$G$1001,0)</f>
        <v>United States</v>
      </c>
      <c r="I156" t="str">
        <f>_xlfn.XLOOKUP(D156,products!$A$1:$A$49,products!$B$1:$B$49,0)</f>
        <v>Ara</v>
      </c>
      <c r="J156" t="str">
        <f>_xlfn.XLOOKUP('data cleaned'!D156,products!$A$1:$A$49,products!$C$1:$C$49,0)</f>
        <v>D</v>
      </c>
      <c r="K156" s="5">
        <f>_xlfn.XLOOKUP('data cleaned'!D156,products!$A$1:$A$49,products!$D$1:$D$49,0)</f>
        <v>2.5</v>
      </c>
      <c r="L156" s="6">
        <f>_xlfn.XLOOKUP('data cleaned'!D156,products!$A$1:$A$49,products!$E$1:$E$49,0)</f>
        <v>22.884999999999998</v>
      </c>
      <c r="M156" s="6">
        <f>'data cleaned'!E156*'data cleaned'!L156</f>
        <v>114.42499999999998</v>
      </c>
      <c r="N156" t="str">
        <f t="shared" si="4"/>
        <v>Arabica</v>
      </c>
      <c r="O156" t="str">
        <f t="shared" si="5"/>
        <v>Dark</v>
      </c>
      <c r="P156" t="str">
        <f>_xlfn.XLOOKUP(worksheet[[#This Row],[Customer ID]],customers!$A$1:$A$1001,customers!$I$1:$I$1001,0)</f>
        <v>No</v>
      </c>
    </row>
    <row r="157" spans="1:16" x14ac:dyDescent="0.25">
      <c r="A157" s="2" t="s">
        <v>1361</v>
      </c>
      <c r="B157" s="4">
        <v>43640</v>
      </c>
      <c r="C157" s="2" t="s">
        <v>1362</v>
      </c>
      <c r="D157" t="s">
        <v>6175</v>
      </c>
      <c r="E157" s="2">
        <v>6</v>
      </c>
      <c r="F157" s="2" t="str">
        <f>_xlfn.XLOOKUP(C157,customers!$A$1:$A$1001,customers!$B$1:$B$1001,0)</f>
        <v>Grete Holborn</v>
      </c>
      <c r="G157" s="2" t="s">
        <v>1364</v>
      </c>
      <c r="H157" s="2" t="str">
        <f>_xlfn.XLOOKUP(C157,customers!$A$1:$A$1001,customers!$G$1:$G$1001,0)</f>
        <v>United States</v>
      </c>
      <c r="I157" t="str">
        <f>_xlfn.XLOOKUP(D157,products!$A$1:$A$49,products!$B$1:$B$49,0)</f>
        <v>Ara</v>
      </c>
      <c r="J157" t="str">
        <f>_xlfn.XLOOKUP('data cleaned'!D157,products!$A$1:$A$49,products!$C$1:$C$49,0)</f>
        <v>M</v>
      </c>
      <c r="K157" s="5">
        <f>_xlfn.XLOOKUP('data cleaned'!D157,products!$A$1:$A$49,products!$D$1:$D$49,0)</f>
        <v>2.5</v>
      </c>
      <c r="L157" s="6">
        <f>_xlfn.XLOOKUP('data cleaned'!D157,products!$A$1:$A$49,products!$E$1:$E$49,0)</f>
        <v>25.874999999999996</v>
      </c>
      <c r="M157" s="6">
        <f>'data cleaned'!E157*'data cleaned'!L157</f>
        <v>155.24999999999997</v>
      </c>
      <c r="N157" t="str">
        <f t="shared" si="4"/>
        <v>Arabica</v>
      </c>
      <c r="O157" t="str">
        <f t="shared" si="5"/>
        <v>Medium</v>
      </c>
      <c r="P157" t="str">
        <f>_xlfn.XLOOKUP(worksheet[[#This Row],[Customer ID]],customers!$A$1:$A$1001,customers!$I$1:$I$1001,0)</f>
        <v>Yes</v>
      </c>
    </row>
    <row r="158" spans="1:16" x14ac:dyDescent="0.25">
      <c r="A158" s="2" t="s">
        <v>1367</v>
      </c>
      <c r="B158" s="4">
        <v>43764</v>
      </c>
      <c r="C158" s="2" t="s">
        <v>1368</v>
      </c>
      <c r="D158" t="s">
        <v>6175</v>
      </c>
      <c r="E158" s="2">
        <v>3</v>
      </c>
      <c r="F158" s="2" t="str">
        <f>_xlfn.XLOOKUP(C158,customers!$A$1:$A$1001,customers!$B$1:$B$1001,0)</f>
        <v>Fielding Keinrat</v>
      </c>
      <c r="G158" s="2" t="s">
        <v>1370</v>
      </c>
      <c r="H158" s="2" t="str">
        <f>_xlfn.XLOOKUP(C158,customers!$A$1:$A$1001,customers!$G$1:$G$1001,0)</f>
        <v>United States</v>
      </c>
      <c r="I158" t="str">
        <f>_xlfn.XLOOKUP(D158,products!$A$1:$A$49,products!$B$1:$B$49,0)</f>
        <v>Ara</v>
      </c>
      <c r="J158" t="str">
        <f>_xlfn.XLOOKUP('data cleaned'!D158,products!$A$1:$A$49,products!$C$1:$C$49,0)</f>
        <v>M</v>
      </c>
      <c r="K158" s="5">
        <f>_xlfn.XLOOKUP('data cleaned'!D158,products!$A$1:$A$49,products!$D$1:$D$49,0)</f>
        <v>2.5</v>
      </c>
      <c r="L158" s="6">
        <f>_xlfn.XLOOKUP('data cleaned'!D158,products!$A$1:$A$49,products!$E$1:$E$49,0)</f>
        <v>25.874999999999996</v>
      </c>
      <c r="M158" s="6">
        <f>'data cleaned'!E158*'data cleaned'!L158</f>
        <v>77.624999999999986</v>
      </c>
      <c r="N158" t="str">
        <f t="shared" si="4"/>
        <v>Arabica</v>
      </c>
      <c r="O158" t="str">
        <f t="shared" si="5"/>
        <v>Medium</v>
      </c>
      <c r="P158" t="str">
        <f>_xlfn.XLOOKUP(worksheet[[#This Row],[Customer ID]],customers!$A$1:$A$1001,customers!$I$1:$I$1001,0)</f>
        <v>Yes</v>
      </c>
    </row>
    <row r="159" spans="1:16" x14ac:dyDescent="0.25">
      <c r="A159" s="2" t="s">
        <v>1373</v>
      </c>
      <c r="B159" s="4">
        <v>44374</v>
      </c>
      <c r="C159" s="2" t="s">
        <v>1374</v>
      </c>
      <c r="D159" t="s">
        <v>6149</v>
      </c>
      <c r="E159" s="2">
        <v>3</v>
      </c>
      <c r="F159" s="2" t="str">
        <f>_xlfn.XLOOKUP(C159,customers!$A$1:$A$1001,customers!$B$1:$B$1001,0)</f>
        <v>Paulo Yea</v>
      </c>
      <c r="G159" s="2" t="s">
        <v>1376</v>
      </c>
      <c r="H159" s="2" t="str">
        <f>_xlfn.XLOOKUP(C159,customers!$A$1:$A$1001,customers!$G$1:$G$1001,0)</f>
        <v>Ireland</v>
      </c>
      <c r="I159" t="str">
        <f>_xlfn.XLOOKUP(D159,products!$A$1:$A$49,products!$B$1:$B$49,0)</f>
        <v>Rob</v>
      </c>
      <c r="J159" t="str">
        <f>_xlfn.XLOOKUP('data cleaned'!D159,products!$A$1:$A$49,products!$C$1:$C$49,0)</f>
        <v>D</v>
      </c>
      <c r="K159" s="5">
        <f>_xlfn.XLOOKUP('data cleaned'!D159,products!$A$1:$A$49,products!$D$1:$D$49,0)</f>
        <v>2.5</v>
      </c>
      <c r="L159" s="6">
        <f>_xlfn.XLOOKUP('data cleaned'!D159,products!$A$1:$A$49,products!$E$1:$E$49,0)</f>
        <v>20.584999999999997</v>
      </c>
      <c r="M159" s="6">
        <f>'data cleaned'!E159*'data cleaned'!L159</f>
        <v>61.754999999999995</v>
      </c>
      <c r="N159" t="str">
        <f t="shared" si="4"/>
        <v>Robusta</v>
      </c>
      <c r="O159" t="str">
        <f t="shared" si="5"/>
        <v>Dark</v>
      </c>
      <c r="P159" t="str">
        <f>_xlfn.XLOOKUP(worksheet[[#This Row],[Customer ID]],customers!$A$1:$A$1001,customers!$I$1:$I$1001,0)</f>
        <v>No</v>
      </c>
    </row>
    <row r="160" spans="1:16" x14ac:dyDescent="0.25">
      <c r="A160" s="2" t="s">
        <v>1379</v>
      </c>
      <c r="B160" s="4">
        <v>43714</v>
      </c>
      <c r="C160" s="2" t="s">
        <v>1380</v>
      </c>
      <c r="D160" t="s">
        <v>6149</v>
      </c>
      <c r="E160" s="2">
        <v>6</v>
      </c>
      <c r="F160" s="2" t="str">
        <f>_xlfn.XLOOKUP(C160,customers!$A$1:$A$1001,customers!$B$1:$B$1001,0)</f>
        <v>Say Risborough</v>
      </c>
      <c r="G160" s="2" t="s">
        <v>6222</v>
      </c>
      <c r="H160" s="2" t="str">
        <f>_xlfn.XLOOKUP(C160,customers!$A$1:$A$1001,customers!$G$1:$G$1001,0)</f>
        <v>United States</v>
      </c>
      <c r="I160" t="str">
        <f>_xlfn.XLOOKUP(D160,products!$A$1:$A$49,products!$B$1:$B$49,0)</f>
        <v>Rob</v>
      </c>
      <c r="J160" t="str">
        <f>_xlfn.XLOOKUP('data cleaned'!D160,products!$A$1:$A$49,products!$C$1:$C$49,0)</f>
        <v>D</v>
      </c>
      <c r="K160" s="5">
        <f>_xlfn.XLOOKUP('data cleaned'!D160,products!$A$1:$A$49,products!$D$1:$D$49,0)</f>
        <v>2.5</v>
      </c>
      <c r="L160" s="6">
        <f>_xlfn.XLOOKUP('data cleaned'!D160,products!$A$1:$A$49,products!$E$1:$E$49,0)</f>
        <v>20.584999999999997</v>
      </c>
      <c r="M160" s="6">
        <f>'data cleaned'!E160*'data cleaned'!L160</f>
        <v>123.50999999999999</v>
      </c>
      <c r="N160" t="str">
        <f t="shared" si="4"/>
        <v>Robusta</v>
      </c>
      <c r="O160" t="str">
        <f t="shared" si="5"/>
        <v>Dark</v>
      </c>
      <c r="P160" t="str">
        <f>_xlfn.XLOOKUP(worksheet[[#This Row],[Customer ID]],customers!$A$1:$A$1001,customers!$I$1:$I$1001,0)</f>
        <v>Yes</v>
      </c>
    </row>
    <row r="161" spans="1:16" x14ac:dyDescent="0.25">
      <c r="A161" s="2" t="s">
        <v>1384</v>
      </c>
      <c r="B161" s="4">
        <v>44316</v>
      </c>
      <c r="C161" s="2" t="s">
        <v>1385</v>
      </c>
      <c r="D161" t="s">
        <v>6164</v>
      </c>
      <c r="E161" s="2">
        <v>6</v>
      </c>
      <c r="F161" s="2" t="str">
        <f>_xlfn.XLOOKUP(C161,customers!$A$1:$A$1001,customers!$B$1:$B$1001,0)</f>
        <v>Alexa Sizey</v>
      </c>
      <c r="G161" s="2" t="s">
        <v>6222</v>
      </c>
      <c r="H161" s="2" t="str">
        <f>_xlfn.XLOOKUP(C161,customers!$A$1:$A$1001,customers!$G$1:$G$1001,0)</f>
        <v>United States</v>
      </c>
      <c r="I161" t="str">
        <f>_xlfn.XLOOKUP(D161,products!$A$1:$A$49,products!$B$1:$B$49,0)</f>
        <v>Lib</v>
      </c>
      <c r="J161" t="str">
        <f>_xlfn.XLOOKUP('data cleaned'!D161,products!$A$1:$A$49,products!$C$1:$C$49,0)</f>
        <v>L</v>
      </c>
      <c r="K161" s="5">
        <f>_xlfn.XLOOKUP('data cleaned'!D161,products!$A$1:$A$49,products!$D$1:$D$49,0)</f>
        <v>2.5</v>
      </c>
      <c r="L161" s="6">
        <f>_xlfn.XLOOKUP('data cleaned'!D161,products!$A$1:$A$49,products!$E$1:$E$49,0)</f>
        <v>36.454999999999998</v>
      </c>
      <c r="M161" s="6">
        <f>'data cleaned'!E161*'data cleaned'!L161</f>
        <v>218.73</v>
      </c>
      <c r="N161" t="str">
        <f t="shared" si="4"/>
        <v>Liberica</v>
      </c>
      <c r="O161" t="str">
        <f t="shared" si="5"/>
        <v>Light</v>
      </c>
      <c r="P161" t="str">
        <f>_xlfn.XLOOKUP(worksheet[[#This Row],[Customer ID]],customers!$A$1:$A$1001,customers!$I$1:$I$1001,0)</f>
        <v>No</v>
      </c>
    </row>
    <row r="162" spans="1:16" x14ac:dyDescent="0.25">
      <c r="A162" s="2" t="s">
        <v>1389</v>
      </c>
      <c r="B162" s="4">
        <v>43837</v>
      </c>
      <c r="C162" s="2" t="s">
        <v>1390</v>
      </c>
      <c r="D162" t="s">
        <v>6139</v>
      </c>
      <c r="E162" s="2">
        <v>4</v>
      </c>
      <c r="F162" s="2" t="str">
        <f>_xlfn.XLOOKUP(C162,customers!$A$1:$A$1001,customers!$B$1:$B$1001,0)</f>
        <v>Kari Swede</v>
      </c>
      <c r="G162" s="2" t="s">
        <v>1392</v>
      </c>
      <c r="H162" s="2" t="str">
        <f>_xlfn.XLOOKUP(C162,customers!$A$1:$A$1001,customers!$G$1:$G$1001,0)</f>
        <v>United States</v>
      </c>
      <c r="I162" t="str">
        <f>_xlfn.XLOOKUP(D162,products!$A$1:$A$49,products!$B$1:$B$49,0)</f>
        <v>Exc</v>
      </c>
      <c r="J162" t="str">
        <f>_xlfn.XLOOKUP('data cleaned'!D162,products!$A$1:$A$49,products!$C$1:$C$49,0)</f>
        <v>M</v>
      </c>
      <c r="K162" s="5">
        <f>_xlfn.XLOOKUP('data cleaned'!D162,products!$A$1:$A$49,products!$D$1:$D$49,0)</f>
        <v>0.5</v>
      </c>
      <c r="L162" s="6">
        <f>_xlfn.XLOOKUP('data cleaned'!D162,products!$A$1:$A$49,products!$E$1:$E$49,0)</f>
        <v>8.25</v>
      </c>
      <c r="M162" s="6">
        <f>'data cleaned'!E162*'data cleaned'!L162</f>
        <v>33</v>
      </c>
      <c r="N162" t="str">
        <f t="shared" si="4"/>
        <v>Excelsa</v>
      </c>
      <c r="O162" t="str">
        <f t="shared" si="5"/>
        <v>Medium</v>
      </c>
      <c r="P162" t="str">
        <f>_xlfn.XLOOKUP(worksheet[[#This Row],[Customer ID]],customers!$A$1:$A$1001,customers!$I$1:$I$1001,0)</f>
        <v>No</v>
      </c>
    </row>
    <row r="163" spans="1:16" x14ac:dyDescent="0.25">
      <c r="A163" s="2" t="s">
        <v>1395</v>
      </c>
      <c r="B163" s="4">
        <v>44207</v>
      </c>
      <c r="C163" s="2" t="s">
        <v>1396</v>
      </c>
      <c r="D163" t="s">
        <v>6180</v>
      </c>
      <c r="E163" s="2">
        <v>3</v>
      </c>
      <c r="F163" s="2" t="str">
        <f>_xlfn.XLOOKUP(C163,customers!$A$1:$A$1001,customers!$B$1:$B$1001,0)</f>
        <v>Leontine Rubrow</v>
      </c>
      <c r="G163" s="2" t="s">
        <v>1398</v>
      </c>
      <c r="H163" s="2" t="str">
        <f>_xlfn.XLOOKUP(C163,customers!$A$1:$A$1001,customers!$G$1:$G$1001,0)</f>
        <v>United States</v>
      </c>
      <c r="I163" t="str">
        <f>_xlfn.XLOOKUP(D163,products!$A$1:$A$49,products!$B$1:$B$49,0)</f>
        <v>Ara</v>
      </c>
      <c r="J163" t="str">
        <f>_xlfn.XLOOKUP('data cleaned'!D163,products!$A$1:$A$49,products!$C$1:$C$49,0)</f>
        <v>L</v>
      </c>
      <c r="K163" s="5">
        <f>_xlfn.XLOOKUP('data cleaned'!D163,products!$A$1:$A$49,products!$D$1:$D$49,0)</f>
        <v>0.5</v>
      </c>
      <c r="L163" s="6">
        <f>_xlfn.XLOOKUP('data cleaned'!D163,products!$A$1:$A$49,products!$E$1:$E$49,0)</f>
        <v>7.77</v>
      </c>
      <c r="M163" s="6">
        <f>'data cleaned'!E163*'data cleaned'!L163</f>
        <v>23.31</v>
      </c>
      <c r="N163" t="str">
        <f t="shared" si="4"/>
        <v>Arabica</v>
      </c>
      <c r="O163" t="str">
        <f t="shared" si="5"/>
        <v>Light</v>
      </c>
      <c r="P163" t="str">
        <f>_xlfn.XLOOKUP(worksheet[[#This Row],[Customer ID]],customers!$A$1:$A$1001,customers!$I$1:$I$1001,0)</f>
        <v>No</v>
      </c>
    </row>
    <row r="164" spans="1:16" x14ac:dyDescent="0.25">
      <c r="A164" s="2" t="s">
        <v>1401</v>
      </c>
      <c r="B164" s="4">
        <v>44515</v>
      </c>
      <c r="C164" s="2" t="s">
        <v>1402</v>
      </c>
      <c r="D164" t="s">
        <v>6144</v>
      </c>
      <c r="E164" s="2">
        <v>3</v>
      </c>
      <c r="F164" s="2" t="str">
        <f>_xlfn.XLOOKUP(C164,customers!$A$1:$A$1001,customers!$B$1:$B$1001,0)</f>
        <v>Dottie Tift</v>
      </c>
      <c r="G164" s="2" t="s">
        <v>1404</v>
      </c>
      <c r="H164" s="2" t="str">
        <f>_xlfn.XLOOKUP(C164,customers!$A$1:$A$1001,customers!$G$1:$G$1001,0)</f>
        <v>United States</v>
      </c>
      <c r="I164" t="str">
        <f>_xlfn.XLOOKUP(D164,products!$A$1:$A$49,products!$B$1:$B$49,0)</f>
        <v>Exc</v>
      </c>
      <c r="J164" t="str">
        <f>_xlfn.XLOOKUP('data cleaned'!D164,products!$A$1:$A$49,products!$C$1:$C$49,0)</f>
        <v>D</v>
      </c>
      <c r="K164" s="5">
        <f>_xlfn.XLOOKUP('data cleaned'!D164,products!$A$1:$A$49,products!$D$1:$D$49,0)</f>
        <v>0.5</v>
      </c>
      <c r="L164" s="6">
        <f>_xlfn.XLOOKUP('data cleaned'!D164,products!$A$1:$A$49,products!$E$1:$E$49,0)</f>
        <v>7.29</v>
      </c>
      <c r="M164" s="6">
        <f>'data cleaned'!E164*'data cleaned'!L164</f>
        <v>21.87</v>
      </c>
      <c r="N164" t="str">
        <f t="shared" si="4"/>
        <v>Excelsa</v>
      </c>
      <c r="O164" t="str">
        <f t="shared" si="5"/>
        <v>Dark</v>
      </c>
      <c r="P164" t="str">
        <f>_xlfn.XLOOKUP(worksheet[[#This Row],[Customer ID]],customers!$A$1:$A$1001,customers!$I$1:$I$1001,0)</f>
        <v>Yes</v>
      </c>
    </row>
    <row r="165" spans="1:16" x14ac:dyDescent="0.25">
      <c r="A165" s="2" t="s">
        <v>1407</v>
      </c>
      <c r="B165" s="4">
        <v>43619</v>
      </c>
      <c r="C165" s="2" t="s">
        <v>1408</v>
      </c>
      <c r="D165" t="s">
        <v>6163</v>
      </c>
      <c r="E165" s="2">
        <v>6</v>
      </c>
      <c r="F165" s="2" t="str">
        <f>_xlfn.XLOOKUP(C165,customers!$A$1:$A$1001,customers!$B$1:$B$1001,0)</f>
        <v>Gerardo Schonfeld</v>
      </c>
      <c r="G165" s="2" t="s">
        <v>1410</v>
      </c>
      <c r="H165" s="2" t="str">
        <f>_xlfn.XLOOKUP(C165,customers!$A$1:$A$1001,customers!$G$1:$G$1001,0)</f>
        <v>United States</v>
      </c>
      <c r="I165" t="str">
        <f>_xlfn.XLOOKUP(D165,products!$A$1:$A$49,products!$B$1:$B$49,0)</f>
        <v>Rob</v>
      </c>
      <c r="J165" t="str">
        <f>_xlfn.XLOOKUP('data cleaned'!D165,products!$A$1:$A$49,products!$C$1:$C$49,0)</f>
        <v>D</v>
      </c>
      <c r="K165" s="5">
        <f>_xlfn.XLOOKUP('data cleaned'!D165,products!$A$1:$A$49,products!$D$1:$D$49,0)</f>
        <v>0.2</v>
      </c>
      <c r="L165" s="6">
        <f>_xlfn.XLOOKUP('data cleaned'!D165,products!$A$1:$A$49,products!$E$1:$E$49,0)</f>
        <v>2.6849999999999996</v>
      </c>
      <c r="M165" s="6">
        <f>'data cleaned'!E165*'data cleaned'!L165</f>
        <v>16.11</v>
      </c>
      <c r="N165" t="str">
        <f t="shared" si="4"/>
        <v>Robusta</v>
      </c>
      <c r="O165" t="str">
        <f t="shared" si="5"/>
        <v>Dark</v>
      </c>
      <c r="P165" t="str">
        <f>_xlfn.XLOOKUP(worksheet[[#This Row],[Customer ID]],customers!$A$1:$A$1001,customers!$I$1:$I$1001,0)</f>
        <v>No</v>
      </c>
    </row>
    <row r="166" spans="1:16" x14ac:dyDescent="0.25">
      <c r="A166" s="2" t="s">
        <v>1413</v>
      </c>
      <c r="B166" s="4">
        <v>44182</v>
      </c>
      <c r="C166" s="2" t="s">
        <v>1414</v>
      </c>
      <c r="D166" t="s">
        <v>6144</v>
      </c>
      <c r="E166" s="2">
        <v>4</v>
      </c>
      <c r="F166" s="2" t="str">
        <f>_xlfn.XLOOKUP(C166,customers!$A$1:$A$1001,customers!$B$1:$B$1001,0)</f>
        <v>Claiborne Feye</v>
      </c>
      <c r="G166" s="2" t="s">
        <v>1416</v>
      </c>
      <c r="H166" s="2" t="str">
        <f>_xlfn.XLOOKUP(C166,customers!$A$1:$A$1001,customers!$G$1:$G$1001,0)</f>
        <v>Ireland</v>
      </c>
      <c r="I166" t="str">
        <f>_xlfn.XLOOKUP(D166,products!$A$1:$A$49,products!$B$1:$B$49,0)</f>
        <v>Exc</v>
      </c>
      <c r="J166" t="str">
        <f>_xlfn.XLOOKUP('data cleaned'!D166,products!$A$1:$A$49,products!$C$1:$C$49,0)</f>
        <v>D</v>
      </c>
      <c r="K166" s="5">
        <f>_xlfn.XLOOKUP('data cleaned'!D166,products!$A$1:$A$49,products!$D$1:$D$49,0)</f>
        <v>0.5</v>
      </c>
      <c r="L166" s="6">
        <f>_xlfn.XLOOKUP('data cleaned'!D166,products!$A$1:$A$49,products!$E$1:$E$49,0)</f>
        <v>7.29</v>
      </c>
      <c r="M166" s="6">
        <f>'data cleaned'!E166*'data cleaned'!L166</f>
        <v>29.16</v>
      </c>
      <c r="N166" t="str">
        <f t="shared" si="4"/>
        <v>Excelsa</v>
      </c>
      <c r="O166" t="str">
        <f t="shared" si="5"/>
        <v>Dark</v>
      </c>
      <c r="P166" t="str">
        <f>_xlfn.XLOOKUP(worksheet[[#This Row],[Customer ID]],customers!$A$1:$A$1001,customers!$I$1:$I$1001,0)</f>
        <v>No</v>
      </c>
    </row>
    <row r="167" spans="1:16" x14ac:dyDescent="0.25">
      <c r="A167" s="2" t="s">
        <v>1420</v>
      </c>
      <c r="B167" s="4">
        <v>44234</v>
      </c>
      <c r="C167" s="2" t="s">
        <v>1421</v>
      </c>
      <c r="D167" t="s">
        <v>6177</v>
      </c>
      <c r="E167" s="2">
        <v>6</v>
      </c>
      <c r="F167" s="2" t="str">
        <f>_xlfn.XLOOKUP(C167,customers!$A$1:$A$1001,customers!$B$1:$B$1001,0)</f>
        <v>Mina Elstone</v>
      </c>
      <c r="G167" s="2" t="s">
        <v>6222</v>
      </c>
      <c r="H167" s="2" t="str">
        <f>_xlfn.XLOOKUP(C167,customers!$A$1:$A$1001,customers!$G$1:$G$1001,0)</f>
        <v>United States</v>
      </c>
      <c r="I167" t="str">
        <f>_xlfn.XLOOKUP(D167,products!$A$1:$A$49,products!$B$1:$B$49,0)</f>
        <v>Rob</v>
      </c>
      <c r="J167" t="str">
        <f>_xlfn.XLOOKUP('data cleaned'!D167,products!$A$1:$A$49,products!$C$1:$C$49,0)</f>
        <v>D</v>
      </c>
      <c r="K167" s="5">
        <f>_xlfn.XLOOKUP('data cleaned'!D167,products!$A$1:$A$49,products!$D$1:$D$49,0)</f>
        <v>1</v>
      </c>
      <c r="L167" s="6">
        <f>_xlfn.XLOOKUP('data cleaned'!D167,products!$A$1:$A$49,products!$E$1:$E$49,0)</f>
        <v>8.9499999999999993</v>
      </c>
      <c r="M167" s="6">
        <f>'data cleaned'!E167*'data cleaned'!L167</f>
        <v>53.699999999999996</v>
      </c>
      <c r="N167" t="str">
        <f t="shared" si="4"/>
        <v>Robusta</v>
      </c>
      <c r="O167" t="str">
        <f t="shared" si="5"/>
        <v>Dark</v>
      </c>
      <c r="P167" t="str">
        <f>_xlfn.XLOOKUP(worksheet[[#This Row],[Customer ID]],customers!$A$1:$A$1001,customers!$I$1:$I$1001,0)</f>
        <v>Yes</v>
      </c>
    </row>
    <row r="168" spans="1:16" x14ac:dyDescent="0.25">
      <c r="A168" s="2" t="s">
        <v>1425</v>
      </c>
      <c r="B168" s="4">
        <v>44270</v>
      </c>
      <c r="C168" s="2" t="s">
        <v>1426</v>
      </c>
      <c r="D168" t="s">
        <v>6172</v>
      </c>
      <c r="E168" s="2">
        <v>5</v>
      </c>
      <c r="F168" s="2" t="str">
        <f>_xlfn.XLOOKUP(C168,customers!$A$1:$A$1001,customers!$B$1:$B$1001,0)</f>
        <v>Sherman Mewrcik</v>
      </c>
      <c r="G168" s="2" t="s">
        <v>6222</v>
      </c>
      <c r="H168" s="2" t="str">
        <f>_xlfn.XLOOKUP(C168,customers!$A$1:$A$1001,customers!$G$1:$G$1001,0)</f>
        <v>United States</v>
      </c>
      <c r="I168" t="str">
        <f>_xlfn.XLOOKUP(D168,products!$A$1:$A$49,products!$B$1:$B$49,0)</f>
        <v>Rob</v>
      </c>
      <c r="J168" t="str">
        <f>_xlfn.XLOOKUP('data cleaned'!D168,products!$A$1:$A$49,products!$C$1:$C$49,0)</f>
        <v>D</v>
      </c>
      <c r="K168" s="5">
        <f>_xlfn.XLOOKUP('data cleaned'!D168,products!$A$1:$A$49,products!$D$1:$D$49,0)</f>
        <v>0.5</v>
      </c>
      <c r="L168" s="6">
        <f>_xlfn.XLOOKUP('data cleaned'!D168,products!$A$1:$A$49,products!$E$1:$E$49,0)</f>
        <v>5.3699999999999992</v>
      </c>
      <c r="M168" s="6">
        <f>'data cleaned'!E168*'data cleaned'!L168</f>
        <v>26.849999999999994</v>
      </c>
      <c r="N168" t="str">
        <f t="shared" si="4"/>
        <v>Robusta</v>
      </c>
      <c r="O168" t="str">
        <f t="shared" si="5"/>
        <v>Dark</v>
      </c>
      <c r="P168" t="str">
        <f>_xlfn.XLOOKUP(worksheet[[#This Row],[Customer ID]],customers!$A$1:$A$1001,customers!$I$1:$I$1001,0)</f>
        <v>Yes</v>
      </c>
    </row>
    <row r="169" spans="1:16" x14ac:dyDescent="0.25">
      <c r="A169" s="2" t="s">
        <v>1430</v>
      </c>
      <c r="B169" s="4">
        <v>44777</v>
      </c>
      <c r="C169" s="2" t="s">
        <v>1431</v>
      </c>
      <c r="D169" t="s">
        <v>6139</v>
      </c>
      <c r="E169" s="2">
        <v>5</v>
      </c>
      <c r="F169" s="2" t="str">
        <f>_xlfn.XLOOKUP(C169,customers!$A$1:$A$1001,customers!$B$1:$B$1001,0)</f>
        <v>Tamarah Fero</v>
      </c>
      <c r="G169" s="2" t="s">
        <v>1433</v>
      </c>
      <c r="H169" s="2" t="str">
        <f>_xlfn.XLOOKUP(C169,customers!$A$1:$A$1001,customers!$G$1:$G$1001,0)</f>
        <v>United States</v>
      </c>
      <c r="I169" t="str">
        <f>_xlfn.XLOOKUP(D169,products!$A$1:$A$49,products!$B$1:$B$49,0)</f>
        <v>Exc</v>
      </c>
      <c r="J169" t="str">
        <f>_xlfn.XLOOKUP('data cleaned'!D169,products!$A$1:$A$49,products!$C$1:$C$49,0)</f>
        <v>M</v>
      </c>
      <c r="K169" s="5">
        <f>_xlfn.XLOOKUP('data cleaned'!D169,products!$A$1:$A$49,products!$D$1:$D$49,0)</f>
        <v>0.5</v>
      </c>
      <c r="L169" s="6">
        <f>_xlfn.XLOOKUP('data cleaned'!D169,products!$A$1:$A$49,products!$E$1:$E$49,0)</f>
        <v>8.25</v>
      </c>
      <c r="M169" s="6">
        <f>'data cleaned'!E169*'data cleaned'!L169</f>
        <v>41.25</v>
      </c>
      <c r="N169" t="str">
        <f t="shared" si="4"/>
        <v>Excelsa</v>
      </c>
      <c r="O169" t="str">
        <f t="shared" si="5"/>
        <v>Medium</v>
      </c>
      <c r="P169" t="str">
        <f>_xlfn.XLOOKUP(worksheet[[#This Row],[Customer ID]],customers!$A$1:$A$1001,customers!$I$1:$I$1001,0)</f>
        <v>Yes</v>
      </c>
    </row>
    <row r="170" spans="1:16" x14ac:dyDescent="0.25">
      <c r="A170" s="2" t="s">
        <v>1436</v>
      </c>
      <c r="B170" s="4">
        <v>43484</v>
      </c>
      <c r="C170" s="2" t="s">
        <v>1437</v>
      </c>
      <c r="D170" t="s">
        <v>6157</v>
      </c>
      <c r="E170" s="2">
        <v>6</v>
      </c>
      <c r="F170" s="2" t="str">
        <f>_xlfn.XLOOKUP(C170,customers!$A$1:$A$1001,customers!$B$1:$B$1001,0)</f>
        <v>Stanislaus Valsler</v>
      </c>
      <c r="G170" s="2" t="s">
        <v>6222</v>
      </c>
      <c r="H170" s="2" t="str">
        <f>_xlfn.XLOOKUP(C170,customers!$A$1:$A$1001,customers!$G$1:$G$1001,0)</f>
        <v>Ireland</v>
      </c>
      <c r="I170" t="str">
        <f>_xlfn.XLOOKUP(D170,products!$A$1:$A$49,products!$B$1:$B$49,0)</f>
        <v>Ara</v>
      </c>
      <c r="J170" t="str">
        <f>_xlfn.XLOOKUP('data cleaned'!D170,products!$A$1:$A$49,products!$C$1:$C$49,0)</f>
        <v>M</v>
      </c>
      <c r="K170" s="5">
        <f>_xlfn.XLOOKUP('data cleaned'!D170,products!$A$1:$A$49,products!$D$1:$D$49,0)</f>
        <v>0.5</v>
      </c>
      <c r="L170" s="6">
        <f>_xlfn.XLOOKUP('data cleaned'!D170,products!$A$1:$A$49,products!$E$1:$E$49,0)</f>
        <v>6.75</v>
      </c>
      <c r="M170" s="6">
        <f>'data cleaned'!E170*'data cleaned'!L170</f>
        <v>40.5</v>
      </c>
      <c r="N170" t="str">
        <f t="shared" si="4"/>
        <v>Arabica</v>
      </c>
      <c r="O170" t="str">
        <f t="shared" si="5"/>
        <v>Medium</v>
      </c>
      <c r="P170" t="str">
        <f>_xlfn.XLOOKUP(worksheet[[#This Row],[Customer ID]],customers!$A$1:$A$1001,customers!$I$1:$I$1001,0)</f>
        <v>No</v>
      </c>
    </row>
    <row r="171" spans="1:16" x14ac:dyDescent="0.25">
      <c r="A171" s="2" t="s">
        <v>1441</v>
      </c>
      <c r="B171" s="4">
        <v>44643</v>
      </c>
      <c r="C171" s="2" t="s">
        <v>1442</v>
      </c>
      <c r="D171" t="s">
        <v>6177</v>
      </c>
      <c r="E171" s="2">
        <v>2</v>
      </c>
      <c r="F171" s="2" t="str">
        <f>_xlfn.XLOOKUP(C171,customers!$A$1:$A$1001,customers!$B$1:$B$1001,0)</f>
        <v>Felita Dauney</v>
      </c>
      <c r="G171" s="2" t="s">
        <v>1444</v>
      </c>
      <c r="H171" s="2" t="str">
        <f>_xlfn.XLOOKUP(C171,customers!$A$1:$A$1001,customers!$G$1:$G$1001,0)</f>
        <v>Ireland</v>
      </c>
      <c r="I171" t="str">
        <f>_xlfn.XLOOKUP(D171,products!$A$1:$A$49,products!$B$1:$B$49,0)</f>
        <v>Rob</v>
      </c>
      <c r="J171" t="str">
        <f>_xlfn.XLOOKUP('data cleaned'!D171,products!$A$1:$A$49,products!$C$1:$C$49,0)</f>
        <v>D</v>
      </c>
      <c r="K171" s="5">
        <f>_xlfn.XLOOKUP('data cleaned'!D171,products!$A$1:$A$49,products!$D$1:$D$49,0)</f>
        <v>1</v>
      </c>
      <c r="L171" s="6">
        <f>_xlfn.XLOOKUP('data cleaned'!D171,products!$A$1:$A$49,products!$E$1:$E$49,0)</f>
        <v>8.9499999999999993</v>
      </c>
      <c r="M171" s="6">
        <f>'data cleaned'!E171*'data cleaned'!L171</f>
        <v>17.899999999999999</v>
      </c>
      <c r="N171" t="str">
        <f t="shared" si="4"/>
        <v>Robusta</v>
      </c>
      <c r="O171" t="str">
        <f t="shared" si="5"/>
        <v>Dark</v>
      </c>
      <c r="P171" t="str">
        <f>_xlfn.XLOOKUP(worksheet[[#This Row],[Customer ID]],customers!$A$1:$A$1001,customers!$I$1:$I$1001,0)</f>
        <v>No</v>
      </c>
    </row>
    <row r="172" spans="1:16" x14ac:dyDescent="0.25">
      <c r="A172" s="2" t="s">
        <v>1448</v>
      </c>
      <c r="B172" s="4">
        <v>44476</v>
      </c>
      <c r="C172" s="2" t="s">
        <v>1449</v>
      </c>
      <c r="D172" t="s">
        <v>6148</v>
      </c>
      <c r="E172" s="2">
        <v>2</v>
      </c>
      <c r="F172" s="2" t="str">
        <f>_xlfn.XLOOKUP(C172,customers!$A$1:$A$1001,customers!$B$1:$B$1001,0)</f>
        <v>Serena Earley</v>
      </c>
      <c r="G172" s="2" t="s">
        <v>1451</v>
      </c>
      <c r="H172" s="2" t="str">
        <f>_xlfn.XLOOKUP(C172,customers!$A$1:$A$1001,customers!$G$1:$G$1001,0)</f>
        <v>United Kingdom</v>
      </c>
      <c r="I172" t="str">
        <f>_xlfn.XLOOKUP(D172,products!$A$1:$A$49,products!$B$1:$B$49,0)</f>
        <v>Exc</v>
      </c>
      <c r="J172" t="str">
        <f>_xlfn.XLOOKUP('data cleaned'!D172,products!$A$1:$A$49,products!$C$1:$C$49,0)</f>
        <v>L</v>
      </c>
      <c r="K172" s="5">
        <f>_xlfn.XLOOKUP('data cleaned'!D172,products!$A$1:$A$49,products!$D$1:$D$49,0)</f>
        <v>2.5</v>
      </c>
      <c r="L172" s="6">
        <f>_xlfn.XLOOKUP('data cleaned'!D172,products!$A$1:$A$49,products!$E$1:$E$49,0)</f>
        <v>34.154999999999994</v>
      </c>
      <c r="M172" s="6">
        <f>'data cleaned'!E172*'data cleaned'!L172</f>
        <v>68.309999999999988</v>
      </c>
      <c r="N172" t="str">
        <f t="shared" si="4"/>
        <v>Excelsa</v>
      </c>
      <c r="O172" t="str">
        <f t="shared" si="5"/>
        <v>Light</v>
      </c>
      <c r="P172" t="str">
        <f>_xlfn.XLOOKUP(worksheet[[#This Row],[Customer ID]],customers!$A$1:$A$1001,customers!$I$1:$I$1001,0)</f>
        <v>No</v>
      </c>
    </row>
    <row r="173" spans="1:16" x14ac:dyDescent="0.25">
      <c r="A173" s="2" t="s">
        <v>1453</v>
      </c>
      <c r="B173" s="4">
        <v>43544</v>
      </c>
      <c r="C173" s="2" t="s">
        <v>1454</v>
      </c>
      <c r="D173" t="s">
        <v>6166</v>
      </c>
      <c r="E173" s="2">
        <v>2</v>
      </c>
      <c r="F173" s="2" t="str">
        <f>_xlfn.XLOOKUP(C173,customers!$A$1:$A$1001,customers!$B$1:$B$1001,0)</f>
        <v>Minny Chamberlayne</v>
      </c>
      <c r="G173" s="2" t="s">
        <v>1456</v>
      </c>
      <c r="H173" s="2" t="str">
        <f>_xlfn.XLOOKUP(C173,customers!$A$1:$A$1001,customers!$G$1:$G$1001,0)</f>
        <v>United States</v>
      </c>
      <c r="I173" t="str">
        <f>_xlfn.XLOOKUP(D173,products!$A$1:$A$49,products!$B$1:$B$49,0)</f>
        <v>Exc</v>
      </c>
      <c r="J173" t="str">
        <f>_xlfn.XLOOKUP('data cleaned'!D173,products!$A$1:$A$49,products!$C$1:$C$49,0)</f>
        <v>M</v>
      </c>
      <c r="K173" s="5">
        <f>_xlfn.XLOOKUP('data cleaned'!D173,products!$A$1:$A$49,products!$D$1:$D$49,0)</f>
        <v>2.5</v>
      </c>
      <c r="L173" s="6">
        <f>_xlfn.XLOOKUP('data cleaned'!D173,products!$A$1:$A$49,products!$E$1:$E$49,0)</f>
        <v>31.624999999999996</v>
      </c>
      <c r="M173" s="6">
        <f>'data cleaned'!E173*'data cleaned'!L173</f>
        <v>63.249999999999993</v>
      </c>
      <c r="N173" t="str">
        <f t="shared" si="4"/>
        <v>Excelsa</v>
      </c>
      <c r="O173" t="str">
        <f t="shared" si="5"/>
        <v>Medium</v>
      </c>
      <c r="P173" t="str">
        <f>_xlfn.XLOOKUP(worksheet[[#This Row],[Customer ID]],customers!$A$1:$A$1001,customers!$I$1:$I$1001,0)</f>
        <v>Yes</v>
      </c>
    </row>
    <row r="174" spans="1:16" x14ac:dyDescent="0.25">
      <c r="A174" s="2" t="s">
        <v>1459</v>
      </c>
      <c r="B174" s="4">
        <v>44545</v>
      </c>
      <c r="C174" s="2" t="s">
        <v>1460</v>
      </c>
      <c r="D174" t="s">
        <v>6144</v>
      </c>
      <c r="E174" s="2">
        <v>3</v>
      </c>
      <c r="F174" s="2" t="str">
        <f>_xlfn.XLOOKUP(C174,customers!$A$1:$A$1001,customers!$B$1:$B$1001,0)</f>
        <v>Bartholemy Flaherty</v>
      </c>
      <c r="G174" s="2" t="s">
        <v>1462</v>
      </c>
      <c r="H174" s="2" t="str">
        <f>_xlfn.XLOOKUP(C174,customers!$A$1:$A$1001,customers!$G$1:$G$1001,0)</f>
        <v>Ireland</v>
      </c>
      <c r="I174" t="str">
        <f>_xlfn.XLOOKUP(D174,products!$A$1:$A$49,products!$B$1:$B$49,0)</f>
        <v>Exc</v>
      </c>
      <c r="J174" t="str">
        <f>_xlfn.XLOOKUP('data cleaned'!D174,products!$A$1:$A$49,products!$C$1:$C$49,0)</f>
        <v>D</v>
      </c>
      <c r="K174" s="5">
        <f>_xlfn.XLOOKUP('data cleaned'!D174,products!$A$1:$A$49,products!$D$1:$D$49,0)</f>
        <v>0.5</v>
      </c>
      <c r="L174" s="6">
        <f>_xlfn.XLOOKUP('data cleaned'!D174,products!$A$1:$A$49,products!$E$1:$E$49,0)</f>
        <v>7.29</v>
      </c>
      <c r="M174" s="6">
        <f>'data cleaned'!E174*'data cleaned'!L174</f>
        <v>21.87</v>
      </c>
      <c r="N174" t="str">
        <f t="shared" si="4"/>
        <v>Excelsa</v>
      </c>
      <c r="O174" t="str">
        <f t="shared" si="5"/>
        <v>Dark</v>
      </c>
      <c r="P174" t="str">
        <f>_xlfn.XLOOKUP(worksheet[[#This Row],[Customer ID]],customers!$A$1:$A$1001,customers!$I$1:$I$1001,0)</f>
        <v>No</v>
      </c>
    </row>
    <row r="175" spans="1:16" x14ac:dyDescent="0.25">
      <c r="A175" s="2" t="s">
        <v>1464</v>
      </c>
      <c r="B175" s="4">
        <v>44720</v>
      </c>
      <c r="C175" s="2" t="s">
        <v>1465</v>
      </c>
      <c r="D175" t="s">
        <v>6151</v>
      </c>
      <c r="E175" s="2">
        <v>4</v>
      </c>
      <c r="F175" s="2" t="str">
        <f>_xlfn.XLOOKUP(C175,customers!$A$1:$A$1001,customers!$B$1:$B$1001,0)</f>
        <v>Oran Colbeck</v>
      </c>
      <c r="G175" s="2" t="s">
        <v>1467</v>
      </c>
      <c r="H175" s="2" t="str">
        <f>_xlfn.XLOOKUP(C175,customers!$A$1:$A$1001,customers!$G$1:$G$1001,0)</f>
        <v>United States</v>
      </c>
      <c r="I175" t="str">
        <f>_xlfn.XLOOKUP(D175,products!$A$1:$A$49,products!$B$1:$B$49,0)</f>
        <v>Rob</v>
      </c>
      <c r="J175" t="str">
        <f>_xlfn.XLOOKUP('data cleaned'!D175,products!$A$1:$A$49,products!$C$1:$C$49,0)</f>
        <v>M</v>
      </c>
      <c r="K175" s="5">
        <f>_xlfn.XLOOKUP('data cleaned'!D175,products!$A$1:$A$49,products!$D$1:$D$49,0)</f>
        <v>2.5</v>
      </c>
      <c r="L175" s="6">
        <f>_xlfn.XLOOKUP('data cleaned'!D175,products!$A$1:$A$49,products!$E$1:$E$49,0)</f>
        <v>22.884999999999998</v>
      </c>
      <c r="M175" s="6">
        <f>'data cleaned'!E175*'data cleaned'!L175</f>
        <v>91.539999999999992</v>
      </c>
      <c r="N175" t="str">
        <f t="shared" si="4"/>
        <v>Robusta</v>
      </c>
      <c r="O175" t="str">
        <f t="shared" si="5"/>
        <v>Medium</v>
      </c>
      <c r="P175" t="str">
        <f>_xlfn.XLOOKUP(worksheet[[#This Row],[Customer ID]],customers!$A$1:$A$1001,customers!$I$1:$I$1001,0)</f>
        <v>No</v>
      </c>
    </row>
    <row r="176" spans="1:16" x14ac:dyDescent="0.25">
      <c r="A176" s="2" t="s">
        <v>1470</v>
      </c>
      <c r="B176" s="4">
        <v>43813</v>
      </c>
      <c r="C176" s="2" t="s">
        <v>1471</v>
      </c>
      <c r="D176" t="s">
        <v>6148</v>
      </c>
      <c r="E176" s="2">
        <v>6</v>
      </c>
      <c r="F176" s="2" t="str">
        <f>_xlfn.XLOOKUP(C176,customers!$A$1:$A$1001,customers!$B$1:$B$1001,0)</f>
        <v>Elysee Sketch</v>
      </c>
      <c r="G176" s="2" t="s">
        <v>6222</v>
      </c>
      <c r="H176" s="2" t="str">
        <f>_xlfn.XLOOKUP(C176,customers!$A$1:$A$1001,customers!$G$1:$G$1001,0)</f>
        <v>United States</v>
      </c>
      <c r="I176" t="str">
        <f>_xlfn.XLOOKUP(D176,products!$A$1:$A$49,products!$B$1:$B$49,0)</f>
        <v>Exc</v>
      </c>
      <c r="J176" t="str">
        <f>_xlfn.XLOOKUP('data cleaned'!D176,products!$A$1:$A$49,products!$C$1:$C$49,0)</f>
        <v>L</v>
      </c>
      <c r="K176" s="5">
        <f>_xlfn.XLOOKUP('data cleaned'!D176,products!$A$1:$A$49,products!$D$1:$D$49,0)</f>
        <v>2.5</v>
      </c>
      <c r="L176" s="6">
        <f>_xlfn.XLOOKUP('data cleaned'!D176,products!$A$1:$A$49,products!$E$1:$E$49,0)</f>
        <v>34.154999999999994</v>
      </c>
      <c r="M176" s="6">
        <f>'data cleaned'!E176*'data cleaned'!L176</f>
        <v>204.92999999999995</v>
      </c>
      <c r="N176" t="str">
        <f t="shared" si="4"/>
        <v>Excelsa</v>
      </c>
      <c r="O176" t="str">
        <f t="shared" si="5"/>
        <v>Light</v>
      </c>
      <c r="P176" t="str">
        <f>_xlfn.XLOOKUP(worksheet[[#This Row],[Customer ID]],customers!$A$1:$A$1001,customers!$I$1:$I$1001,0)</f>
        <v>Yes</v>
      </c>
    </row>
    <row r="177" spans="1:16" x14ac:dyDescent="0.25">
      <c r="A177" s="2" t="s">
        <v>1475</v>
      </c>
      <c r="B177" s="4">
        <v>44296</v>
      </c>
      <c r="C177" s="2" t="s">
        <v>1476</v>
      </c>
      <c r="D177" t="s">
        <v>6166</v>
      </c>
      <c r="E177" s="2">
        <v>2</v>
      </c>
      <c r="F177" s="2" t="str">
        <f>_xlfn.XLOOKUP(C177,customers!$A$1:$A$1001,customers!$B$1:$B$1001,0)</f>
        <v>Ethelda Hobbing</v>
      </c>
      <c r="G177" s="2" t="s">
        <v>1478</v>
      </c>
      <c r="H177" s="2" t="str">
        <f>_xlfn.XLOOKUP(C177,customers!$A$1:$A$1001,customers!$G$1:$G$1001,0)</f>
        <v>United States</v>
      </c>
      <c r="I177" t="str">
        <f>_xlfn.XLOOKUP(D177,products!$A$1:$A$49,products!$B$1:$B$49,0)</f>
        <v>Exc</v>
      </c>
      <c r="J177" t="str">
        <f>_xlfn.XLOOKUP('data cleaned'!D177,products!$A$1:$A$49,products!$C$1:$C$49,0)</f>
        <v>M</v>
      </c>
      <c r="K177" s="5">
        <f>_xlfn.XLOOKUP('data cleaned'!D177,products!$A$1:$A$49,products!$D$1:$D$49,0)</f>
        <v>2.5</v>
      </c>
      <c r="L177" s="6">
        <f>_xlfn.XLOOKUP('data cleaned'!D177,products!$A$1:$A$49,products!$E$1:$E$49,0)</f>
        <v>31.624999999999996</v>
      </c>
      <c r="M177" s="6">
        <f>'data cleaned'!E177*'data cleaned'!L177</f>
        <v>63.249999999999993</v>
      </c>
      <c r="N177" t="str">
        <f t="shared" si="4"/>
        <v>Excelsa</v>
      </c>
      <c r="O177" t="str">
        <f t="shared" si="5"/>
        <v>Medium</v>
      </c>
      <c r="P177" t="str">
        <f>_xlfn.XLOOKUP(worksheet[[#This Row],[Customer ID]],customers!$A$1:$A$1001,customers!$I$1:$I$1001,0)</f>
        <v>Yes</v>
      </c>
    </row>
    <row r="178" spans="1:16" x14ac:dyDescent="0.25">
      <c r="A178" s="2" t="s">
        <v>1481</v>
      </c>
      <c r="B178" s="4">
        <v>43900</v>
      </c>
      <c r="C178" s="2" t="s">
        <v>1482</v>
      </c>
      <c r="D178" t="s">
        <v>6148</v>
      </c>
      <c r="E178" s="2">
        <v>1</v>
      </c>
      <c r="F178" s="2" t="str">
        <f>_xlfn.XLOOKUP(C178,customers!$A$1:$A$1001,customers!$B$1:$B$1001,0)</f>
        <v>Odille Thynne</v>
      </c>
      <c r="G178" s="2" t="s">
        <v>1484</v>
      </c>
      <c r="H178" s="2" t="str">
        <f>_xlfn.XLOOKUP(C178,customers!$A$1:$A$1001,customers!$G$1:$G$1001,0)</f>
        <v>United States</v>
      </c>
      <c r="I178" t="str">
        <f>_xlfn.XLOOKUP(D178,products!$A$1:$A$49,products!$B$1:$B$49,0)</f>
        <v>Exc</v>
      </c>
      <c r="J178" t="str">
        <f>_xlfn.XLOOKUP('data cleaned'!D178,products!$A$1:$A$49,products!$C$1:$C$49,0)</f>
        <v>L</v>
      </c>
      <c r="K178" s="5">
        <f>_xlfn.XLOOKUP('data cleaned'!D178,products!$A$1:$A$49,products!$D$1:$D$49,0)</f>
        <v>2.5</v>
      </c>
      <c r="L178" s="6">
        <f>_xlfn.XLOOKUP('data cleaned'!D178,products!$A$1:$A$49,products!$E$1:$E$49,0)</f>
        <v>34.154999999999994</v>
      </c>
      <c r="M178" s="6">
        <f>'data cleaned'!E178*'data cleaned'!L178</f>
        <v>34.154999999999994</v>
      </c>
      <c r="N178" t="str">
        <f t="shared" si="4"/>
        <v>Excelsa</v>
      </c>
      <c r="O178" t="str">
        <f t="shared" si="5"/>
        <v>Light</v>
      </c>
      <c r="P178" t="str">
        <f>_xlfn.XLOOKUP(worksheet[[#This Row],[Customer ID]],customers!$A$1:$A$1001,customers!$I$1:$I$1001,0)</f>
        <v>Yes</v>
      </c>
    </row>
    <row r="179" spans="1:16" x14ac:dyDescent="0.25">
      <c r="A179" s="2" t="s">
        <v>1487</v>
      </c>
      <c r="B179" s="4">
        <v>44120</v>
      </c>
      <c r="C179" s="2" t="s">
        <v>1488</v>
      </c>
      <c r="D179" t="s">
        <v>6142</v>
      </c>
      <c r="E179" s="2">
        <v>4</v>
      </c>
      <c r="F179" s="2" t="str">
        <f>_xlfn.XLOOKUP(C179,customers!$A$1:$A$1001,customers!$B$1:$B$1001,0)</f>
        <v>Emlynne Heining</v>
      </c>
      <c r="G179" s="2" t="s">
        <v>1490</v>
      </c>
      <c r="H179" s="2" t="str">
        <f>_xlfn.XLOOKUP(C179,customers!$A$1:$A$1001,customers!$G$1:$G$1001,0)</f>
        <v>United States</v>
      </c>
      <c r="I179" t="str">
        <f>_xlfn.XLOOKUP(D179,products!$A$1:$A$49,products!$B$1:$B$49,0)</f>
        <v>Rob</v>
      </c>
      <c r="J179" t="str">
        <f>_xlfn.XLOOKUP('data cleaned'!D179,products!$A$1:$A$49,products!$C$1:$C$49,0)</f>
        <v>L</v>
      </c>
      <c r="K179" s="5">
        <f>_xlfn.XLOOKUP('data cleaned'!D179,products!$A$1:$A$49,products!$D$1:$D$49,0)</f>
        <v>2.5</v>
      </c>
      <c r="L179" s="6">
        <f>_xlfn.XLOOKUP('data cleaned'!D179,products!$A$1:$A$49,products!$E$1:$E$49,0)</f>
        <v>27.484999999999996</v>
      </c>
      <c r="M179" s="6">
        <f>'data cleaned'!E179*'data cleaned'!L179</f>
        <v>109.93999999999998</v>
      </c>
      <c r="N179" t="str">
        <f t="shared" si="4"/>
        <v>Robusta</v>
      </c>
      <c r="O179" t="str">
        <f t="shared" si="5"/>
        <v>Light</v>
      </c>
      <c r="P179" t="str">
        <f>_xlfn.XLOOKUP(worksheet[[#This Row],[Customer ID]],customers!$A$1:$A$1001,customers!$I$1:$I$1001,0)</f>
        <v>Yes</v>
      </c>
    </row>
    <row r="180" spans="1:16" x14ac:dyDescent="0.25">
      <c r="A180" s="2" t="s">
        <v>1492</v>
      </c>
      <c r="B180" s="4">
        <v>43746</v>
      </c>
      <c r="C180" s="2" t="s">
        <v>1493</v>
      </c>
      <c r="D180" t="s">
        <v>6140</v>
      </c>
      <c r="E180" s="2">
        <v>2</v>
      </c>
      <c r="F180" s="2" t="str">
        <f>_xlfn.XLOOKUP(C180,customers!$A$1:$A$1001,customers!$B$1:$B$1001,0)</f>
        <v>Katerina Melloi</v>
      </c>
      <c r="G180" s="2" t="s">
        <v>1495</v>
      </c>
      <c r="H180" s="2" t="str">
        <f>_xlfn.XLOOKUP(C180,customers!$A$1:$A$1001,customers!$G$1:$G$1001,0)</f>
        <v>United States</v>
      </c>
      <c r="I180" t="str">
        <f>_xlfn.XLOOKUP(D180,products!$A$1:$A$49,products!$B$1:$B$49,0)</f>
        <v>Ara</v>
      </c>
      <c r="J180" t="str">
        <f>_xlfn.XLOOKUP('data cleaned'!D180,products!$A$1:$A$49,products!$C$1:$C$49,0)</f>
        <v>L</v>
      </c>
      <c r="K180" s="5">
        <f>_xlfn.XLOOKUP('data cleaned'!D180,products!$A$1:$A$49,products!$D$1:$D$49,0)</f>
        <v>1</v>
      </c>
      <c r="L180" s="6">
        <f>_xlfn.XLOOKUP('data cleaned'!D180,products!$A$1:$A$49,products!$E$1:$E$49,0)</f>
        <v>12.95</v>
      </c>
      <c r="M180" s="6">
        <f>'data cleaned'!E180*'data cleaned'!L180</f>
        <v>25.9</v>
      </c>
      <c r="N180" t="str">
        <f t="shared" si="4"/>
        <v>Arabica</v>
      </c>
      <c r="O180" t="str">
        <f t="shared" si="5"/>
        <v>Light</v>
      </c>
      <c r="P180" t="str">
        <f>_xlfn.XLOOKUP(worksheet[[#This Row],[Customer ID]],customers!$A$1:$A$1001,customers!$I$1:$I$1001,0)</f>
        <v>No</v>
      </c>
    </row>
    <row r="181" spans="1:16" x14ac:dyDescent="0.25">
      <c r="A181" s="2" t="s">
        <v>1498</v>
      </c>
      <c r="B181" s="4">
        <v>43830</v>
      </c>
      <c r="C181" s="2" t="s">
        <v>1499</v>
      </c>
      <c r="D181" t="s">
        <v>6154</v>
      </c>
      <c r="E181" s="2">
        <v>1</v>
      </c>
      <c r="F181" s="2" t="str">
        <f>_xlfn.XLOOKUP(C181,customers!$A$1:$A$1001,customers!$B$1:$B$1001,0)</f>
        <v>Tiffany Scardafield</v>
      </c>
      <c r="G181" s="2" t="s">
        <v>6222</v>
      </c>
      <c r="H181" s="2" t="str">
        <f>_xlfn.XLOOKUP(C181,customers!$A$1:$A$1001,customers!$G$1:$G$1001,0)</f>
        <v>Ireland</v>
      </c>
      <c r="I181" t="str">
        <f>_xlfn.XLOOKUP(D181,products!$A$1:$A$49,products!$B$1:$B$49,0)</f>
        <v>Ara</v>
      </c>
      <c r="J181" t="str">
        <f>_xlfn.XLOOKUP('data cleaned'!D181,products!$A$1:$A$49,products!$C$1:$C$49,0)</f>
        <v>D</v>
      </c>
      <c r="K181" s="5">
        <f>_xlfn.XLOOKUP('data cleaned'!D181,products!$A$1:$A$49,products!$D$1:$D$49,0)</f>
        <v>0.2</v>
      </c>
      <c r="L181" s="6">
        <f>_xlfn.XLOOKUP('data cleaned'!D181,products!$A$1:$A$49,products!$E$1:$E$49,0)</f>
        <v>2.9849999999999999</v>
      </c>
      <c r="M181" s="6">
        <f>'data cleaned'!E181*'data cleaned'!L181</f>
        <v>2.9849999999999999</v>
      </c>
      <c r="N181" t="str">
        <f t="shared" si="4"/>
        <v>Arabica</v>
      </c>
      <c r="O181" t="str">
        <f t="shared" si="5"/>
        <v>Dark</v>
      </c>
      <c r="P181" t="str">
        <f>_xlfn.XLOOKUP(worksheet[[#This Row],[Customer ID]],customers!$A$1:$A$1001,customers!$I$1:$I$1001,0)</f>
        <v>No</v>
      </c>
    </row>
    <row r="182" spans="1:16" x14ac:dyDescent="0.25">
      <c r="A182" s="2" t="s">
        <v>1503</v>
      </c>
      <c r="B182" s="4">
        <v>43910</v>
      </c>
      <c r="C182" s="2" t="s">
        <v>1504</v>
      </c>
      <c r="D182" t="s">
        <v>6184</v>
      </c>
      <c r="E182" s="2">
        <v>5</v>
      </c>
      <c r="F182" s="2" t="str">
        <f>_xlfn.XLOOKUP(C182,customers!$A$1:$A$1001,customers!$B$1:$B$1001,0)</f>
        <v>Abrahan Mussen</v>
      </c>
      <c r="G182" s="2" t="s">
        <v>1506</v>
      </c>
      <c r="H182" s="2" t="str">
        <f>_xlfn.XLOOKUP(C182,customers!$A$1:$A$1001,customers!$G$1:$G$1001,0)</f>
        <v>United States</v>
      </c>
      <c r="I182" t="str">
        <f>_xlfn.XLOOKUP(D182,products!$A$1:$A$49,products!$B$1:$B$49,0)</f>
        <v>Exc</v>
      </c>
      <c r="J182" t="str">
        <f>_xlfn.XLOOKUP('data cleaned'!D182,products!$A$1:$A$49,products!$C$1:$C$49,0)</f>
        <v>L</v>
      </c>
      <c r="K182" s="5">
        <f>_xlfn.XLOOKUP('data cleaned'!D182,products!$A$1:$A$49,products!$D$1:$D$49,0)</f>
        <v>0.2</v>
      </c>
      <c r="L182" s="6">
        <f>_xlfn.XLOOKUP('data cleaned'!D182,products!$A$1:$A$49,products!$E$1:$E$49,0)</f>
        <v>4.4550000000000001</v>
      </c>
      <c r="M182" s="6">
        <f>'data cleaned'!E182*'data cleaned'!L182</f>
        <v>22.274999999999999</v>
      </c>
      <c r="N182" t="str">
        <f t="shared" si="4"/>
        <v>Excelsa</v>
      </c>
      <c r="O182" t="str">
        <f t="shared" si="5"/>
        <v>Light</v>
      </c>
      <c r="P182" t="str">
        <f>_xlfn.XLOOKUP(worksheet[[#This Row],[Customer ID]],customers!$A$1:$A$1001,customers!$I$1:$I$1001,0)</f>
        <v>No</v>
      </c>
    </row>
    <row r="183" spans="1:16" x14ac:dyDescent="0.25">
      <c r="A183" s="2" t="s">
        <v>1503</v>
      </c>
      <c r="B183" s="4">
        <v>43910</v>
      </c>
      <c r="C183" s="2" t="s">
        <v>1504</v>
      </c>
      <c r="D183" t="s">
        <v>6158</v>
      </c>
      <c r="E183" s="2">
        <v>5</v>
      </c>
      <c r="F183" s="2" t="str">
        <f>_xlfn.XLOOKUP(C183,customers!$A$1:$A$1001,customers!$B$1:$B$1001,0)</f>
        <v>Abrahan Mussen</v>
      </c>
      <c r="G183" s="2" t="s">
        <v>1506</v>
      </c>
      <c r="H183" s="2" t="str">
        <f>_xlfn.XLOOKUP(C183,customers!$A$1:$A$1001,customers!$G$1:$G$1001,0)</f>
        <v>United States</v>
      </c>
      <c r="I183" t="str">
        <f>_xlfn.XLOOKUP(D183,products!$A$1:$A$49,products!$B$1:$B$49,0)</f>
        <v>Ara</v>
      </c>
      <c r="J183" t="str">
        <f>_xlfn.XLOOKUP('data cleaned'!D183,products!$A$1:$A$49,products!$C$1:$C$49,0)</f>
        <v>D</v>
      </c>
      <c r="K183" s="5">
        <f>_xlfn.XLOOKUP('data cleaned'!D183,products!$A$1:$A$49,products!$D$1:$D$49,0)</f>
        <v>0.5</v>
      </c>
      <c r="L183" s="6">
        <f>_xlfn.XLOOKUP('data cleaned'!D183,products!$A$1:$A$49,products!$E$1:$E$49,0)</f>
        <v>5.97</v>
      </c>
      <c r="M183" s="6">
        <f>'data cleaned'!E183*'data cleaned'!L183</f>
        <v>29.849999999999998</v>
      </c>
      <c r="N183" t="str">
        <f t="shared" si="4"/>
        <v>Arabica</v>
      </c>
      <c r="O183" t="str">
        <f t="shared" si="5"/>
        <v>Dark</v>
      </c>
      <c r="P183" t="str">
        <f>_xlfn.XLOOKUP(worksheet[[#This Row],[Customer ID]],customers!$A$1:$A$1001,customers!$I$1:$I$1001,0)</f>
        <v>No</v>
      </c>
    </row>
    <row r="184" spans="1:16" x14ac:dyDescent="0.25">
      <c r="A184" s="2" t="s">
        <v>1514</v>
      </c>
      <c r="B184" s="4">
        <v>44284</v>
      </c>
      <c r="C184" s="2" t="s">
        <v>1515</v>
      </c>
      <c r="D184" t="s">
        <v>6172</v>
      </c>
      <c r="E184" s="2">
        <v>6</v>
      </c>
      <c r="F184" s="2" t="str">
        <f>_xlfn.XLOOKUP(C184,customers!$A$1:$A$1001,customers!$B$1:$B$1001,0)</f>
        <v>Anny Mundford</v>
      </c>
      <c r="G184" s="2" t="s">
        <v>1517</v>
      </c>
      <c r="H184" s="2" t="str">
        <f>_xlfn.XLOOKUP(C184,customers!$A$1:$A$1001,customers!$G$1:$G$1001,0)</f>
        <v>United States</v>
      </c>
      <c r="I184" t="str">
        <f>_xlfn.XLOOKUP(D184,products!$A$1:$A$49,products!$B$1:$B$49,0)</f>
        <v>Rob</v>
      </c>
      <c r="J184" t="str">
        <f>_xlfn.XLOOKUP('data cleaned'!D184,products!$A$1:$A$49,products!$C$1:$C$49,0)</f>
        <v>D</v>
      </c>
      <c r="K184" s="5">
        <f>_xlfn.XLOOKUP('data cleaned'!D184,products!$A$1:$A$49,products!$D$1:$D$49,0)</f>
        <v>0.5</v>
      </c>
      <c r="L184" s="6">
        <f>_xlfn.XLOOKUP('data cleaned'!D184,products!$A$1:$A$49,products!$E$1:$E$49,0)</f>
        <v>5.3699999999999992</v>
      </c>
      <c r="M184" s="6">
        <f>'data cleaned'!E184*'data cleaned'!L184</f>
        <v>32.22</v>
      </c>
      <c r="N184" t="str">
        <f t="shared" si="4"/>
        <v>Robusta</v>
      </c>
      <c r="O184" t="str">
        <f t="shared" si="5"/>
        <v>Dark</v>
      </c>
      <c r="P184" t="str">
        <f>_xlfn.XLOOKUP(worksheet[[#This Row],[Customer ID]],customers!$A$1:$A$1001,customers!$I$1:$I$1001,0)</f>
        <v>No</v>
      </c>
    </row>
    <row r="185" spans="1:16" x14ac:dyDescent="0.25">
      <c r="A185" s="2" t="s">
        <v>1520</v>
      </c>
      <c r="B185" s="4">
        <v>44512</v>
      </c>
      <c r="C185" s="2" t="s">
        <v>1521</v>
      </c>
      <c r="D185" t="s">
        <v>6156</v>
      </c>
      <c r="E185" s="2">
        <v>2</v>
      </c>
      <c r="F185" s="2" t="str">
        <f>_xlfn.XLOOKUP(C185,customers!$A$1:$A$1001,customers!$B$1:$B$1001,0)</f>
        <v>Tory Walas</v>
      </c>
      <c r="G185" s="2" t="s">
        <v>1523</v>
      </c>
      <c r="H185" s="2" t="str">
        <f>_xlfn.XLOOKUP(C185,customers!$A$1:$A$1001,customers!$G$1:$G$1001,0)</f>
        <v>United States</v>
      </c>
      <c r="I185" t="str">
        <f>_xlfn.XLOOKUP(D185,products!$A$1:$A$49,products!$B$1:$B$49,0)</f>
        <v>Exc</v>
      </c>
      <c r="J185" t="str">
        <f>_xlfn.XLOOKUP('data cleaned'!D185,products!$A$1:$A$49,products!$C$1:$C$49,0)</f>
        <v>M</v>
      </c>
      <c r="K185" s="5">
        <f>_xlfn.XLOOKUP('data cleaned'!D185,products!$A$1:$A$49,products!$D$1:$D$49,0)</f>
        <v>0.2</v>
      </c>
      <c r="L185" s="6">
        <f>_xlfn.XLOOKUP('data cleaned'!D185,products!$A$1:$A$49,products!$E$1:$E$49,0)</f>
        <v>4.125</v>
      </c>
      <c r="M185" s="6">
        <f>'data cleaned'!E185*'data cleaned'!L185</f>
        <v>8.25</v>
      </c>
      <c r="N185" t="str">
        <f t="shared" si="4"/>
        <v>Excelsa</v>
      </c>
      <c r="O185" t="str">
        <f t="shared" si="5"/>
        <v>Medium</v>
      </c>
      <c r="P185" t="str">
        <f>_xlfn.XLOOKUP(worksheet[[#This Row],[Customer ID]],customers!$A$1:$A$1001,customers!$I$1:$I$1001,0)</f>
        <v>No</v>
      </c>
    </row>
    <row r="186" spans="1:16" x14ac:dyDescent="0.25">
      <c r="A186" s="2" t="s">
        <v>1526</v>
      </c>
      <c r="B186" s="4">
        <v>44397</v>
      </c>
      <c r="C186" s="2" t="s">
        <v>1527</v>
      </c>
      <c r="D186" t="s">
        <v>6180</v>
      </c>
      <c r="E186" s="2">
        <v>4</v>
      </c>
      <c r="F186" s="2" t="str">
        <f>_xlfn.XLOOKUP(C186,customers!$A$1:$A$1001,customers!$B$1:$B$1001,0)</f>
        <v>Isa Blazewicz</v>
      </c>
      <c r="G186" s="2" t="s">
        <v>1529</v>
      </c>
      <c r="H186" s="2" t="str">
        <f>_xlfn.XLOOKUP(C186,customers!$A$1:$A$1001,customers!$G$1:$G$1001,0)</f>
        <v>United States</v>
      </c>
      <c r="I186" t="str">
        <f>_xlfn.XLOOKUP(D186,products!$A$1:$A$49,products!$B$1:$B$49,0)</f>
        <v>Ara</v>
      </c>
      <c r="J186" t="str">
        <f>_xlfn.XLOOKUP('data cleaned'!D186,products!$A$1:$A$49,products!$C$1:$C$49,0)</f>
        <v>L</v>
      </c>
      <c r="K186" s="5">
        <f>_xlfn.XLOOKUP('data cleaned'!D186,products!$A$1:$A$49,products!$D$1:$D$49,0)</f>
        <v>0.5</v>
      </c>
      <c r="L186" s="6">
        <f>_xlfn.XLOOKUP('data cleaned'!D186,products!$A$1:$A$49,products!$E$1:$E$49,0)</f>
        <v>7.77</v>
      </c>
      <c r="M186" s="6">
        <f>'data cleaned'!E186*'data cleaned'!L186</f>
        <v>31.08</v>
      </c>
      <c r="N186" t="str">
        <f t="shared" si="4"/>
        <v>Arabica</v>
      </c>
      <c r="O186" t="str">
        <f t="shared" si="5"/>
        <v>Light</v>
      </c>
      <c r="P186" t="str">
        <f>_xlfn.XLOOKUP(worksheet[[#This Row],[Customer ID]],customers!$A$1:$A$1001,customers!$I$1:$I$1001,0)</f>
        <v>No</v>
      </c>
    </row>
    <row r="187" spans="1:16" x14ac:dyDescent="0.25">
      <c r="A187" s="2" t="s">
        <v>1532</v>
      </c>
      <c r="B187" s="4">
        <v>43483</v>
      </c>
      <c r="C187" s="2" t="s">
        <v>1533</v>
      </c>
      <c r="D187" t="s">
        <v>6144</v>
      </c>
      <c r="E187" s="2">
        <v>5</v>
      </c>
      <c r="F187" s="2" t="str">
        <f>_xlfn.XLOOKUP(C187,customers!$A$1:$A$1001,customers!$B$1:$B$1001,0)</f>
        <v>Angie Rizzetti</v>
      </c>
      <c r="G187" s="2" t="s">
        <v>1535</v>
      </c>
      <c r="H187" s="2" t="str">
        <f>_xlfn.XLOOKUP(C187,customers!$A$1:$A$1001,customers!$G$1:$G$1001,0)</f>
        <v>United States</v>
      </c>
      <c r="I187" t="str">
        <f>_xlfn.XLOOKUP(D187,products!$A$1:$A$49,products!$B$1:$B$49,0)</f>
        <v>Exc</v>
      </c>
      <c r="J187" t="str">
        <f>_xlfn.XLOOKUP('data cleaned'!D187,products!$A$1:$A$49,products!$C$1:$C$49,0)</f>
        <v>D</v>
      </c>
      <c r="K187" s="5">
        <f>_xlfn.XLOOKUP('data cleaned'!D187,products!$A$1:$A$49,products!$D$1:$D$49,0)</f>
        <v>0.5</v>
      </c>
      <c r="L187" s="6">
        <f>_xlfn.XLOOKUP('data cleaned'!D187,products!$A$1:$A$49,products!$E$1:$E$49,0)</f>
        <v>7.29</v>
      </c>
      <c r="M187" s="6">
        <f>'data cleaned'!E187*'data cleaned'!L187</f>
        <v>36.450000000000003</v>
      </c>
      <c r="N187" t="str">
        <f t="shared" si="4"/>
        <v>Excelsa</v>
      </c>
      <c r="O187" t="str">
        <f t="shared" si="5"/>
        <v>Dark</v>
      </c>
      <c r="P187" t="str">
        <f>_xlfn.XLOOKUP(worksheet[[#This Row],[Customer ID]],customers!$A$1:$A$1001,customers!$I$1:$I$1001,0)</f>
        <v>Yes</v>
      </c>
    </row>
    <row r="188" spans="1:16" x14ac:dyDescent="0.25">
      <c r="A188" s="2" t="s">
        <v>1538</v>
      </c>
      <c r="B188" s="4">
        <v>43684</v>
      </c>
      <c r="C188" s="2" t="s">
        <v>1539</v>
      </c>
      <c r="D188" t="s">
        <v>6151</v>
      </c>
      <c r="E188" s="2">
        <v>3</v>
      </c>
      <c r="F188" s="2" t="str">
        <f>_xlfn.XLOOKUP(C188,customers!$A$1:$A$1001,customers!$B$1:$B$1001,0)</f>
        <v>Mord Meriet</v>
      </c>
      <c r="G188" s="2" t="s">
        <v>1541</v>
      </c>
      <c r="H188" s="2" t="str">
        <f>_xlfn.XLOOKUP(C188,customers!$A$1:$A$1001,customers!$G$1:$G$1001,0)</f>
        <v>United States</v>
      </c>
      <c r="I188" t="str">
        <f>_xlfn.XLOOKUP(D188,products!$A$1:$A$49,products!$B$1:$B$49,0)</f>
        <v>Rob</v>
      </c>
      <c r="J188" t="str">
        <f>_xlfn.XLOOKUP('data cleaned'!D188,products!$A$1:$A$49,products!$C$1:$C$49,0)</f>
        <v>M</v>
      </c>
      <c r="K188" s="5">
        <f>_xlfn.XLOOKUP('data cleaned'!D188,products!$A$1:$A$49,products!$D$1:$D$49,0)</f>
        <v>2.5</v>
      </c>
      <c r="L188" s="6">
        <f>_xlfn.XLOOKUP('data cleaned'!D188,products!$A$1:$A$49,products!$E$1:$E$49,0)</f>
        <v>22.884999999999998</v>
      </c>
      <c r="M188" s="6">
        <f>'data cleaned'!E188*'data cleaned'!L188</f>
        <v>68.655000000000001</v>
      </c>
      <c r="N188" t="str">
        <f t="shared" si="4"/>
        <v>Robusta</v>
      </c>
      <c r="O188" t="str">
        <f t="shared" si="5"/>
        <v>Medium</v>
      </c>
      <c r="P188" t="str">
        <f>_xlfn.XLOOKUP(worksheet[[#This Row],[Customer ID]],customers!$A$1:$A$1001,customers!$I$1:$I$1001,0)</f>
        <v>No</v>
      </c>
    </row>
    <row r="189" spans="1:16" x14ac:dyDescent="0.25">
      <c r="A189" s="2" t="s">
        <v>1544</v>
      </c>
      <c r="B189" s="4">
        <v>44633</v>
      </c>
      <c r="C189" s="2" t="s">
        <v>1545</v>
      </c>
      <c r="D189" t="s">
        <v>6160</v>
      </c>
      <c r="E189" s="2">
        <v>5</v>
      </c>
      <c r="F189" s="2" t="str">
        <f>_xlfn.XLOOKUP(C189,customers!$A$1:$A$1001,customers!$B$1:$B$1001,0)</f>
        <v>Lawrence Pratt</v>
      </c>
      <c r="G189" s="2" t="s">
        <v>1547</v>
      </c>
      <c r="H189" s="2" t="str">
        <f>_xlfn.XLOOKUP(C189,customers!$A$1:$A$1001,customers!$G$1:$G$1001,0)</f>
        <v>United States</v>
      </c>
      <c r="I189" t="str">
        <f>_xlfn.XLOOKUP(D189,products!$A$1:$A$49,products!$B$1:$B$49,0)</f>
        <v>Lib</v>
      </c>
      <c r="J189" t="str">
        <f>_xlfn.XLOOKUP('data cleaned'!D189,products!$A$1:$A$49,products!$C$1:$C$49,0)</f>
        <v>M</v>
      </c>
      <c r="K189" s="5">
        <f>_xlfn.XLOOKUP('data cleaned'!D189,products!$A$1:$A$49,products!$D$1:$D$49,0)</f>
        <v>0.5</v>
      </c>
      <c r="L189" s="6">
        <f>_xlfn.XLOOKUP('data cleaned'!D189,products!$A$1:$A$49,products!$E$1:$E$49,0)</f>
        <v>8.73</v>
      </c>
      <c r="M189" s="6">
        <f>'data cleaned'!E189*'data cleaned'!L189</f>
        <v>43.650000000000006</v>
      </c>
      <c r="N189" t="str">
        <f t="shared" si="4"/>
        <v>Liberica</v>
      </c>
      <c r="O189" t="str">
        <f t="shared" si="5"/>
        <v>Medium</v>
      </c>
      <c r="P189" t="str">
        <f>_xlfn.XLOOKUP(worksheet[[#This Row],[Customer ID]],customers!$A$1:$A$1001,customers!$I$1:$I$1001,0)</f>
        <v>Yes</v>
      </c>
    </row>
    <row r="190" spans="1:16" x14ac:dyDescent="0.25">
      <c r="A190" s="2" t="s">
        <v>1549</v>
      </c>
      <c r="B190" s="4">
        <v>44698</v>
      </c>
      <c r="C190" s="2" t="s">
        <v>1550</v>
      </c>
      <c r="D190" t="s">
        <v>6184</v>
      </c>
      <c r="E190" s="2">
        <v>1</v>
      </c>
      <c r="F190" s="2" t="str">
        <f>_xlfn.XLOOKUP(C190,customers!$A$1:$A$1001,customers!$B$1:$B$1001,0)</f>
        <v>Astrix Kitchingham</v>
      </c>
      <c r="G190" s="2" t="s">
        <v>1552</v>
      </c>
      <c r="H190" s="2" t="str">
        <f>_xlfn.XLOOKUP(C190,customers!$A$1:$A$1001,customers!$G$1:$G$1001,0)</f>
        <v>United States</v>
      </c>
      <c r="I190" t="str">
        <f>_xlfn.XLOOKUP(D190,products!$A$1:$A$49,products!$B$1:$B$49,0)</f>
        <v>Exc</v>
      </c>
      <c r="J190" t="str">
        <f>_xlfn.XLOOKUP('data cleaned'!D190,products!$A$1:$A$49,products!$C$1:$C$49,0)</f>
        <v>L</v>
      </c>
      <c r="K190" s="5">
        <f>_xlfn.XLOOKUP('data cleaned'!D190,products!$A$1:$A$49,products!$D$1:$D$49,0)</f>
        <v>0.2</v>
      </c>
      <c r="L190" s="6">
        <f>_xlfn.XLOOKUP('data cleaned'!D190,products!$A$1:$A$49,products!$E$1:$E$49,0)</f>
        <v>4.4550000000000001</v>
      </c>
      <c r="M190" s="6">
        <f>'data cleaned'!E190*'data cleaned'!L190</f>
        <v>4.4550000000000001</v>
      </c>
      <c r="N190" t="str">
        <f t="shared" si="4"/>
        <v>Excelsa</v>
      </c>
      <c r="O190" t="str">
        <f t="shared" si="5"/>
        <v>Light</v>
      </c>
      <c r="P190" t="str">
        <f>_xlfn.XLOOKUP(worksheet[[#This Row],[Customer ID]],customers!$A$1:$A$1001,customers!$I$1:$I$1001,0)</f>
        <v>Yes</v>
      </c>
    </row>
    <row r="191" spans="1:16" x14ac:dyDescent="0.25">
      <c r="A191" s="2" t="s">
        <v>1555</v>
      </c>
      <c r="B191" s="4">
        <v>43813</v>
      </c>
      <c r="C191" s="2" t="s">
        <v>1556</v>
      </c>
      <c r="D191" t="s">
        <v>6162</v>
      </c>
      <c r="E191" s="2">
        <v>3</v>
      </c>
      <c r="F191" s="2" t="str">
        <f>_xlfn.XLOOKUP(C191,customers!$A$1:$A$1001,customers!$B$1:$B$1001,0)</f>
        <v>Burnard Bartholin</v>
      </c>
      <c r="G191" s="2" t="s">
        <v>1558</v>
      </c>
      <c r="H191" s="2" t="str">
        <f>_xlfn.XLOOKUP(C191,customers!$A$1:$A$1001,customers!$G$1:$G$1001,0)</f>
        <v>United States</v>
      </c>
      <c r="I191" t="str">
        <f>_xlfn.XLOOKUP(D191,products!$A$1:$A$49,products!$B$1:$B$49,0)</f>
        <v>Lib</v>
      </c>
      <c r="J191" t="str">
        <f>_xlfn.XLOOKUP('data cleaned'!D191,products!$A$1:$A$49,products!$C$1:$C$49,0)</f>
        <v>M</v>
      </c>
      <c r="K191" s="5">
        <f>_xlfn.XLOOKUP('data cleaned'!D191,products!$A$1:$A$49,products!$D$1:$D$49,0)</f>
        <v>1</v>
      </c>
      <c r="L191" s="6">
        <f>_xlfn.XLOOKUP('data cleaned'!D191,products!$A$1:$A$49,products!$E$1:$E$49,0)</f>
        <v>14.55</v>
      </c>
      <c r="M191" s="6">
        <f>'data cleaned'!E191*'data cleaned'!L191</f>
        <v>43.650000000000006</v>
      </c>
      <c r="N191" t="str">
        <f t="shared" si="4"/>
        <v>Liberica</v>
      </c>
      <c r="O191" t="str">
        <f t="shared" si="5"/>
        <v>Medium</v>
      </c>
      <c r="P191" t="str">
        <f>_xlfn.XLOOKUP(worksheet[[#This Row],[Customer ID]],customers!$A$1:$A$1001,customers!$I$1:$I$1001,0)</f>
        <v>Yes</v>
      </c>
    </row>
    <row r="192" spans="1:16" x14ac:dyDescent="0.25">
      <c r="A192" s="2" t="s">
        <v>1561</v>
      </c>
      <c r="B192" s="4">
        <v>43845</v>
      </c>
      <c r="C192" s="2" t="s">
        <v>1562</v>
      </c>
      <c r="D192" t="s">
        <v>6181</v>
      </c>
      <c r="E192" s="2">
        <v>1</v>
      </c>
      <c r="F192" s="2" t="str">
        <f>_xlfn.XLOOKUP(C192,customers!$A$1:$A$1001,customers!$B$1:$B$1001,0)</f>
        <v>Madelene Prinn</v>
      </c>
      <c r="G192" s="2" t="s">
        <v>1564</v>
      </c>
      <c r="H192" s="2" t="str">
        <f>_xlfn.XLOOKUP(C192,customers!$A$1:$A$1001,customers!$G$1:$G$1001,0)</f>
        <v>United States</v>
      </c>
      <c r="I192" t="str">
        <f>_xlfn.XLOOKUP(D192,products!$A$1:$A$49,products!$B$1:$B$49,0)</f>
        <v>Lib</v>
      </c>
      <c r="J192" t="str">
        <f>_xlfn.XLOOKUP('data cleaned'!D192,products!$A$1:$A$49,products!$C$1:$C$49,0)</f>
        <v>M</v>
      </c>
      <c r="K192" s="5">
        <f>_xlfn.XLOOKUP('data cleaned'!D192,products!$A$1:$A$49,products!$D$1:$D$49,0)</f>
        <v>2.5</v>
      </c>
      <c r="L192" s="6">
        <f>_xlfn.XLOOKUP('data cleaned'!D192,products!$A$1:$A$49,products!$E$1:$E$49,0)</f>
        <v>33.464999999999996</v>
      </c>
      <c r="M192" s="6">
        <f>'data cleaned'!E192*'data cleaned'!L192</f>
        <v>33.464999999999996</v>
      </c>
      <c r="N192" t="str">
        <f t="shared" si="4"/>
        <v>Liberica</v>
      </c>
      <c r="O192" t="str">
        <f t="shared" si="5"/>
        <v>Medium</v>
      </c>
      <c r="P192" t="str">
        <f>_xlfn.XLOOKUP(worksheet[[#This Row],[Customer ID]],customers!$A$1:$A$1001,customers!$I$1:$I$1001,0)</f>
        <v>Yes</v>
      </c>
    </row>
    <row r="193" spans="1:16" x14ac:dyDescent="0.25">
      <c r="A193" s="2" t="s">
        <v>1567</v>
      </c>
      <c r="B193" s="4">
        <v>43567</v>
      </c>
      <c r="C193" s="2" t="s">
        <v>1568</v>
      </c>
      <c r="D193" t="s">
        <v>6150</v>
      </c>
      <c r="E193" s="2">
        <v>5</v>
      </c>
      <c r="F193" s="2" t="str">
        <f>_xlfn.XLOOKUP(C193,customers!$A$1:$A$1001,customers!$B$1:$B$1001,0)</f>
        <v>Alisun Baudino</v>
      </c>
      <c r="G193" s="2" t="s">
        <v>1570</v>
      </c>
      <c r="H193" s="2" t="str">
        <f>_xlfn.XLOOKUP(C193,customers!$A$1:$A$1001,customers!$G$1:$G$1001,0)</f>
        <v>United States</v>
      </c>
      <c r="I193" t="str">
        <f>_xlfn.XLOOKUP(D193,products!$A$1:$A$49,products!$B$1:$B$49,0)</f>
        <v>Lib</v>
      </c>
      <c r="J193" t="str">
        <f>_xlfn.XLOOKUP('data cleaned'!D193,products!$A$1:$A$49,products!$C$1:$C$49,0)</f>
        <v>D</v>
      </c>
      <c r="K193" s="5">
        <f>_xlfn.XLOOKUP('data cleaned'!D193,products!$A$1:$A$49,products!$D$1:$D$49,0)</f>
        <v>0.2</v>
      </c>
      <c r="L193" s="6">
        <f>_xlfn.XLOOKUP('data cleaned'!D193,products!$A$1:$A$49,products!$E$1:$E$49,0)</f>
        <v>3.8849999999999998</v>
      </c>
      <c r="M193" s="6">
        <f>'data cleaned'!E193*'data cleaned'!L193</f>
        <v>19.424999999999997</v>
      </c>
      <c r="N193" t="str">
        <f t="shared" si="4"/>
        <v>Liberica</v>
      </c>
      <c r="O193" t="str">
        <f t="shared" si="5"/>
        <v>Dark</v>
      </c>
      <c r="P193" t="str">
        <f>_xlfn.XLOOKUP(worksheet[[#This Row],[Customer ID]],customers!$A$1:$A$1001,customers!$I$1:$I$1001,0)</f>
        <v>Yes</v>
      </c>
    </row>
    <row r="194" spans="1:16" x14ac:dyDescent="0.25">
      <c r="A194" s="2" t="s">
        <v>1573</v>
      </c>
      <c r="B194" s="4">
        <v>43919</v>
      </c>
      <c r="C194" s="2" t="s">
        <v>1574</v>
      </c>
      <c r="D194" t="s">
        <v>6183</v>
      </c>
      <c r="E194" s="2">
        <v>6</v>
      </c>
      <c r="F194" s="2" t="str">
        <f>_xlfn.XLOOKUP(C194,customers!$A$1:$A$1001,customers!$B$1:$B$1001,0)</f>
        <v>Philipa Petrushanko</v>
      </c>
      <c r="G194" s="2" t="s">
        <v>1576</v>
      </c>
      <c r="H194" s="2" t="str">
        <f>_xlfn.XLOOKUP(C194,customers!$A$1:$A$1001,customers!$G$1:$G$1001,0)</f>
        <v>Ireland</v>
      </c>
      <c r="I194" t="str">
        <f>_xlfn.XLOOKUP(D194,products!$A$1:$A$49,products!$B$1:$B$49,0)</f>
        <v>Exc</v>
      </c>
      <c r="J194" t="str">
        <f>_xlfn.XLOOKUP('data cleaned'!D194,products!$A$1:$A$49,products!$C$1:$C$49,0)</f>
        <v>D</v>
      </c>
      <c r="K194" s="5">
        <f>_xlfn.XLOOKUP('data cleaned'!D194,products!$A$1:$A$49,products!$D$1:$D$49,0)</f>
        <v>1</v>
      </c>
      <c r="L194" s="6">
        <f>_xlfn.XLOOKUP('data cleaned'!D194,products!$A$1:$A$49,products!$E$1:$E$49,0)</f>
        <v>12.15</v>
      </c>
      <c r="M194" s="6">
        <f>'data cleaned'!E194*'data cleaned'!L194</f>
        <v>72.900000000000006</v>
      </c>
      <c r="N194" t="str">
        <f t="shared" si="4"/>
        <v>Excelsa</v>
      </c>
      <c r="O194" t="str">
        <f t="shared" si="5"/>
        <v>Dark</v>
      </c>
      <c r="P194" t="str">
        <f>_xlfn.XLOOKUP(worksheet[[#This Row],[Customer ID]],customers!$A$1:$A$1001,customers!$I$1:$I$1001,0)</f>
        <v>Yes</v>
      </c>
    </row>
    <row r="195" spans="1:16" x14ac:dyDescent="0.25">
      <c r="A195" s="2" t="s">
        <v>1579</v>
      </c>
      <c r="B195" s="4">
        <v>44644</v>
      </c>
      <c r="C195" s="2" t="s">
        <v>1580</v>
      </c>
      <c r="D195" t="s">
        <v>6171</v>
      </c>
      <c r="E195" s="2">
        <v>3</v>
      </c>
      <c r="F195" s="2" t="str">
        <f>_xlfn.XLOOKUP(C195,customers!$A$1:$A$1001,customers!$B$1:$B$1001,0)</f>
        <v>Kimberli Mustchin</v>
      </c>
      <c r="G195" s="2" t="s">
        <v>6222</v>
      </c>
      <c r="H195" s="2" t="str">
        <f>_xlfn.XLOOKUP(C195,customers!$A$1:$A$1001,customers!$G$1:$G$1001,0)</f>
        <v>United States</v>
      </c>
      <c r="I195" t="str">
        <f>_xlfn.XLOOKUP(D195,products!$A$1:$A$49,products!$B$1:$B$49,0)</f>
        <v>Exc</v>
      </c>
      <c r="J195" t="str">
        <f>_xlfn.XLOOKUP('data cleaned'!D195,products!$A$1:$A$49,products!$C$1:$C$49,0)</f>
        <v>L</v>
      </c>
      <c r="K195" s="5">
        <f>_xlfn.XLOOKUP('data cleaned'!D195,products!$A$1:$A$49,products!$D$1:$D$49,0)</f>
        <v>1</v>
      </c>
      <c r="L195" s="6">
        <f>_xlfn.XLOOKUP('data cleaned'!D195,products!$A$1:$A$49,products!$E$1:$E$49,0)</f>
        <v>14.85</v>
      </c>
      <c r="M195" s="6">
        <f>'data cleaned'!E195*'data cleaned'!L195</f>
        <v>44.55</v>
      </c>
      <c r="N195" t="str">
        <f t="shared" ref="N195:N258" si="6">IF(I195="Rob","Robusta",IF(I195="Exc","Excelsa",IF(I195="Ara","Arabica",IF(I195="Lib","Liberica",""))))</f>
        <v>Excelsa</v>
      </c>
      <c r="O195" t="str">
        <f t="shared" ref="O195:O258" si="7">IF(J195="M","Medium",IF(J195="L","Light",IF(J195="D","Dark","")))</f>
        <v>Light</v>
      </c>
      <c r="P195" t="str">
        <f>_xlfn.XLOOKUP(worksheet[[#This Row],[Customer ID]],customers!$A$1:$A$1001,customers!$I$1:$I$1001,0)</f>
        <v>No</v>
      </c>
    </row>
    <row r="196" spans="1:16" x14ac:dyDescent="0.25">
      <c r="A196" s="2" t="s">
        <v>1584</v>
      </c>
      <c r="B196" s="4">
        <v>44398</v>
      </c>
      <c r="C196" s="2" t="s">
        <v>1585</v>
      </c>
      <c r="D196" t="s">
        <v>6144</v>
      </c>
      <c r="E196" s="2">
        <v>5</v>
      </c>
      <c r="F196" s="2" t="str">
        <f>_xlfn.XLOOKUP(C196,customers!$A$1:$A$1001,customers!$B$1:$B$1001,0)</f>
        <v>Emlynne Laird</v>
      </c>
      <c r="G196" s="2" t="s">
        <v>1587</v>
      </c>
      <c r="H196" s="2" t="str">
        <f>_xlfn.XLOOKUP(C196,customers!$A$1:$A$1001,customers!$G$1:$G$1001,0)</f>
        <v>United States</v>
      </c>
      <c r="I196" t="str">
        <f>_xlfn.XLOOKUP(D196,products!$A$1:$A$49,products!$B$1:$B$49,0)</f>
        <v>Exc</v>
      </c>
      <c r="J196" t="str">
        <f>_xlfn.XLOOKUP('data cleaned'!D196,products!$A$1:$A$49,products!$C$1:$C$49,0)</f>
        <v>D</v>
      </c>
      <c r="K196" s="5">
        <f>_xlfn.XLOOKUP('data cleaned'!D196,products!$A$1:$A$49,products!$D$1:$D$49,0)</f>
        <v>0.5</v>
      </c>
      <c r="L196" s="6">
        <f>_xlfn.XLOOKUP('data cleaned'!D196,products!$A$1:$A$49,products!$E$1:$E$49,0)</f>
        <v>7.29</v>
      </c>
      <c r="M196" s="6">
        <f>'data cleaned'!E196*'data cleaned'!L196</f>
        <v>36.450000000000003</v>
      </c>
      <c r="N196" t="str">
        <f t="shared" si="6"/>
        <v>Excelsa</v>
      </c>
      <c r="O196" t="str">
        <f t="shared" si="7"/>
        <v>Dark</v>
      </c>
      <c r="P196" t="str">
        <f>_xlfn.XLOOKUP(worksheet[[#This Row],[Customer ID]],customers!$A$1:$A$1001,customers!$I$1:$I$1001,0)</f>
        <v>No</v>
      </c>
    </row>
    <row r="197" spans="1:16" x14ac:dyDescent="0.25">
      <c r="A197" s="2" t="s">
        <v>1590</v>
      </c>
      <c r="B197" s="4">
        <v>43683</v>
      </c>
      <c r="C197" s="2" t="s">
        <v>1591</v>
      </c>
      <c r="D197" t="s">
        <v>6140</v>
      </c>
      <c r="E197" s="2">
        <v>3</v>
      </c>
      <c r="F197" s="2" t="str">
        <f>_xlfn.XLOOKUP(C197,customers!$A$1:$A$1001,customers!$B$1:$B$1001,0)</f>
        <v>Marlena Howsden</v>
      </c>
      <c r="G197" s="2" t="s">
        <v>1593</v>
      </c>
      <c r="H197" s="2" t="str">
        <f>_xlfn.XLOOKUP(C197,customers!$A$1:$A$1001,customers!$G$1:$G$1001,0)</f>
        <v>United States</v>
      </c>
      <c r="I197" t="str">
        <f>_xlfn.XLOOKUP(D197,products!$A$1:$A$49,products!$B$1:$B$49,0)</f>
        <v>Ara</v>
      </c>
      <c r="J197" t="str">
        <f>_xlfn.XLOOKUP('data cleaned'!D197,products!$A$1:$A$49,products!$C$1:$C$49,0)</f>
        <v>L</v>
      </c>
      <c r="K197" s="5">
        <f>_xlfn.XLOOKUP('data cleaned'!D197,products!$A$1:$A$49,products!$D$1:$D$49,0)</f>
        <v>1</v>
      </c>
      <c r="L197" s="6">
        <f>_xlfn.XLOOKUP('data cleaned'!D197,products!$A$1:$A$49,products!$E$1:$E$49,0)</f>
        <v>12.95</v>
      </c>
      <c r="M197" s="6">
        <f>'data cleaned'!E197*'data cleaned'!L197</f>
        <v>38.849999999999994</v>
      </c>
      <c r="N197" t="str">
        <f t="shared" si="6"/>
        <v>Arabica</v>
      </c>
      <c r="O197" t="str">
        <f t="shared" si="7"/>
        <v>Light</v>
      </c>
      <c r="P197" t="str">
        <f>_xlfn.XLOOKUP(worksheet[[#This Row],[Customer ID]],customers!$A$1:$A$1001,customers!$I$1:$I$1001,0)</f>
        <v>No</v>
      </c>
    </row>
    <row r="198" spans="1:16" x14ac:dyDescent="0.25">
      <c r="A198" s="2" t="s">
        <v>1596</v>
      </c>
      <c r="B198" s="4">
        <v>44339</v>
      </c>
      <c r="C198" s="2" t="s">
        <v>1597</v>
      </c>
      <c r="D198" t="s">
        <v>6176</v>
      </c>
      <c r="E198" s="2">
        <v>6</v>
      </c>
      <c r="F198" s="2" t="str">
        <f>_xlfn.XLOOKUP(C198,customers!$A$1:$A$1001,customers!$B$1:$B$1001,0)</f>
        <v>Nealson Cuttler</v>
      </c>
      <c r="G198" s="2" t="s">
        <v>1599</v>
      </c>
      <c r="H198" s="2" t="str">
        <f>_xlfn.XLOOKUP(C198,customers!$A$1:$A$1001,customers!$G$1:$G$1001,0)</f>
        <v>United States</v>
      </c>
      <c r="I198" t="str">
        <f>_xlfn.XLOOKUP(D198,products!$A$1:$A$49,products!$B$1:$B$49,0)</f>
        <v>Exc</v>
      </c>
      <c r="J198" t="str">
        <f>_xlfn.XLOOKUP('data cleaned'!D198,products!$A$1:$A$49,products!$C$1:$C$49,0)</f>
        <v>L</v>
      </c>
      <c r="K198" s="5">
        <f>_xlfn.XLOOKUP('data cleaned'!D198,products!$A$1:$A$49,products!$D$1:$D$49,0)</f>
        <v>0.5</v>
      </c>
      <c r="L198" s="6">
        <f>_xlfn.XLOOKUP('data cleaned'!D198,products!$A$1:$A$49,products!$E$1:$E$49,0)</f>
        <v>8.91</v>
      </c>
      <c r="M198" s="6">
        <f>'data cleaned'!E198*'data cleaned'!L198</f>
        <v>53.46</v>
      </c>
      <c r="N198" t="str">
        <f t="shared" si="6"/>
        <v>Excelsa</v>
      </c>
      <c r="O198" t="str">
        <f t="shared" si="7"/>
        <v>Light</v>
      </c>
      <c r="P198" t="str">
        <f>_xlfn.XLOOKUP(worksheet[[#This Row],[Customer ID]],customers!$A$1:$A$1001,customers!$I$1:$I$1001,0)</f>
        <v>No</v>
      </c>
    </row>
    <row r="199" spans="1:16" x14ac:dyDescent="0.25">
      <c r="A199" s="2" t="s">
        <v>1596</v>
      </c>
      <c r="B199" s="4">
        <v>44339</v>
      </c>
      <c r="C199" s="2" t="s">
        <v>1597</v>
      </c>
      <c r="D199" t="s">
        <v>6165</v>
      </c>
      <c r="E199" s="2">
        <v>2</v>
      </c>
      <c r="F199" s="2" t="str">
        <f>_xlfn.XLOOKUP(C199,customers!$A$1:$A$1001,customers!$B$1:$B$1001,0)</f>
        <v>Nealson Cuttler</v>
      </c>
      <c r="G199" s="2" t="s">
        <v>1599</v>
      </c>
      <c r="H199" s="2" t="str">
        <f>_xlfn.XLOOKUP(C199,customers!$A$1:$A$1001,customers!$G$1:$G$1001,0)</f>
        <v>United States</v>
      </c>
      <c r="I199" t="str">
        <f>_xlfn.XLOOKUP(D199,products!$A$1:$A$49,products!$B$1:$B$49,0)</f>
        <v>Lib</v>
      </c>
      <c r="J199" t="str">
        <f>_xlfn.XLOOKUP('data cleaned'!D199,products!$A$1:$A$49,products!$C$1:$C$49,0)</f>
        <v>D</v>
      </c>
      <c r="K199" s="5">
        <f>_xlfn.XLOOKUP('data cleaned'!D199,products!$A$1:$A$49,products!$D$1:$D$49,0)</f>
        <v>2.5</v>
      </c>
      <c r="L199" s="6">
        <f>_xlfn.XLOOKUP('data cleaned'!D199,products!$A$1:$A$49,products!$E$1:$E$49,0)</f>
        <v>29.784999999999997</v>
      </c>
      <c r="M199" s="6">
        <f>'data cleaned'!E199*'data cleaned'!L199</f>
        <v>59.569999999999993</v>
      </c>
      <c r="N199" t="str">
        <f t="shared" si="6"/>
        <v>Liberica</v>
      </c>
      <c r="O199" t="str">
        <f t="shared" si="7"/>
        <v>Dark</v>
      </c>
      <c r="P199" t="str">
        <f>_xlfn.XLOOKUP(worksheet[[#This Row],[Customer ID]],customers!$A$1:$A$1001,customers!$I$1:$I$1001,0)</f>
        <v>No</v>
      </c>
    </row>
    <row r="200" spans="1:16" x14ac:dyDescent="0.25">
      <c r="A200" s="2" t="s">
        <v>1596</v>
      </c>
      <c r="B200" s="4">
        <v>44339</v>
      </c>
      <c r="C200" s="2" t="s">
        <v>1597</v>
      </c>
      <c r="D200" t="s">
        <v>6165</v>
      </c>
      <c r="E200" s="2">
        <v>3</v>
      </c>
      <c r="F200" s="2" t="str">
        <f>_xlfn.XLOOKUP(C200,customers!$A$1:$A$1001,customers!$B$1:$B$1001,0)</f>
        <v>Nealson Cuttler</v>
      </c>
      <c r="G200" s="2" t="s">
        <v>1599</v>
      </c>
      <c r="H200" s="2" t="str">
        <f>_xlfn.XLOOKUP(C200,customers!$A$1:$A$1001,customers!$G$1:$G$1001,0)</f>
        <v>United States</v>
      </c>
      <c r="I200" t="str">
        <f>_xlfn.XLOOKUP(D200,products!$A$1:$A$49,products!$B$1:$B$49,0)</f>
        <v>Lib</v>
      </c>
      <c r="J200" t="str">
        <f>_xlfn.XLOOKUP('data cleaned'!D200,products!$A$1:$A$49,products!$C$1:$C$49,0)</f>
        <v>D</v>
      </c>
      <c r="K200" s="5">
        <f>_xlfn.XLOOKUP('data cleaned'!D200,products!$A$1:$A$49,products!$D$1:$D$49,0)</f>
        <v>2.5</v>
      </c>
      <c r="L200" s="6">
        <f>_xlfn.XLOOKUP('data cleaned'!D200,products!$A$1:$A$49,products!$E$1:$E$49,0)</f>
        <v>29.784999999999997</v>
      </c>
      <c r="M200" s="6">
        <f>'data cleaned'!E200*'data cleaned'!L200</f>
        <v>89.35499999999999</v>
      </c>
      <c r="N200" t="str">
        <f t="shared" si="6"/>
        <v>Liberica</v>
      </c>
      <c r="O200" t="str">
        <f t="shared" si="7"/>
        <v>Dark</v>
      </c>
      <c r="P200" t="str">
        <f>_xlfn.XLOOKUP(worksheet[[#This Row],[Customer ID]],customers!$A$1:$A$1001,customers!$I$1:$I$1001,0)</f>
        <v>No</v>
      </c>
    </row>
    <row r="201" spans="1:16" x14ac:dyDescent="0.25">
      <c r="A201" s="2" t="s">
        <v>1596</v>
      </c>
      <c r="B201" s="4">
        <v>44339</v>
      </c>
      <c r="C201" s="2" t="s">
        <v>1597</v>
      </c>
      <c r="D201" t="s">
        <v>6161</v>
      </c>
      <c r="E201" s="2">
        <v>4</v>
      </c>
      <c r="F201" s="2" t="str">
        <f>_xlfn.XLOOKUP(C201,customers!$A$1:$A$1001,customers!$B$1:$B$1001,0)</f>
        <v>Nealson Cuttler</v>
      </c>
      <c r="G201" s="2" t="s">
        <v>1599</v>
      </c>
      <c r="H201" s="2" t="str">
        <f>_xlfn.XLOOKUP(C201,customers!$A$1:$A$1001,customers!$G$1:$G$1001,0)</f>
        <v>United States</v>
      </c>
      <c r="I201" t="str">
        <f>_xlfn.XLOOKUP(D201,products!$A$1:$A$49,products!$B$1:$B$49,0)</f>
        <v>Lib</v>
      </c>
      <c r="J201" t="str">
        <f>_xlfn.XLOOKUP('data cleaned'!D201,products!$A$1:$A$49,products!$C$1:$C$49,0)</f>
        <v>L</v>
      </c>
      <c r="K201" s="5">
        <f>_xlfn.XLOOKUP('data cleaned'!D201,products!$A$1:$A$49,products!$D$1:$D$49,0)</f>
        <v>0.5</v>
      </c>
      <c r="L201" s="6">
        <f>_xlfn.XLOOKUP('data cleaned'!D201,products!$A$1:$A$49,products!$E$1:$E$49,0)</f>
        <v>9.51</v>
      </c>
      <c r="M201" s="6">
        <f>'data cleaned'!E201*'data cleaned'!L201</f>
        <v>38.04</v>
      </c>
      <c r="N201" t="str">
        <f t="shared" si="6"/>
        <v>Liberica</v>
      </c>
      <c r="O201" t="str">
        <f t="shared" si="7"/>
        <v>Light</v>
      </c>
      <c r="P201" t="str">
        <f>_xlfn.XLOOKUP(worksheet[[#This Row],[Customer ID]],customers!$A$1:$A$1001,customers!$I$1:$I$1001,0)</f>
        <v>No</v>
      </c>
    </row>
    <row r="202" spans="1:16" x14ac:dyDescent="0.25">
      <c r="A202" s="2" t="s">
        <v>1596</v>
      </c>
      <c r="B202" s="4">
        <v>44339</v>
      </c>
      <c r="C202" s="2" t="s">
        <v>1597</v>
      </c>
      <c r="D202" t="s">
        <v>6141</v>
      </c>
      <c r="E202" s="2">
        <v>3</v>
      </c>
      <c r="F202" s="2" t="str">
        <f>_xlfn.XLOOKUP(C202,customers!$A$1:$A$1001,customers!$B$1:$B$1001,0)</f>
        <v>Nealson Cuttler</v>
      </c>
      <c r="G202" s="2" t="s">
        <v>1599</v>
      </c>
      <c r="H202" s="2" t="str">
        <f>_xlfn.XLOOKUP(C202,customers!$A$1:$A$1001,customers!$G$1:$G$1001,0)</f>
        <v>United States</v>
      </c>
      <c r="I202" t="str">
        <f>_xlfn.XLOOKUP(D202,products!$A$1:$A$49,products!$B$1:$B$49,0)</f>
        <v>Exc</v>
      </c>
      <c r="J202" t="str">
        <f>_xlfn.XLOOKUP('data cleaned'!D202,products!$A$1:$A$49,products!$C$1:$C$49,0)</f>
        <v>M</v>
      </c>
      <c r="K202" s="5">
        <f>_xlfn.XLOOKUP('data cleaned'!D202,products!$A$1:$A$49,products!$D$1:$D$49,0)</f>
        <v>1</v>
      </c>
      <c r="L202" s="6">
        <f>_xlfn.XLOOKUP('data cleaned'!D202,products!$A$1:$A$49,products!$E$1:$E$49,0)</f>
        <v>13.75</v>
      </c>
      <c r="M202" s="6">
        <f>'data cleaned'!E202*'data cleaned'!L202</f>
        <v>41.25</v>
      </c>
      <c r="N202" t="str">
        <f t="shared" si="6"/>
        <v>Excelsa</v>
      </c>
      <c r="O202" t="str">
        <f t="shared" si="7"/>
        <v>Medium</v>
      </c>
      <c r="P202" t="str">
        <f>_xlfn.XLOOKUP(worksheet[[#This Row],[Customer ID]],customers!$A$1:$A$1001,customers!$I$1:$I$1001,0)</f>
        <v>No</v>
      </c>
    </row>
    <row r="203" spans="1:16" x14ac:dyDescent="0.25">
      <c r="A203" s="2" t="s">
        <v>1621</v>
      </c>
      <c r="B203" s="4">
        <v>44294</v>
      </c>
      <c r="C203" s="2" t="s">
        <v>1622</v>
      </c>
      <c r="D203" t="s">
        <v>6161</v>
      </c>
      <c r="E203" s="2">
        <v>6</v>
      </c>
      <c r="F203" s="2" t="str">
        <f>_xlfn.XLOOKUP(C203,customers!$A$1:$A$1001,customers!$B$1:$B$1001,0)</f>
        <v>Adriana Lazarus</v>
      </c>
      <c r="G203" s="2" t="s">
        <v>6222</v>
      </c>
      <c r="H203" s="2" t="str">
        <f>_xlfn.XLOOKUP(C203,customers!$A$1:$A$1001,customers!$G$1:$G$1001,0)</f>
        <v>United States</v>
      </c>
      <c r="I203" t="str">
        <f>_xlfn.XLOOKUP(D203,products!$A$1:$A$49,products!$B$1:$B$49,0)</f>
        <v>Lib</v>
      </c>
      <c r="J203" t="str">
        <f>_xlfn.XLOOKUP('data cleaned'!D203,products!$A$1:$A$49,products!$C$1:$C$49,0)</f>
        <v>L</v>
      </c>
      <c r="K203" s="5">
        <f>_xlfn.XLOOKUP('data cleaned'!D203,products!$A$1:$A$49,products!$D$1:$D$49,0)</f>
        <v>0.5</v>
      </c>
      <c r="L203" s="6">
        <f>_xlfn.XLOOKUP('data cleaned'!D203,products!$A$1:$A$49,products!$E$1:$E$49,0)</f>
        <v>9.51</v>
      </c>
      <c r="M203" s="6">
        <f>'data cleaned'!E203*'data cleaned'!L203</f>
        <v>57.06</v>
      </c>
      <c r="N203" t="str">
        <f t="shared" si="6"/>
        <v>Liberica</v>
      </c>
      <c r="O203" t="str">
        <f t="shared" si="7"/>
        <v>Light</v>
      </c>
      <c r="P203" t="str">
        <f>_xlfn.XLOOKUP(worksheet[[#This Row],[Customer ID]],customers!$A$1:$A$1001,customers!$I$1:$I$1001,0)</f>
        <v>No</v>
      </c>
    </row>
    <row r="204" spans="1:16" x14ac:dyDescent="0.25">
      <c r="A204" s="2" t="s">
        <v>1626</v>
      </c>
      <c r="B204" s="4">
        <v>44486</v>
      </c>
      <c r="C204" s="2" t="s">
        <v>1627</v>
      </c>
      <c r="D204" t="s">
        <v>6165</v>
      </c>
      <c r="E204" s="2">
        <v>6</v>
      </c>
      <c r="F204" s="2" t="str">
        <f>_xlfn.XLOOKUP(C204,customers!$A$1:$A$1001,customers!$B$1:$B$1001,0)</f>
        <v>Tallie felip</v>
      </c>
      <c r="G204" s="2" t="s">
        <v>1629</v>
      </c>
      <c r="H204" s="2" t="str">
        <f>_xlfn.XLOOKUP(C204,customers!$A$1:$A$1001,customers!$G$1:$G$1001,0)</f>
        <v>United States</v>
      </c>
      <c r="I204" t="str">
        <f>_xlfn.XLOOKUP(D204,products!$A$1:$A$49,products!$B$1:$B$49,0)</f>
        <v>Lib</v>
      </c>
      <c r="J204" t="str">
        <f>_xlfn.XLOOKUP('data cleaned'!D204,products!$A$1:$A$49,products!$C$1:$C$49,0)</f>
        <v>D</v>
      </c>
      <c r="K204" s="5">
        <f>_xlfn.XLOOKUP('data cleaned'!D204,products!$A$1:$A$49,products!$D$1:$D$49,0)</f>
        <v>2.5</v>
      </c>
      <c r="L204" s="6">
        <f>_xlfn.XLOOKUP('data cleaned'!D204,products!$A$1:$A$49,products!$E$1:$E$49,0)</f>
        <v>29.784999999999997</v>
      </c>
      <c r="M204" s="6">
        <f>'data cleaned'!E204*'data cleaned'!L204</f>
        <v>178.70999999999998</v>
      </c>
      <c r="N204" t="str">
        <f t="shared" si="6"/>
        <v>Liberica</v>
      </c>
      <c r="O204" t="str">
        <f t="shared" si="7"/>
        <v>Dark</v>
      </c>
      <c r="P204" t="str">
        <f>_xlfn.XLOOKUP(worksheet[[#This Row],[Customer ID]],customers!$A$1:$A$1001,customers!$I$1:$I$1001,0)</f>
        <v>Yes</v>
      </c>
    </row>
    <row r="205" spans="1:16" x14ac:dyDescent="0.25">
      <c r="A205" s="2" t="s">
        <v>1632</v>
      </c>
      <c r="B205" s="4">
        <v>44608</v>
      </c>
      <c r="C205" s="2" t="s">
        <v>1633</v>
      </c>
      <c r="D205" t="s">
        <v>6145</v>
      </c>
      <c r="E205" s="2">
        <v>1</v>
      </c>
      <c r="F205" s="2" t="str">
        <f>_xlfn.XLOOKUP(C205,customers!$A$1:$A$1001,customers!$B$1:$B$1001,0)</f>
        <v>Vanna Le - Count</v>
      </c>
      <c r="G205" s="2" t="s">
        <v>1635</v>
      </c>
      <c r="H205" s="2" t="str">
        <f>_xlfn.XLOOKUP(C205,customers!$A$1:$A$1001,customers!$G$1:$G$1001,0)</f>
        <v>United States</v>
      </c>
      <c r="I205" t="str">
        <f>_xlfn.XLOOKUP(D205,products!$A$1:$A$49,products!$B$1:$B$49,0)</f>
        <v>Lib</v>
      </c>
      <c r="J205" t="str">
        <f>_xlfn.XLOOKUP('data cleaned'!D205,products!$A$1:$A$49,products!$C$1:$C$49,0)</f>
        <v>L</v>
      </c>
      <c r="K205" s="5">
        <f>_xlfn.XLOOKUP('data cleaned'!D205,products!$A$1:$A$49,products!$D$1:$D$49,0)</f>
        <v>0.2</v>
      </c>
      <c r="L205" s="6">
        <f>_xlfn.XLOOKUP('data cleaned'!D205,products!$A$1:$A$49,products!$E$1:$E$49,0)</f>
        <v>4.7549999999999999</v>
      </c>
      <c r="M205" s="6">
        <f>'data cleaned'!E205*'data cleaned'!L205</f>
        <v>4.7549999999999999</v>
      </c>
      <c r="N205" t="str">
        <f t="shared" si="6"/>
        <v>Liberica</v>
      </c>
      <c r="O205" t="str">
        <f t="shared" si="7"/>
        <v>Light</v>
      </c>
      <c r="P205" t="str">
        <f>_xlfn.XLOOKUP(worksheet[[#This Row],[Customer ID]],customers!$A$1:$A$1001,customers!$I$1:$I$1001,0)</f>
        <v>No</v>
      </c>
    </row>
    <row r="206" spans="1:16" x14ac:dyDescent="0.25">
      <c r="A206" s="2" t="s">
        <v>1638</v>
      </c>
      <c r="B206" s="4">
        <v>44027</v>
      </c>
      <c r="C206" s="2" t="s">
        <v>1639</v>
      </c>
      <c r="D206" t="s">
        <v>6141</v>
      </c>
      <c r="E206" s="2">
        <v>6</v>
      </c>
      <c r="F206" s="2" t="str">
        <f>_xlfn.XLOOKUP(C206,customers!$A$1:$A$1001,customers!$B$1:$B$1001,0)</f>
        <v>Sarette Ducarel</v>
      </c>
      <c r="G206" s="2" t="s">
        <v>6222</v>
      </c>
      <c r="H206" s="2" t="str">
        <f>_xlfn.XLOOKUP(C206,customers!$A$1:$A$1001,customers!$G$1:$G$1001,0)</f>
        <v>United States</v>
      </c>
      <c r="I206" t="str">
        <f>_xlfn.XLOOKUP(D206,products!$A$1:$A$49,products!$B$1:$B$49,0)</f>
        <v>Exc</v>
      </c>
      <c r="J206" t="str">
        <f>_xlfn.XLOOKUP('data cleaned'!D206,products!$A$1:$A$49,products!$C$1:$C$49,0)</f>
        <v>M</v>
      </c>
      <c r="K206" s="5">
        <f>_xlfn.XLOOKUP('data cleaned'!D206,products!$A$1:$A$49,products!$D$1:$D$49,0)</f>
        <v>1</v>
      </c>
      <c r="L206" s="6">
        <f>_xlfn.XLOOKUP('data cleaned'!D206,products!$A$1:$A$49,products!$E$1:$E$49,0)</f>
        <v>13.75</v>
      </c>
      <c r="M206" s="6">
        <f>'data cleaned'!E206*'data cleaned'!L206</f>
        <v>82.5</v>
      </c>
      <c r="N206" t="str">
        <f t="shared" si="6"/>
        <v>Excelsa</v>
      </c>
      <c r="O206" t="str">
        <f t="shared" si="7"/>
        <v>Medium</v>
      </c>
      <c r="P206" t="str">
        <f>_xlfn.XLOOKUP(worksheet[[#This Row],[Customer ID]],customers!$A$1:$A$1001,customers!$I$1:$I$1001,0)</f>
        <v>No</v>
      </c>
    </row>
    <row r="207" spans="1:16" x14ac:dyDescent="0.25">
      <c r="A207" s="2" t="s">
        <v>1643</v>
      </c>
      <c r="B207" s="4">
        <v>43883</v>
      </c>
      <c r="C207" s="2" t="s">
        <v>1644</v>
      </c>
      <c r="D207" t="s">
        <v>6163</v>
      </c>
      <c r="E207" s="2">
        <v>3</v>
      </c>
      <c r="F207" s="2" t="str">
        <f>_xlfn.XLOOKUP(C207,customers!$A$1:$A$1001,customers!$B$1:$B$1001,0)</f>
        <v>Kendra Glison</v>
      </c>
      <c r="G207" s="2" t="s">
        <v>6222</v>
      </c>
      <c r="H207" s="2" t="str">
        <f>_xlfn.XLOOKUP(C207,customers!$A$1:$A$1001,customers!$G$1:$G$1001,0)</f>
        <v>United States</v>
      </c>
      <c r="I207" t="str">
        <f>_xlfn.XLOOKUP(D207,products!$A$1:$A$49,products!$B$1:$B$49,0)</f>
        <v>Rob</v>
      </c>
      <c r="J207" t="str">
        <f>_xlfn.XLOOKUP('data cleaned'!D207,products!$A$1:$A$49,products!$C$1:$C$49,0)</f>
        <v>D</v>
      </c>
      <c r="K207" s="5">
        <f>_xlfn.XLOOKUP('data cleaned'!D207,products!$A$1:$A$49,products!$D$1:$D$49,0)</f>
        <v>0.2</v>
      </c>
      <c r="L207" s="6">
        <f>_xlfn.XLOOKUP('data cleaned'!D207,products!$A$1:$A$49,products!$E$1:$E$49,0)</f>
        <v>2.6849999999999996</v>
      </c>
      <c r="M207" s="6">
        <f>'data cleaned'!E207*'data cleaned'!L207</f>
        <v>8.0549999999999997</v>
      </c>
      <c r="N207" t="str">
        <f t="shared" si="6"/>
        <v>Robusta</v>
      </c>
      <c r="O207" t="str">
        <f t="shared" si="7"/>
        <v>Dark</v>
      </c>
      <c r="P207" t="str">
        <f>_xlfn.XLOOKUP(worksheet[[#This Row],[Customer ID]],customers!$A$1:$A$1001,customers!$I$1:$I$1001,0)</f>
        <v>Yes</v>
      </c>
    </row>
    <row r="208" spans="1:16" x14ac:dyDescent="0.25">
      <c r="A208" s="2" t="s">
        <v>1648</v>
      </c>
      <c r="B208" s="4">
        <v>44211</v>
      </c>
      <c r="C208" s="2" t="s">
        <v>1649</v>
      </c>
      <c r="D208" t="s">
        <v>6155</v>
      </c>
      <c r="E208" s="2">
        <v>2</v>
      </c>
      <c r="F208" s="2" t="str">
        <f>_xlfn.XLOOKUP(C208,customers!$A$1:$A$1001,customers!$B$1:$B$1001,0)</f>
        <v>Nertie Poolman</v>
      </c>
      <c r="G208" s="2" t="s">
        <v>1651</v>
      </c>
      <c r="H208" s="2" t="str">
        <f>_xlfn.XLOOKUP(C208,customers!$A$1:$A$1001,customers!$G$1:$G$1001,0)</f>
        <v>United States</v>
      </c>
      <c r="I208" t="str">
        <f>_xlfn.XLOOKUP(D208,products!$A$1:$A$49,products!$B$1:$B$49,0)</f>
        <v>Ara</v>
      </c>
      <c r="J208" t="str">
        <f>_xlfn.XLOOKUP('data cleaned'!D208,products!$A$1:$A$49,products!$C$1:$C$49,0)</f>
        <v>M</v>
      </c>
      <c r="K208" s="5">
        <f>_xlfn.XLOOKUP('data cleaned'!D208,products!$A$1:$A$49,products!$D$1:$D$49,0)</f>
        <v>1</v>
      </c>
      <c r="L208" s="6">
        <f>_xlfn.XLOOKUP('data cleaned'!D208,products!$A$1:$A$49,products!$E$1:$E$49,0)</f>
        <v>11.25</v>
      </c>
      <c r="M208" s="6">
        <f>'data cleaned'!E208*'data cleaned'!L208</f>
        <v>22.5</v>
      </c>
      <c r="N208" t="str">
        <f t="shared" si="6"/>
        <v>Arabica</v>
      </c>
      <c r="O208" t="str">
        <f t="shared" si="7"/>
        <v>Medium</v>
      </c>
      <c r="P208" t="str">
        <f>_xlfn.XLOOKUP(worksheet[[#This Row],[Customer ID]],customers!$A$1:$A$1001,customers!$I$1:$I$1001,0)</f>
        <v>No</v>
      </c>
    </row>
    <row r="209" spans="1:16" x14ac:dyDescent="0.25">
      <c r="A209" s="2" t="s">
        <v>1653</v>
      </c>
      <c r="B209" s="4">
        <v>44207</v>
      </c>
      <c r="C209" s="2" t="s">
        <v>1654</v>
      </c>
      <c r="D209" t="s">
        <v>6157</v>
      </c>
      <c r="E209" s="2">
        <v>6</v>
      </c>
      <c r="F209" s="2" t="str">
        <f>_xlfn.XLOOKUP(C209,customers!$A$1:$A$1001,customers!$B$1:$B$1001,0)</f>
        <v>Orbadiah Duny</v>
      </c>
      <c r="G209" s="2" t="s">
        <v>1656</v>
      </c>
      <c r="H209" s="2" t="str">
        <f>_xlfn.XLOOKUP(C209,customers!$A$1:$A$1001,customers!$G$1:$G$1001,0)</f>
        <v>United States</v>
      </c>
      <c r="I209" t="str">
        <f>_xlfn.XLOOKUP(D209,products!$A$1:$A$49,products!$B$1:$B$49,0)</f>
        <v>Ara</v>
      </c>
      <c r="J209" t="str">
        <f>_xlfn.XLOOKUP('data cleaned'!D209,products!$A$1:$A$49,products!$C$1:$C$49,0)</f>
        <v>M</v>
      </c>
      <c r="K209" s="5">
        <f>_xlfn.XLOOKUP('data cleaned'!D209,products!$A$1:$A$49,products!$D$1:$D$49,0)</f>
        <v>0.5</v>
      </c>
      <c r="L209" s="6">
        <f>_xlfn.XLOOKUP('data cleaned'!D209,products!$A$1:$A$49,products!$E$1:$E$49,0)</f>
        <v>6.75</v>
      </c>
      <c r="M209" s="6">
        <f>'data cleaned'!E209*'data cleaned'!L209</f>
        <v>40.5</v>
      </c>
      <c r="N209" t="str">
        <f t="shared" si="6"/>
        <v>Arabica</v>
      </c>
      <c r="O209" t="str">
        <f t="shared" si="7"/>
        <v>Medium</v>
      </c>
      <c r="P209" t="str">
        <f>_xlfn.XLOOKUP(worksheet[[#This Row],[Customer ID]],customers!$A$1:$A$1001,customers!$I$1:$I$1001,0)</f>
        <v>Yes</v>
      </c>
    </row>
    <row r="210" spans="1:16" x14ac:dyDescent="0.25">
      <c r="A210" s="2" t="s">
        <v>1659</v>
      </c>
      <c r="B210" s="4">
        <v>44659</v>
      </c>
      <c r="C210" s="2" t="s">
        <v>1660</v>
      </c>
      <c r="D210" t="s">
        <v>6144</v>
      </c>
      <c r="E210" s="2">
        <v>4</v>
      </c>
      <c r="F210" s="2" t="str">
        <f>_xlfn.XLOOKUP(C210,customers!$A$1:$A$1001,customers!$B$1:$B$1001,0)</f>
        <v>Constance Halfhide</v>
      </c>
      <c r="G210" s="2" t="s">
        <v>1662</v>
      </c>
      <c r="H210" s="2" t="str">
        <f>_xlfn.XLOOKUP(C210,customers!$A$1:$A$1001,customers!$G$1:$G$1001,0)</f>
        <v>Ireland</v>
      </c>
      <c r="I210" t="str">
        <f>_xlfn.XLOOKUP(D210,products!$A$1:$A$49,products!$B$1:$B$49,0)</f>
        <v>Exc</v>
      </c>
      <c r="J210" t="str">
        <f>_xlfn.XLOOKUP('data cleaned'!D210,products!$A$1:$A$49,products!$C$1:$C$49,0)</f>
        <v>D</v>
      </c>
      <c r="K210" s="5">
        <f>_xlfn.XLOOKUP('data cleaned'!D210,products!$A$1:$A$49,products!$D$1:$D$49,0)</f>
        <v>0.5</v>
      </c>
      <c r="L210" s="6">
        <f>_xlfn.XLOOKUP('data cleaned'!D210,products!$A$1:$A$49,products!$E$1:$E$49,0)</f>
        <v>7.29</v>
      </c>
      <c r="M210" s="6">
        <f>'data cleaned'!E210*'data cleaned'!L210</f>
        <v>29.16</v>
      </c>
      <c r="N210" t="str">
        <f t="shared" si="6"/>
        <v>Excelsa</v>
      </c>
      <c r="O210" t="str">
        <f t="shared" si="7"/>
        <v>Dark</v>
      </c>
      <c r="P210" t="str">
        <f>_xlfn.XLOOKUP(worksheet[[#This Row],[Customer ID]],customers!$A$1:$A$1001,customers!$I$1:$I$1001,0)</f>
        <v>Yes</v>
      </c>
    </row>
    <row r="211" spans="1:16" x14ac:dyDescent="0.25">
      <c r="A211" s="2" t="s">
        <v>1665</v>
      </c>
      <c r="B211" s="4">
        <v>44105</v>
      </c>
      <c r="C211" s="2" t="s">
        <v>1666</v>
      </c>
      <c r="D211" t="s">
        <v>6157</v>
      </c>
      <c r="E211" s="2">
        <v>1</v>
      </c>
      <c r="F211" s="2" t="str">
        <f>_xlfn.XLOOKUP(C211,customers!$A$1:$A$1001,customers!$B$1:$B$1001,0)</f>
        <v>Fransisco Malecky</v>
      </c>
      <c r="G211" s="2" t="s">
        <v>1668</v>
      </c>
      <c r="H211" s="2" t="str">
        <f>_xlfn.XLOOKUP(C211,customers!$A$1:$A$1001,customers!$G$1:$G$1001,0)</f>
        <v>United Kingdom</v>
      </c>
      <c r="I211" t="str">
        <f>_xlfn.XLOOKUP(D211,products!$A$1:$A$49,products!$B$1:$B$49,0)</f>
        <v>Ara</v>
      </c>
      <c r="J211" t="str">
        <f>_xlfn.XLOOKUP('data cleaned'!D211,products!$A$1:$A$49,products!$C$1:$C$49,0)</f>
        <v>M</v>
      </c>
      <c r="K211" s="5">
        <f>_xlfn.XLOOKUP('data cleaned'!D211,products!$A$1:$A$49,products!$D$1:$D$49,0)</f>
        <v>0.5</v>
      </c>
      <c r="L211" s="6">
        <f>_xlfn.XLOOKUP('data cleaned'!D211,products!$A$1:$A$49,products!$E$1:$E$49,0)</f>
        <v>6.75</v>
      </c>
      <c r="M211" s="6">
        <f>'data cleaned'!E211*'data cleaned'!L211</f>
        <v>6.75</v>
      </c>
      <c r="N211" t="str">
        <f t="shared" si="6"/>
        <v>Arabica</v>
      </c>
      <c r="O211" t="str">
        <f t="shared" si="7"/>
        <v>Medium</v>
      </c>
      <c r="P211" t="str">
        <f>_xlfn.XLOOKUP(worksheet[[#This Row],[Customer ID]],customers!$A$1:$A$1001,customers!$I$1:$I$1001,0)</f>
        <v>No</v>
      </c>
    </row>
    <row r="212" spans="1:16" x14ac:dyDescent="0.25">
      <c r="A212" s="2" t="s">
        <v>1671</v>
      </c>
      <c r="B212" s="4">
        <v>43766</v>
      </c>
      <c r="C212" s="2" t="s">
        <v>1672</v>
      </c>
      <c r="D212" t="s">
        <v>6143</v>
      </c>
      <c r="E212" s="2">
        <v>4</v>
      </c>
      <c r="F212" s="2" t="str">
        <f>_xlfn.XLOOKUP(C212,customers!$A$1:$A$1001,customers!$B$1:$B$1001,0)</f>
        <v>Anselma Attwater</v>
      </c>
      <c r="G212" s="2" t="s">
        <v>1674</v>
      </c>
      <c r="H212" s="2" t="str">
        <f>_xlfn.XLOOKUP(C212,customers!$A$1:$A$1001,customers!$G$1:$G$1001,0)</f>
        <v>United States</v>
      </c>
      <c r="I212" t="str">
        <f>_xlfn.XLOOKUP(D212,products!$A$1:$A$49,products!$B$1:$B$49,0)</f>
        <v>Lib</v>
      </c>
      <c r="J212" t="str">
        <f>_xlfn.XLOOKUP('data cleaned'!D212,products!$A$1:$A$49,products!$C$1:$C$49,0)</f>
        <v>D</v>
      </c>
      <c r="K212" s="5">
        <f>_xlfn.XLOOKUP('data cleaned'!D212,products!$A$1:$A$49,products!$D$1:$D$49,0)</f>
        <v>1</v>
      </c>
      <c r="L212" s="6">
        <f>_xlfn.XLOOKUP('data cleaned'!D212,products!$A$1:$A$49,products!$E$1:$E$49,0)</f>
        <v>12.95</v>
      </c>
      <c r="M212" s="6">
        <f>'data cleaned'!E212*'data cleaned'!L212</f>
        <v>51.8</v>
      </c>
      <c r="N212" t="str">
        <f t="shared" si="6"/>
        <v>Liberica</v>
      </c>
      <c r="O212" t="str">
        <f t="shared" si="7"/>
        <v>Dark</v>
      </c>
      <c r="P212" t="str">
        <f>_xlfn.XLOOKUP(worksheet[[#This Row],[Customer ID]],customers!$A$1:$A$1001,customers!$I$1:$I$1001,0)</f>
        <v>Yes</v>
      </c>
    </row>
    <row r="213" spans="1:16" x14ac:dyDescent="0.25">
      <c r="A213" s="2" t="s">
        <v>1677</v>
      </c>
      <c r="B213" s="4">
        <v>44283</v>
      </c>
      <c r="C213" s="2" t="s">
        <v>1678</v>
      </c>
      <c r="D213" t="s">
        <v>6176</v>
      </c>
      <c r="E213" s="2">
        <v>6</v>
      </c>
      <c r="F213" s="2" t="str">
        <f>_xlfn.XLOOKUP(C213,customers!$A$1:$A$1001,customers!$B$1:$B$1001,0)</f>
        <v>Minette Whellans</v>
      </c>
      <c r="G213" s="2" t="s">
        <v>1680</v>
      </c>
      <c r="H213" s="2" t="str">
        <f>_xlfn.XLOOKUP(C213,customers!$A$1:$A$1001,customers!$G$1:$G$1001,0)</f>
        <v>United States</v>
      </c>
      <c r="I213" t="str">
        <f>_xlfn.XLOOKUP(D213,products!$A$1:$A$49,products!$B$1:$B$49,0)</f>
        <v>Exc</v>
      </c>
      <c r="J213" t="str">
        <f>_xlfn.XLOOKUP('data cleaned'!D213,products!$A$1:$A$49,products!$C$1:$C$49,0)</f>
        <v>L</v>
      </c>
      <c r="K213" s="5">
        <f>_xlfn.XLOOKUP('data cleaned'!D213,products!$A$1:$A$49,products!$D$1:$D$49,0)</f>
        <v>0.5</v>
      </c>
      <c r="L213" s="6">
        <f>_xlfn.XLOOKUP('data cleaned'!D213,products!$A$1:$A$49,products!$E$1:$E$49,0)</f>
        <v>8.91</v>
      </c>
      <c r="M213" s="6">
        <f>'data cleaned'!E213*'data cleaned'!L213</f>
        <v>53.46</v>
      </c>
      <c r="N213" t="str">
        <f t="shared" si="6"/>
        <v>Excelsa</v>
      </c>
      <c r="O213" t="str">
        <f t="shared" si="7"/>
        <v>Light</v>
      </c>
      <c r="P213" t="str">
        <f>_xlfn.XLOOKUP(worksheet[[#This Row],[Customer ID]],customers!$A$1:$A$1001,customers!$I$1:$I$1001,0)</f>
        <v>No</v>
      </c>
    </row>
    <row r="214" spans="1:16" x14ac:dyDescent="0.25">
      <c r="A214" s="2" t="s">
        <v>1682</v>
      </c>
      <c r="B214" s="4">
        <v>43921</v>
      </c>
      <c r="C214" s="2" t="s">
        <v>1683</v>
      </c>
      <c r="D214" t="s">
        <v>6153</v>
      </c>
      <c r="E214" s="2">
        <v>4</v>
      </c>
      <c r="F214" s="2" t="str">
        <f>_xlfn.XLOOKUP(C214,customers!$A$1:$A$1001,customers!$B$1:$B$1001,0)</f>
        <v>Dael Camilletti</v>
      </c>
      <c r="G214" s="2" t="s">
        <v>1685</v>
      </c>
      <c r="H214" s="2" t="str">
        <f>_xlfn.XLOOKUP(C214,customers!$A$1:$A$1001,customers!$G$1:$G$1001,0)</f>
        <v>United States</v>
      </c>
      <c r="I214" t="str">
        <f>_xlfn.XLOOKUP(D214,products!$A$1:$A$49,products!$B$1:$B$49,0)</f>
        <v>Exc</v>
      </c>
      <c r="J214" t="str">
        <f>_xlfn.XLOOKUP('data cleaned'!D214,products!$A$1:$A$49,products!$C$1:$C$49,0)</f>
        <v>D</v>
      </c>
      <c r="K214" s="5">
        <f>_xlfn.XLOOKUP('data cleaned'!D214,products!$A$1:$A$49,products!$D$1:$D$49,0)</f>
        <v>0.2</v>
      </c>
      <c r="L214" s="6">
        <f>_xlfn.XLOOKUP('data cleaned'!D214,products!$A$1:$A$49,products!$E$1:$E$49,0)</f>
        <v>3.645</v>
      </c>
      <c r="M214" s="6">
        <f>'data cleaned'!E214*'data cleaned'!L214</f>
        <v>14.58</v>
      </c>
      <c r="N214" t="str">
        <f t="shared" si="6"/>
        <v>Excelsa</v>
      </c>
      <c r="O214" t="str">
        <f t="shared" si="7"/>
        <v>Dark</v>
      </c>
      <c r="P214" t="str">
        <f>_xlfn.XLOOKUP(worksheet[[#This Row],[Customer ID]],customers!$A$1:$A$1001,customers!$I$1:$I$1001,0)</f>
        <v>Yes</v>
      </c>
    </row>
    <row r="215" spans="1:16" x14ac:dyDescent="0.25">
      <c r="A215" s="2" t="s">
        <v>1688</v>
      </c>
      <c r="B215" s="4">
        <v>44646</v>
      </c>
      <c r="C215" s="2" t="s">
        <v>1689</v>
      </c>
      <c r="D215" t="s">
        <v>6149</v>
      </c>
      <c r="E215" s="2">
        <v>1</v>
      </c>
      <c r="F215" s="2" t="str">
        <f>_xlfn.XLOOKUP(C215,customers!$A$1:$A$1001,customers!$B$1:$B$1001,0)</f>
        <v>Emiline Galgey</v>
      </c>
      <c r="G215" s="2" t="s">
        <v>1691</v>
      </c>
      <c r="H215" s="2" t="str">
        <f>_xlfn.XLOOKUP(C215,customers!$A$1:$A$1001,customers!$G$1:$G$1001,0)</f>
        <v>United States</v>
      </c>
      <c r="I215" t="str">
        <f>_xlfn.XLOOKUP(D215,products!$A$1:$A$49,products!$B$1:$B$49,0)</f>
        <v>Rob</v>
      </c>
      <c r="J215" t="str">
        <f>_xlfn.XLOOKUP('data cleaned'!D215,products!$A$1:$A$49,products!$C$1:$C$49,0)</f>
        <v>D</v>
      </c>
      <c r="K215" s="5">
        <f>_xlfn.XLOOKUP('data cleaned'!D215,products!$A$1:$A$49,products!$D$1:$D$49,0)</f>
        <v>2.5</v>
      </c>
      <c r="L215" s="6">
        <f>_xlfn.XLOOKUP('data cleaned'!D215,products!$A$1:$A$49,products!$E$1:$E$49,0)</f>
        <v>20.584999999999997</v>
      </c>
      <c r="M215" s="6">
        <f>'data cleaned'!E215*'data cleaned'!L215</f>
        <v>20.584999999999997</v>
      </c>
      <c r="N215" t="str">
        <f t="shared" si="6"/>
        <v>Robusta</v>
      </c>
      <c r="O215" t="str">
        <f t="shared" si="7"/>
        <v>Dark</v>
      </c>
      <c r="P215" t="str">
        <f>_xlfn.XLOOKUP(worksheet[[#This Row],[Customer ID]],customers!$A$1:$A$1001,customers!$I$1:$I$1001,0)</f>
        <v>No</v>
      </c>
    </row>
    <row r="216" spans="1:16" x14ac:dyDescent="0.25">
      <c r="A216" s="2" t="s">
        <v>1694</v>
      </c>
      <c r="B216" s="4">
        <v>43775</v>
      </c>
      <c r="C216" s="2" t="s">
        <v>1695</v>
      </c>
      <c r="D216" t="s">
        <v>6170</v>
      </c>
      <c r="E216" s="2">
        <v>2</v>
      </c>
      <c r="F216" s="2" t="str">
        <f>_xlfn.XLOOKUP(C216,customers!$A$1:$A$1001,customers!$B$1:$B$1001,0)</f>
        <v>Murdock Hame</v>
      </c>
      <c r="G216" s="2" t="s">
        <v>1697</v>
      </c>
      <c r="H216" s="2" t="str">
        <f>_xlfn.XLOOKUP(C216,customers!$A$1:$A$1001,customers!$G$1:$G$1001,0)</f>
        <v>Ireland</v>
      </c>
      <c r="I216" t="str">
        <f>_xlfn.XLOOKUP(D216,products!$A$1:$A$49,products!$B$1:$B$49,0)</f>
        <v>Lib</v>
      </c>
      <c r="J216" t="str">
        <f>_xlfn.XLOOKUP('data cleaned'!D216,products!$A$1:$A$49,products!$C$1:$C$49,0)</f>
        <v>L</v>
      </c>
      <c r="K216" s="5">
        <f>_xlfn.XLOOKUP('data cleaned'!D216,products!$A$1:$A$49,products!$D$1:$D$49,0)</f>
        <v>1</v>
      </c>
      <c r="L216" s="6">
        <f>_xlfn.XLOOKUP('data cleaned'!D216,products!$A$1:$A$49,products!$E$1:$E$49,0)</f>
        <v>15.85</v>
      </c>
      <c r="M216" s="6">
        <f>'data cleaned'!E216*'data cleaned'!L216</f>
        <v>31.7</v>
      </c>
      <c r="N216" t="str">
        <f t="shared" si="6"/>
        <v>Liberica</v>
      </c>
      <c r="O216" t="str">
        <f t="shared" si="7"/>
        <v>Light</v>
      </c>
      <c r="P216" t="str">
        <f>_xlfn.XLOOKUP(worksheet[[#This Row],[Customer ID]],customers!$A$1:$A$1001,customers!$I$1:$I$1001,0)</f>
        <v>No</v>
      </c>
    </row>
    <row r="217" spans="1:16" x14ac:dyDescent="0.25">
      <c r="A217" s="2" t="s">
        <v>1701</v>
      </c>
      <c r="B217" s="4">
        <v>43829</v>
      </c>
      <c r="C217" s="2" t="s">
        <v>1702</v>
      </c>
      <c r="D217" t="s">
        <v>6150</v>
      </c>
      <c r="E217" s="2">
        <v>6</v>
      </c>
      <c r="F217" s="2" t="str">
        <f>_xlfn.XLOOKUP(C217,customers!$A$1:$A$1001,customers!$B$1:$B$1001,0)</f>
        <v>Ilka Gurnee</v>
      </c>
      <c r="G217" s="2" t="s">
        <v>1704</v>
      </c>
      <c r="H217" s="2" t="str">
        <f>_xlfn.XLOOKUP(C217,customers!$A$1:$A$1001,customers!$G$1:$G$1001,0)</f>
        <v>United States</v>
      </c>
      <c r="I217" t="str">
        <f>_xlfn.XLOOKUP(D217,products!$A$1:$A$49,products!$B$1:$B$49,0)</f>
        <v>Lib</v>
      </c>
      <c r="J217" t="str">
        <f>_xlfn.XLOOKUP('data cleaned'!D217,products!$A$1:$A$49,products!$C$1:$C$49,0)</f>
        <v>D</v>
      </c>
      <c r="K217" s="5">
        <f>_xlfn.XLOOKUP('data cleaned'!D217,products!$A$1:$A$49,products!$D$1:$D$49,0)</f>
        <v>0.2</v>
      </c>
      <c r="L217" s="6">
        <f>_xlfn.XLOOKUP('data cleaned'!D217,products!$A$1:$A$49,products!$E$1:$E$49,0)</f>
        <v>3.8849999999999998</v>
      </c>
      <c r="M217" s="6">
        <f>'data cleaned'!E217*'data cleaned'!L217</f>
        <v>23.31</v>
      </c>
      <c r="N217" t="str">
        <f t="shared" si="6"/>
        <v>Liberica</v>
      </c>
      <c r="O217" t="str">
        <f t="shared" si="7"/>
        <v>Dark</v>
      </c>
      <c r="P217" t="str">
        <f>_xlfn.XLOOKUP(worksheet[[#This Row],[Customer ID]],customers!$A$1:$A$1001,customers!$I$1:$I$1001,0)</f>
        <v>No</v>
      </c>
    </row>
    <row r="218" spans="1:16" x14ac:dyDescent="0.25">
      <c r="A218" s="2" t="s">
        <v>1707</v>
      </c>
      <c r="B218" s="4">
        <v>44470</v>
      </c>
      <c r="C218" s="2" t="s">
        <v>1708</v>
      </c>
      <c r="D218" t="s">
        <v>6162</v>
      </c>
      <c r="E218" s="2">
        <v>4</v>
      </c>
      <c r="F218" s="2" t="str">
        <f>_xlfn.XLOOKUP(C218,customers!$A$1:$A$1001,customers!$B$1:$B$1001,0)</f>
        <v>Alfy Snowding</v>
      </c>
      <c r="G218" s="2" t="s">
        <v>1710</v>
      </c>
      <c r="H218" s="2" t="str">
        <f>_xlfn.XLOOKUP(C218,customers!$A$1:$A$1001,customers!$G$1:$G$1001,0)</f>
        <v>United States</v>
      </c>
      <c r="I218" t="str">
        <f>_xlfn.XLOOKUP(D218,products!$A$1:$A$49,products!$B$1:$B$49,0)</f>
        <v>Lib</v>
      </c>
      <c r="J218" t="str">
        <f>_xlfn.XLOOKUP('data cleaned'!D218,products!$A$1:$A$49,products!$C$1:$C$49,0)</f>
        <v>M</v>
      </c>
      <c r="K218" s="5">
        <f>_xlfn.XLOOKUP('data cleaned'!D218,products!$A$1:$A$49,products!$D$1:$D$49,0)</f>
        <v>1</v>
      </c>
      <c r="L218" s="6">
        <f>_xlfn.XLOOKUP('data cleaned'!D218,products!$A$1:$A$49,products!$E$1:$E$49,0)</f>
        <v>14.55</v>
      </c>
      <c r="M218" s="6">
        <f>'data cleaned'!E218*'data cleaned'!L218</f>
        <v>58.2</v>
      </c>
      <c r="N218" t="str">
        <f t="shared" si="6"/>
        <v>Liberica</v>
      </c>
      <c r="O218" t="str">
        <f t="shared" si="7"/>
        <v>Medium</v>
      </c>
      <c r="P218" t="str">
        <f>_xlfn.XLOOKUP(worksheet[[#This Row],[Customer ID]],customers!$A$1:$A$1001,customers!$I$1:$I$1001,0)</f>
        <v>Yes</v>
      </c>
    </row>
    <row r="219" spans="1:16" x14ac:dyDescent="0.25">
      <c r="A219" s="2" t="s">
        <v>1713</v>
      </c>
      <c r="B219" s="4">
        <v>44174</v>
      </c>
      <c r="C219" s="2" t="s">
        <v>1714</v>
      </c>
      <c r="D219" t="s">
        <v>6176</v>
      </c>
      <c r="E219" s="2">
        <v>4</v>
      </c>
      <c r="F219" s="2" t="str">
        <f>_xlfn.XLOOKUP(C219,customers!$A$1:$A$1001,customers!$B$1:$B$1001,0)</f>
        <v>Godfry Poinsett</v>
      </c>
      <c r="G219" s="2" t="s">
        <v>1716</v>
      </c>
      <c r="H219" s="2" t="str">
        <f>_xlfn.XLOOKUP(C219,customers!$A$1:$A$1001,customers!$G$1:$G$1001,0)</f>
        <v>United States</v>
      </c>
      <c r="I219" t="str">
        <f>_xlfn.XLOOKUP(D219,products!$A$1:$A$49,products!$B$1:$B$49,0)</f>
        <v>Exc</v>
      </c>
      <c r="J219" t="str">
        <f>_xlfn.XLOOKUP('data cleaned'!D219,products!$A$1:$A$49,products!$C$1:$C$49,0)</f>
        <v>L</v>
      </c>
      <c r="K219" s="5">
        <f>_xlfn.XLOOKUP('data cleaned'!D219,products!$A$1:$A$49,products!$D$1:$D$49,0)</f>
        <v>0.5</v>
      </c>
      <c r="L219" s="6">
        <f>_xlfn.XLOOKUP('data cleaned'!D219,products!$A$1:$A$49,products!$E$1:$E$49,0)</f>
        <v>8.91</v>
      </c>
      <c r="M219" s="6">
        <f>'data cleaned'!E219*'data cleaned'!L219</f>
        <v>35.64</v>
      </c>
      <c r="N219" t="str">
        <f t="shared" si="6"/>
        <v>Excelsa</v>
      </c>
      <c r="O219" t="str">
        <f t="shared" si="7"/>
        <v>Light</v>
      </c>
      <c r="P219" t="str">
        <f>_xlfn.XLOOKUP(worksheet[[#This Row],[Customer ID]],customers!$A$1:$A$1001,customers!$I$1:$I$1001,0)</f>
        <v>No</v>
      </c>
    </row>
    <row r="220" spans="1:16" x14ac:dyDescent="0.25">
      <c r="A220" s="2" t="s">
        <v>1719</v>
      </c>
      <c r="B220" s="4">
        <v>44317</v>
      </c>
      <c r="C220" s="2" t="s">
        <v>1720</v>
      </c>
      <c r="D220" t="s">
        <v>6155</v>
      </c>
      <c r="E220" s="2">
        <v>5</v>
      </c>
      <c r="F220" s="2" t="str">
        <f>_xlfn.XLOOKUP(C220,customers!$A$1:$A$1001,customers!$B$1:$B$1001,0)</f>
        <v>Rem Furman</v>
      </c>
      <c r="G220" s="2" t="s">
        <v>1722</v>
      </c>
      <c r="H220" s="2" t="str">
        <f>_xlfn.XLOOKUP(C220,customers!$A$1:$A$1001,customers!$G$1:$G$1001,0)</f>
        <v>Ireland</v>
      </c>
      <c r="I220" t="str">
        <f>_xlfn.XLOOKUP(D220,products!$A$1:$A$49,products!$B$1:$B$49,0)</f>
        <v>Ara</v>
      </c>
      <c r="J220" t="str">
        <f>_xlfn.XLOOKUP('data cleaned'!D220,products!$A$1:$A$49,products!$C$1:$C$49,0)</f>
        <v>M</v>
      </c>
      <c r="K220" s="5">
        <f>_xlfn.XLOOKUP('data cleaned'!D220,products!$A$1:$A$49,products!$D$1:$D$49,0)</f>
        <v>1</v>
      </c>
      <c r="L220" s="6">
        <f>_xlfn.XLOOKUP('data cleaned'!D220,products!$A$1:$A$49,products!$E$1:$E$49,0)</f>
        <v>11.25</v>
      </c>
      <c r="M220" s="6">
        <f>'data cleaned'!E220*'data cleaned'!L220</f>
        <v>56.25</v>
      </c>
      <c r="N220" t="str">
        <f t="shared" si="6"/>
        <v>Arabica</v>
      </c>
      <c r="O220" t="str">
        <f t="shared" si="7"/>
        <v>Medium</v>
      </c>
      <c r="P220" t="str">
        <f>_xlfn.XLOOKUP(worksheet[[#This Row],[Customer ID]],customers!$A$1:$A$1001,customers!$I$1:$I$1001,0)</f>
        <v>Yes</v>
      </c>
    </row>
    <row r="221" spans="1:16" x14ac:dyDescent="0.25">
      <c r="A221" s="2" t="s">
        <v>1725</v>
      </c>
      <c r="B221" s="4">
        <v>44777</v>
      </c>
      <c r="C221" s="2" t="s">
        <v>1726</v>
      </c>
      <c r="D221" t="s">
        <v>6178</v>
      </c>
      <c r="E221" s="2">
        <v>3</v>
      </c>
      <c r="F221" s="2" t="str">
        <f>_xlfn.XLOOKUP(C221,customers!$A$1:$A$1001,customers!$B$1:$B$1001,0)</f>
        <v>Charis Crosier</v>
      </c>
      <c r="G221" s="2" t="s">
        <v>1728</v>
      </c>
      <c r="H221" s="2" t="str">
        <f>_xlfn.XLOOKUP(C221,customers!$A$1:$A$1001,customers!$G$1:$G$1001,0)</f>
        <v>United States</v>
      </c>
      <c r="I221" t="str">
        <f>_xlfn.XLOOKUP(D221,products!$A$1:$A$49,products!$B$1:$B$49,0)</f>
        <v>Rob</v>
      </c>
      <c r="J221" t="str">
        <f>_xlfn.XLOOKUP('data cleaned'!D221,products!$A$1:$A$49,products!$C$1:$C$49,0)</f>
        <v>L</v>
      </c>
      <c r="K221" s="5">
        <f>_xlfn.XLOOKUP('data cleaned'!D221,products!$A$1:$A$49,products!$D$1:$D$49,0)</f>
        <v>0.2</v>
      </c>
      <c r="L221" s="6">
        <f>_xlfn.XLOOKUP('data cleaned'!D221,products!$A$1:$A$49,products!$E$1:$E$49,0)</f>
        <v>3.5849999999999995</v>
      </c>
      <c r="M221" s="6">
        <f>'data cleaned'!E221*'data cleaned'!L221</f>
        <v>10.754999999999999</v>
      </c>
      <c r="N221" t="str">
        <f t="shared" si="6"/>
        <v>Robusta</v>
      </c>
      <c r="O221" t="str">
        <f t="shared" si="7"/>
        <v>Light</v>
      </c>
      <c r="P221" t="str">
        <f>_xlfn.XLOOKUP(worksheet[[#This Row],[Customer ID]],customers!$A$1:$A$1001,customers!$I$1:$I$1001,0)</f>
        <v>No</v>
      </c>
    </row>
    <row r="222" spans="1:16" x14ac:dyDescent="0.25">
      <c r="A222" s="2" t="s">
        <v>1725</v>
      </c>
      <c r="B222" s="4">
        <v>44777</v>
      </c>
      <c r="C222" s="2" t="s">
        <v>1726</v>
      </c>
      <c r="D222" t="s">
        <v>6174</v>
      </c>
      <c r="E222" s="2">
        <v>5</v>
      </c>
      <c r="F222" s="2" t="str">
        <f>_xlfn.XLOOKUP(C222,customers!$A$1:$A$1001,customers!$B$1:$B$1001,0)</f>
        <v>Charis Crosier</v>
      </c>
      <c r="G222" s="2" t="s">
        <v>1728</v>
      </c>
      <c r="H222" s="2" t="str">
        <f>_xlfn.XLOOKUP(C222,customers!$A$1:$A$1001,customers!$G$1:$G$1001,0)</f>
        <v>United States</v>
      </c>
      <c r="I222" t="str">
        <f>_xlfn.XLOOKUP(D222,products!$A$1:$A$49,products!$B$1:$B$49,0)</f>
        <v>Rob</v>
      </c>
      <c r="J222" t="str">
        <f>_xlfn.XLOOKUP('data cleaned'!D222,products!$A$1:$A$49,products!$C$1:$C$49,0)</f>
        <v>M</v>
      </c>
      <c r="K222" s="5">
        <f>_xlfn.XLOOKUP('data cleaned'!D222,products!$A$1:$A$49,products!$D$1:$D$49,0)</f>
        <v>0.2</v>
      </c>
      <c r="L222" s="6">
        <f>_xlfn.XLOOKUP('data cleaned'!D222,products!$A$1:$A$49,products!$E$1:$E$49,0)</f>
        <v>2.9849999999999999</v>
      </c>
      <c r="M222" s="6">
        <f>'data cleaned'!E222*'data cleaned'!L222</f>
        <v>14.924999999999999</v>
      </c>
      <c r="N222" t="str">
        <f t="shared" si="6"/>
        <v>Robusta</v>
      </c>
      <c r="O222" t="str">
        <f t="shared" si="7"/>
        <v>Medium</v>
      </c>
      <c r="P222" t="str">
        <f>_xlfn.XLOOKUP(worksheet[[#This Row],[Customer ID]],customers!$A$1:$A$1001,customers!$I$1:$I$1001,0)</f>
        <v>No</v>
      </c>
    </row>
    <row r="223" spans="1:16" x14ac:dyDescent="0.25">
      <c r="A223" s="2" t="s">
        <v>1736</v>
      </c>
      <c r="B223" s="4">
        <v>44513</v>
      </c>
      <c r="C223" s="2" t="s">
        <v>1737</v>
      </c>
      <c r="D223" t="s">
        <v>6140</v>
      </c>
      <c r="E223" s="2">
        <v>6</v>
      </c>
      <c r="F223" s="2" t="str">
        <f>_xlfn.XLOOKUP(C223,customers!$A$1:$A$1001,customers!$B$1:$B$1001,0)</f>
        <v>Lenka Rushmer</v>
      </c>
      <c r="G223" s="2" t="s">
        <v>1739</v>
      </c>
      <c r="H223" s="2" t="str">
        <f>_xlfn.XLOOKUP(C223,customers!$A$1:$A$1001,customers!$G$1:$G$1001,0)</f>
        <v>United States</v>
      </c>
      <c r="I223" t="str">
        <f>_xlfn.XLOOKUP(D223,products!$A$1:$A$49,products!$B$1:$B$49,0)</f>
        <v>Ara</v>
      </c>
      <c r="J223" t="str">
        <f>_xlfn.XLOOKUP('data cleaned'!D223,products!$A$1:$A$49,products!$C$1:$C$49,0)</f>
        <v>L</v>
      </c>
      <c r="K223" s="5">
        <f>_xlfn.XLOOKUP('data cleaned'!D223,products!$A$1:$A$49,products!$D$1:$D$49,0)</f>
        <v>1</v>
      </c>
      <c r="L223" s="6">
        <f>_xlfn.XLOOKUP('data cleaned'!D223,products!$A$1:$A$49,products!$E$1:$E$49,0)</f>
        <v>12.95</v>
      </c>
      <c r="M223" s="6">
        <f>'data cleaned'!E223*'data cleaned'!L223</f>
        <v>77.699999999999989</v>
      </c>
      <c r="N223" t="str">
        <f t="shared" si="6"/>
        <v>Arabica</v>
      </c>
      <c r="O223" t="str">
        <f t="shared" si="7"/>
        <v>Light</v>
      </c>
      <c r="P223" t="str">
        <f>_xlfn.XLOOKUP(worksheet[[#This Row],[Customer ID]],customers!$A$1:$A$1001,customers!$I$1:$I$1001,0)</f>
        <v>Yes</v>
      </c>
    </row>
    <row r="224" spans="1:16" x14ac:dyDescent="0.25">
      <c r="A224" s="2" t="s">
        <v>1742</v>
      </c>
      <c r="B224" s="4">
        <v>44090</v>
      </c>
      <c r="C224" s="2" t="s">
        <v>1743</v>
      </c>
      <c r="D224" t="s">
        <v>6169</v>
      </c>
      <c r="E224" s="2">
        <v>3</v>
      </c>
      <c r="F224" s="2" t="str">
        <f>_xlfn.XLOOKUP(C224,customers!$A$1:$A$1001,customers!$B$1:$B$1001,0)</f>
        <v>Waneta Edinborough</v>
      </c>
      <c r="G224" s="2" t="s">
        <v>1745</v>
      </c>
      <c r="H224" s="2" t="str">
        <f>_xlfn.XLOOKUP(C224,customers!$A$1:$A$1001,customers!$G$1:$G$1001,0)</f>
        <v>United States</v>
      </c>
      <c r="I224" t="str">
        <f>_xlfn.XLOOKUP(D224,products!$A$1:$A$49,products!$B$1:$B$49,0)</f>
        <v>Lib</v>
      </c>
      <c r="J224" t="str">
        <f>_xlfn.XLOOKUP('data cleaned'!D224,products!$A$1:$A$49,products!$C$1:$C$49,0)</f>
        <v>D</v>
      </c>
      <c r="K224" s="5">
        <f>_xlfn.XLOOKUP('data cleaned'!D224,products!$A$1:$A$49,products!$D$1:$D$49,0)</f>
        <v>0.5</v>
      </c>
      <c r="L224" s="6">
        <f>_xlfn.XLOOKUP('data cleaned'!D224,products!$A$1:$A$49,products!$E$1:$E$49,0)</f>
        <v>7.77</v>
      </c>
      <c r="M224" s="6">
        <f>'data cleaned'!E224*'data cleaned'!L224</f>
        <v>23.31</v>
      </c>
      <c r="N224" t="str">
        <f t="shared" si="6"/>
        <v>Liberica</v>
      </c>
      <c r="O224" t="str">
        <f t="shared" si="7"/>
        <v>Dark</v>
      </c>
      <c r="P224" t="str">
        <f>_xlfn.XLOOKUP(worksheet[[#This Row],[Customer ID]],customers!$A$1:$A$1001,customers!$I$1:$I$1001,0)</f>
        <v>No</v>
      </c>
    </row>
    <row r="225" spans="1:16" x14ac:dyDescent="0.25">
      <c r="A225" s="2" t="s">
        <v>1748</v>
      </c>
      <c r="B225" s="4">
        <v>44109</v>
      </c>
      <c r="C225" s="2" t="s">
        <v>1749</v>
      </c>
      <c r="D225" t="s">
        <v>6171</v>
      </c>
      <c r="E225" s="2">
        <v>4</v>
      </c>
      <c r="F225" s="2" t="str">
        <f>_xlfn.XLOOKUP(C225,customers!$A$1:$A$1001,customers!$B$1:$B$1001,0)</f>
        <v>Bobbe Piggott</v>
      </c>
      <c r="G225" s="2" t="s">
        <v>6222</v>
      </c>
      <c r="H225" s="2" t="str">
        <f>_xlfn.XLOOKUP(C225,customers!$A$1:$A$1001,customers!$G$1:$G$1001,0)</f>
        <v>United States</v>
      </c>
      <c r="I225" t="str">
        <f>_xlfn.XLOOKUP(D225,products!$A$1:$A$49,products!$B$1:$B$49,0)</f>
        <v>Exc</v>
      </c>
      <c r="J225" t="str">
        <f>_xlfn.XLOOKUP('data cleaned'!D225,products!$A$1:$A$49,products!$C$1:$C$49,0)</f>
        <v>L</v>
      </c>
      <c r="K225" s="5">
        <f>_xlfn.XLOOKUP('data cleaned'!D225,products!$A$1:$A$49,products!$D$1:$D$49,0)</f>
        <v>1</v>
      </c>
      <c r="L225" s="6">
        <f>_xlfn.XLOOKUP('data cleaned'!D225,products!$A$1:$A$49,products!$E$1:$E$49,0)</f>
        <v>14.85</v>
      </c>
      <c r="M225" s="6">
        <f>'data cleaned'!E225*'data cleaned'!L225</f>
        <v>59.4</v>
      </c>
      <c r="N225" t="str">
        <f t="shared" si="6"/>
        <v>Excelsa</v>
      </c>
      <c r="O225" t="str">
        <f t="shared" si="7"/>
        <v>Light</v>
      </c>
      <c r="P225" t="str">
        <f>_xlfn.XLOOKUP(worksheet[[#This Row],[Customer ID]],customers!$A$1:$A$1001,customers!$I$1:$I$1001,0)</f>
        <v>Yes</v>
      </c>
    </row>
    <row r="226" spans="1:16" x14ac:dyDescent="0.25">
      <c r="A226" s="2" t="s">
        <v>1753</v>
      </c>
      <c r="B226" s="4">
        <v>43836</v>
      </c>
      <c r="C226" s="2" t="s">
        <v>1754</v>
      </c>
      <c r="D226" t="s">
        <v>6165</v>
      </c>
      <c r="E226" s="2">
        <v>4</v>
      </c>
      <c r="F226" s="2" t="str">
        <f>_xlfn.XLOOKUP(C226,customers!$A$1:$A$1001,customers!$B$1:$B$1001,0)</f>
        <v>Ketty Bromehead</v>
      </c>
      <c r="G226" s="2" t="s">
        <v>1756</v>
      </c>
      <c r="H226" s="2" t="str">
        <f>_xlfn.XLOOKUP(C226,customers!$A$1:$A$1001,customers!$G$1:$G$1001,0)</f>
        <v>United States</v>
      </c>
      <c r="I226" t="str">
        <f>_xlfn.XLOOKUP(D226,products!$A$1:$A$49,products!$B$1:$B$49,0)</f>
        <v>Lib</v>
      </c>
      <c r="J226" t="str">
        <f>_xlfn.XLOOKUP('data cleaned'!D226,products!$A$1:$A$49,products!$C$1:$C$49,0)</f>
        <v>D</v>
      </c>
      <c r="K226" s="5">
        <f>_xlfn.XLOOKUP('data cleaned'!D226,products!$A$1:$A$49,products!$D$1:$D$49,0)</f>
        <v>2.5</v>
      </c>
      <c r="L226" s="6">
        <f>_xlfn.XLOOKUP('data cleaned'!D226,products!$A$1:$A$49,products!$E$1:$E$49,0)</f>
        <v>29.784999999999997</v>
      </c>
      <c r="M226" s="6">
        <f>'data cleaned'!E226*'data cleaned'!L226</f>
        <v>119.13999999999999</v>
      </c>
      <c r="N226" t="str">
        <f t="shared" si="6"/>
        <v>Liberica</v>
      </c>
      <c r="O226" t="str">
        <f t="shared" si="7"/>
        <v>Dark</v>
      </c>
      <c r="P226" t="str">
        <f>_xlfn.XLOOKUP(worksheet[[#This Row],[Customer ID]],customers!$A$1:$A$1001,customers!$I$1:$I$1001,0)</f>
        <v>Yes</v>
      </c>
    </row>
    <row r="227" spans="1:16" x14ac:dyDescent="0.25">
      <c r="A227" s="2" t="s">
        <v>1759</v>
      </c>
      <c r="B227" s="4">
        <v>44337</v>
      </c>
      <c r="C227" s="2" t="s">
        <v>1760</v>
      </c>
      <c r="D227" t="s">
        <v>6178</v>
      </c>
      <c r="E227" s="2">
        <v>4</v>
      </c>
      <c r="F227" s="2" t="str">
        <f>_xlfn.XLOOKUP(C227,customers!$A$1:$A$1001,customers!$B$1:$B$1001,0)</f>
        <v>Elsbeth Westerman</v>
      </c>
      <c r="G227" s="2" t="s">
        <v>1762</v>
      </c>
      <c r="H227" s="2" t="str">
        <f>_xlfn.XLOOKUP(C227,customers!$A$1:$A$1001,customers!$G$1:$G$1001,0)</f>
        <v>Ireland</v>
      </c>
      <c r="I227" t="str">
        <f>_xlfn.XLOOKUP(D227,products!$A$1:$A$49,products!$B$1:$B$49,0)</f>
        <v>Rob</v>
      </c>
      <c r="J227" t="str">
        <f>_xlfn.XLOOKUP('data cleaned'!D227,products!$A$1:$A$49,products!$C$1:$C$49,0)</f>
        <v>L</v>
      </c>
      <c r="K227" s="5">
        <f>_xlfn.XLOOKUP('data cleaned'!D227,products!$A$1:$A$49,products!$D$1:$D$49,0)</f>
        <v>0.2</v>
      </c>
      <c r="L227" s="6">
        <f>_xlfn.XLOOKUP('data cleaned'!D227,products!$A$1:$A$49,products!$E$1:$E$49,0)</f>
        <v>3.5849999999999995</v>
      </c>
      <c r="M227" s="6">
        <f>'data cleaned'!E227*'data cleaned'!L227</f>
        <v>14.339999999999998</v>
      </c>
      <c r="N227" t="str">
        <f t="shared" si="6"/>
        <v>Robusta</v>
      </c>
      <c r="O227" t="str">
        <f t="shared" si="7"/>
        <v>Light</v>
      </c>
      <c r="P227" t="str">
        <f>_xlfn.XLOOKUP(worksheet[[#This Row],[Customer ID]],customers!$A$1:$A$1001,customers!$I$1:$I$1001,0)</f>
        <v>No</v>
      </c>
    </row>
    <row r="228" spans="1:16" x14ac:dyDescent="0.25">
      <c r="A228" s="2" t="s">
        <v>1765</v>
      </c>
      <c r="B228" s="4">
        <v>43887</v>
      </c>
      <c r="C228" s="2" t="s">
        <v>1766</v>
      </c>
      <c r="D228" t="s">
        <v>6175</v>
      </c>
      <c r="E228" s="2">
        <v>5</v>
      </c>
      <c r="F228" s="2" t="str">
        <f>_xlfn.XLOOKUP(C228,customers!$A$1:$A$1001,customers!$B$1:$B$1001,0)</f>
        <v>Anabelle Hutchens</v>
      </c>
      <c r="G228" s="2" t="s">
        <v>1768</v>
      </c>
      <c r="H228" s="2" t="str">
        <f>_xlfn.XLOOKUP(C228,customers!$A$1:$A$1001,customers!$G$1:$G$1001,0)</f>
        <v>United States</v>
      </c>
      <c r="I228" t="str">
        <f>_xlfn.XLOOKUP(D228,products!$A$1:$A$49,products!$B$1:$B$49,0)</f>
        <v>Ara</v>
      </c>
      <c r="J228" t="str">
        <f>_xlfn.XLOOKUP('data cleaned'!D228,products!$A$1:$A$49,products!$C$1:$C$49,0)</f>
        <v>M</v>
      </c>
      <c r="K228" s="5">
        <f>_xlfn.XLOOKUP('data cleaned'!D228,products!$A$1:$A$49,products!$D$1:$D$49,0)</f>
        <v>2.5</v>
      </c>
      <c r="L228" s="6">
        <f>_xlfn.XLOOKUP('data cleaned'!D228,products!$A$1:$A$49,products!$E$1:$E$49,0)</f>
        <v>25.874999999999996</v>
      </c>
      <c r="M228" s="6">
        <f>'data cleaned'!E228*'data cleaned'!L228</f>
        <v>129.37499999999997</v>
      </c>
      <c r="N228" t="str">
        <f t="shared" si="6"/>
        <v>Arabica</v>
      </c>
      <c r="O228" t="str">
        <f t="shared" si="7"/>
        <v>Medium</v>
      </c>
      <c r="P228" t="str">
        <f>_xlfn.XLOOKUP(worksheet[[#This Row],[Customer ID]],customers!$A$1:$A$1001,customers!$I$1:$I$1001,0)</f>
        <v>No</v>
      </c>
    </row>
    <row r="229" spans="1:16" x14ac:dyDescent="0.25">
      <c r="A229" s="2" t="s">
        <v>1771</v>
      </c>
      <c r="B229" s="4">
        <v>43880</v>
      </c>
      <c r="C229" s="2" t="s">
        <v>1772</v>
      </c>
      <c r="D229" t="s">
        <v>6163</v>
      </c>
      <c r="E229" s="2">
        <v>6</v>
      </c>
      <c r="F229" s="2" t="str">
        <f>_xlfn.XLOOKUP(C229,customers!$A$1:$A$1001,customers!$B$1:$B$1001,0)</f>
        <v>Noak Wyvill</v>
      </c>
      <c r="G229" s="2" t="s">
        <v>1774</v>
      </c>
      <c r="H229" s="2" t="str">
        <f>_xlfn.XLOOKUP(C229,customers!$A$1:$A$1001,customers!$G$1:$G$1001,0)</f>
        <v>United Kingdom</v>
      </c>
      <c r="I229" t="str">
        <f>_xlfn.XLOOKUP(D229,products!$A$1:$A$49,products!$B$1:$B$49,0)</f>
        <v>Rob</v>
      </c>
      <c r="J229" t="str">
        <f>_xlfn.XLOOKUP('data cleaned'!D229,products!$A$1:$A$49,products!$C$1:$C$49,0)</f>
        <v>D</v>
      </c>
      <c r="K229" s="5">
        <f>_xlfn.XLOOKUP('data cleaned'!D229,products!$A$1:$A$49,products!$D$1:$D$49,0)</f>
        <v>0.2</v>
      </c>
      <c r="L229" s="6">
        <f>_xlfn.XLOOKUP('data cleaned'!D229,products!$A$1:$A$49,products!$E$1:$E$49,0)</f>
        <v>2.6849999999999996</v>
      </c>
      <c r="M229" s="6">
        <f>'data cleaned'!E229*'data cleaned'!L229</f>
        <v>16.11</v>
      </c>
      <c r="N229" t="str">
        <f t="shared" si="6"/>
        <v>Robusta</v>
      </c>
      <c r="O229" t="str">
        <f t="shared" si="7"/>
        <v>Dark</v>
      </c>
      <c r="P229" t="str">
        <f>_xlfn.XLOOKUP(worksheet[[#This Row],[Customer ID]],customers!$A$1:$A$1001,customers!$I$1:$I$1001,0)</f>
        <v>Yes</v>
      </c>
    </row>
    <row r="230" spans="1:16" x14ac:dyDescent="0.25">
      <c r="A230" s="2" t="s">
        <v>1777</v>
      </c>
      <c r="B230" s="4">
        <v>44376</v>
      </c>
      <c r="C230" s="2" t="s">
        <v>1778</v>
      </c>
      <c r="D230" t="s">
        <v>6178</v>
      </c>
      <c r="E230" s="2">
        <v>5</v>
      </c>
      <c r="F230" s="2" t="str">
        <f>_xlfn.XLOOKUP(C230,customers!$A$1:$A$1001,customers!$B$1:$B$1001,0)</f>
        <v>Beltran Mathon</v>
      </c>
      <c r="G230" s="2" t="s">
        <v>1780</v>
      </c>
      <c r="H230" s="2" t="str">
        <f>_xlfn.XLOOKUP(C230,customers!$A$1:$A$1001,customers!$G$1:$G$1001,0)</f>
        <v>United States</v>
      </c>
      <c r="I230" t="str">
        <f>_xlfn.XLOOKUP(D230,products!$A$1:$A$49,products!$B$1:$B$49,0)</f>
        <v>Rob</v>
      </c>
      <c r="J230" t="str">
        <f>_xlfn.XLOOKUP('data cleaned'!D230,products!$A$1:$A$49,products!$C$1:$C$49,0)</f>
        <v>L</v>
      </c>
      <c r="K230" s="5">
        <f>_xlfn.XLOOKUP('data cleaned'!D230,products!$A$1:$A$49,products!$D$1:$D$49,0)</f>
        <v>0.2</v>
      </c>
      <c r="L230" s="6">
        <f>_xlfn.XLOOKUP('data cleaned'!D230,products!$A$1:$A$49,products!$E$1:$E$49,0)</f>
        <v>3.5849999999999995</v>
      </c>
      <c r="M230" s="6">
        <f>'data cleaned'!E230*'data cleaned'!L230</f>
        <v>17.924999999999997</v>
      </c>
      <c r="N230" t="str">
        <f t="shared" si="6"/>
        <v>Robusta</v>
      </c>
      <c r="O230" t="str">
        <f t="shared" si="7"/>
        <v>Light</v>
      </c>
      <c r="P230" t="str">
        <f>_xlfn.XLOOKUP(worksheet[[#This Row],[Customer ID]],customers!$A$1:$A$1001,customers!$I$1:$I$1001,0)</f>
        <v>No</v>
      </c>
    </row>
    <row r="231" spans="1:16" x14ac:dyDescent="0.25">
      <c r="A231" s="2" t="s">
        <v>1783</v>
      </c>
      <c r="B231" s="4">
        <v>44282</v>
      </c>
      <c r="C231" s="2" t="s">
        <v>1784</v>
      </c>
      <c r="D231" t="s">
        <v>6159</v>
      </c>
      <c r="E231" s="2">
        <v>2</v>
      </c>
      <c r="F231" s="2" t="str">
        <f>_xlfn.XLOOKUP(C231,customers!$A$1:$A$1001,customers!$B$1:$B$1001,0)</f>
        <v>Kristos Streight</v>
      </c>
      <c r="G231" s="2" t="s">
        <v>1786</v>
      </c>
      <c r="H231" s="2" t="str">
        <f>_xlfn.XLOOKUP(C231,customers!$A$1:$A$1001,customers!$G$1:$G$1001,0)</f>
        <v>United States</v>
      </c>
      <c r="I231" t="str">
        <f>_xlfn.XLOOKUP(D231,products!$A$1:$A$49,products!$B$1:$B$49,0)</f>
        <v>Lib</v>
      </c>
      <c r="J231" t="str">
        <f>_xlfn.XLOOKUP('data cleaned'!D231,products!$A$1:$A$49,products!$C$1:$C$49,0)</f>
        <v>M</v>
      </c>
      <c r="K231" s="5">
        <f>_xlfn.XLOOKUP('data cleaned'!D231,products!$A$1:$A$49,products!$D$1:$D$49,0)</f>
        <v>0.2</v>
      </c>
      <c r="L231" s="6">
        <f>_xlfn.XLOOKUP('data cleaned'!D231,products!$A$1:$A$49,products!$E$1:$E$49,0)</f>
        <v>4.3650000000000002</v>
      </c>
      <c r="M231" s="6">
        <f>'data cleaned'!E231*'data cleaned'!L231</f>
        <v>8.73</v>
      </c>
      <c r="N231" t="str">
        <f t="shared" si="6"/>
        <v>Liberica</v>
      </c>
      <c r="O231" t="str">
        <f t="shared" si="7"/>
        <v>Medium</v>
      </c>
      <c r="P231" t="str">
        <f>_xlfn.XLOOKUP(worksheet[[#This Row],[Customer ID]],customers!$A$1:$A$1001,customers!$I$1:$I$1001,0)</f>
        <v>No</v>
      </c>
    </row>
    <row r="232" spans="1:16" x14ac:dyDescent="0.25">
      <c r="A232" s="2" t="s">
        <v>1789</v>
      </c>
      <c r="B232" s="4">
        <v>44496</v>
      </c>
      <c r="C232" s="2" t="s">
        <v>1790</v>
      </c>
      <c r="D232" t="s">
        <v>6175</v>
      </c>
      <c r="E232" s="2">
        <v>2</v>
      </c>
      <c r="F232" s="2" t="str">
        <f>_xlfn.XLOOKUP(C232,customers!$A$1:$A$1001,customers!$B$1:$B$1001,0)</f>
        <v>Portie Cutchie</v>
      </c>
      <c r="G232" s="2" t="s">
        <v>1792</v>
      </c>
      <c r="H232" s="2" t="str">
        <f>_xlfn.XLOOKUP(C232,customers!$A$1:$A$1001,customers!$G$1:$G$1001,0)</f>
        <v>United States</v>
      </c>
      <c r="I232" t="str">
        <f>_xlfn.XLOOKUP(D232,products!$A$1:$A$49,products!$B$1:$B$49,0)</f>
        <v>Ara</v>
      </c>
      <c r="J232" t="str">
        <f>_xlfn.XLOOKUP('data cleaned'!D232,products!$A$1:$A$49,products!$C$1:$C$49,0)</f>
        <v>M</v>
      </c>
      <c r="K232" s="5">
        <f>_xlfn.XLOOKUP('data cleaned'!D232,products!$A$1:$A$49,products!$D$1:$D$49,0)</f>
        <v>2.5</v>
      </c>
      <c r="L232" s="6">
        <f>_xlfn.XLOOKUP('data cleaned'!D232,products!$A$1:$A$49,products!$E$1:$E$49,0)</f>
        <v>25.874999999999996</v>
      </c>
      <c r="M232" s="6">
        <f>'data cleaned'!E232*'data cleaned'!L232</f>
        <v>51.749999999999993</v>
      </c>
      <c r="N232" t="str">
        <f t="shared" si="6"/>
        <v>Arabica</v>
      </c>
      <c r="O232" t="str">
        <f t="shared" si="7"/>
        <v>Medium</v>
      </c>
      <c r="P232" t="str">
        <f>_xlfn.XLOOKUP(worksheet[[#This Row],[Customer ID]],customers!$A$1:$A$1001,customers!$I$1:$I$1001,0)</f>
        <v>No</v>
      </c>
    </row>
    <row r="233" spans="1:16" x14ac:dyDescent="0.25">
      <c r="A233" s="2" t="s">
        <v>1795</v>
      </c>
      <c r="B233" s="4">
        <v>43628</v>
      </c>
      <c r="C233" s="2" t="s">
        <v>1796</v>
      </c>
      <c r="D233" t="s">
        <v>6159</v>
      </c>
      <c r="E233" s="2">
        <v>2</v>
      </c>
      <c r="F233" s="2" t="str">
        <f>_xlfn.XLOOKUP(C233,customers!$A$1:$A$1001,customers!$B$1:$B$1001,0)</f>
        <v>Sinclare Edsell</v>
      </c>
      <c r="G233" s="2" t="s">
        <v>6222</v>
      </c>
      <c r="H233" s="2" t="str">
        <f>_xlfn.XLOOKUP(C233,customers!$A$1:$A$1001,customers!$G$1:$G$1001,0)</f>
        <v>United States</v>
      </c>
      <c r="I233" t="str">
        <f>_xlfn.XLOOKUP(D233,products!$A$1:$A$49,products!$B$1:$B$49,0)</f>
        <v>Lib</v>
      </c>
      <c r="J233" t="str">
        <f>_xlfn.XLOOKUP('data cleaned'!D233,products!$A$1:$A$49,products!$C$1:$C$49,0)</f>
        <v>M</v>
      </c>
      <c r="K233" s="5">
        <f>_xlfn.XLOOKUP('data cleaned'!D233,products!$A$1:$A$49,products!$D$1:$D$49,0)</f>
        <v>0.2</v>
      </c>
      <c r="L233" s="6">
        <f>_xlfn.XLOOKUP('data cleaned'!D233,products!$A$1:$A$49,products!$E$1:$E$49,0)</f>
        <v>4.3650000000000002</v>
      </c>
      <c r="M233" s="6">
        <f>'data cleaned'!E233*'data cleaned'!L233</f>
        <v>8.73</v>
      </c>
      <c r="N233" t="str">
        <f t="shared" si="6"/>
        <v>Liberica</v>
      </c>
      <c r="O233" t="str">
        <f t="shared" si="7"/>
        <v>Medium</v>
      </c>
      <c r="P233" t="str">
        <f>_xlfn.XLOOKUP(worksheet[[#This Row],[Customer ID]],customers!$A$1:$A$1001,customers!$I$1:$I$1001,0)</f>
        <v>Yes</v>
      </c>
    </row>
    <row r="234" spans="1:16" x14ac:dyDescent="0.25">
      <c r="A234" s="2" t="s">
        <v>1800</v>
      </c>
      <c r="B234" s="4">
        <v>44010</v>
      </c>
      <c r="C234" s="2" t="s">
        <v>1801</v>
      </c>
      <c r="D234" t="s">
        <v>6145</v>
      </c>
      <c r="E234" s="2">
        <v>5</v>
      </c>
      <c r="F234" s="2" t="str">
        <f>_xlfn.XLOOKUP(C234,customers!$A$1:$A$1001,customers!$B$1:$B$1001,0)</f>
        <v>Conny Gheraldi</v>
      </c>
      <c r="G234" s="2" t="s">
        <v>1803</v>
      </c>
      <c r="H234" s="2" t="str">
        <f>_xlfn.XLOOKUP(C234,customers!$A$1:$A$1001,customers!$G$1:$G$1001,0)</f>
        <v>United Kingdom</v>
      </c>
      <c r="I234" t="str">
        <f>_xlfn.XLOOKUP(D234,products!$A$1:$A$49,products!$B$1:$B$49,0)</f>
        <v>Lib</v>
      </c>
      <c r="J234" t="str">
        <f>_xlfn.XLOOKUP('data cleaned'!D234,products!$A$1:$A$49,products!$C$1:$C$49,0)</f>
        <v>L</v>
      </c>
      <c r="K234" s="5">
        <f>_xlfn.XLOOKUP('data cleaned'!D234,products!$A$1:$A$49,products!$D$1:$D$49,0)</f>
        <v>0.2</v>
      </c>
      <c r="L234" s="6">
        <f>_xlfn.XLOOKUP('data cleaned'!D234,products!$A$1:$A$49,products!$E$1:$E$49,0)</f>
        <v>4.7549999999999999</v>
      </c>
      <c r="M234" s="6">
        <f>'data cleaned'!E234*'data cleaned'!L234</f>
        <v>23.774999999999999</v>
      </c>
      <c r="N234" t="str">
        <f t="shared" si="6"/>
        <v>Liberica</v>
      </c>
      <c r="O234" t="str">
        <f t="shared" si="7"/>
        <v>Light</v>
      </c>
      <c r="P234" t="str">
        <f>_xlfn.XLOOKUP(worksheet[[#This Row],[Customer ID]],customers!$A$1:$A$1001,customers!$I$1:$I$1001,0)</f>
        <v>No</v>
      </c>
    </row>
    <row r="235" spans="1:16" x14ac:dyDescent="0.25">
      <c r="A235" s="2" t="s">
        <v>1806</v>
      </c>
      <c r="B235" s="4">
        <v>44278</v>
      </c>
      <c r="C235" s="2" t="s">
        <v>1807</v>
      </c>
      <c r="D235" t="s">
        <v>6156</v>
      </c>
      <c r="E235" s="2">
        <v>5</v>
      </c>
      <c r="F235" s="2" t="str">
        <f>_xlfn.XLOOKUP(C235,customers!$A$1:$A$1001,customers!$B$1:$B$1001,0)</f>
        <v>Beryle Kenwell</v>
      </c>
      <c r="G235" s="2" t="s">
        <v>1809</v>
      </c>
      <c r="H235" s="2" t="str">
        <f>_xlfn.XLOOKUP(C235,customers!$A$1:$A$1001,customers!$G$1:$G$1001,0)</f>
        <v>United States</v>
      </c>
      <c r="I235" t="str">
        <f>_xlfn.XLOOKUP(D235,products!$A$1:$A$49,products!$B$1:$B$49,0)</f>
        <v>Exc</v>
      </c>
      <c r="J235" t="str">
        <f>_xlfn.XLOOKUP('data cleaned'!D235,products!$A$1:$A$49,products!$C$1:$C$49,0)</f>
        <v>M</v>
      </c>
      <c r="K235" s="5">
        <f>_xlfn.XLOOKUP('data cleaned'!D235,products!$A$1:$A$49,products!$D$1:$D$49,0)</f>
        <v>0.2</v>
      </c>
      <c r="L235" s="6">
        <f>_xlfn.XLOOKUP('data cleaned'!D235,products!$A$1:$A$49,products!$E$1:$E$49,0)</f>
        <v>4.125</v>
      </c>
      <c r="M235" s="6">
        <f>'data cleaned'!E235*'data cleaned'!L235</f>
        <v>20.625</v>
      </c>
      <c r="N235" t="str">
        <f t="shared" si="6"/>
        <v>Excelsa</v>
      </c>
      <c r="O235" t="str">
        <f t="shared" si="7"/>
        <v>Medium</v>
      </c>
      <c r="P235" t="str">
        <f>_xlfn.XLOOKUP(worksheet[[#This Row],[Customer ID]],customers!$A$1:$A$1001,customers!$I$1:$I$1001,0)</f>
        <v>No</v>
      </c>
    </row>
    <row r="236" spans="1:16" x14ac:dyDescent="0.25">
      <c r="A236" s="2" t="s">
        <v>1812</v>
      </c>
      <c r="B236" s="4">
        <v>44602</v>
      </c>
      <c r="C236" s="2" t="s">
        <v>1813</v>
      </c>
      <c r="D236" t="s">
        <v>6164</v>
      </c>
      <c r="E236" s="2">
        <v>1</v>
      </c>
      <c r="F236" s="2" t="str">
        <f>_xlfn.XLOOKUP(C236,customers!$A$1:$A$1001,customers!$B$1:$B$1001,0)</f>
        <v>Tomas Sutty</v>
      </c>
      <c r="G236" s="2" t="s">
        <v>1815</v>
      </c>
      <c r="H236" s="2" t="str">
        <f>_xlfn.XLOOKUP(C236,customers!$A$1:$A$1001,customers!$G$1:$G$1001,0)</f>
        <v>United States</v>
      </c>
      <c r="I236" t="str">
        <f>_xlfn.XLOOKUP(D236,products!$A$1:$A$49,products!$B$1:$B$49,0)</f>
        <v>Lib</v>
      </c>
      <c r="J236" t="str">
        <f>_xlfn.XLOOKUP('data cleaned'!D236,products!$A$1:$A$49,products!$C$1:$C$49,0)</f>
        <v>L</v>
      </c>
      <c r="K236" s="5">
        <f>_xlfn.XLOOKUP('data cleaned'!D236,products!$A$1:$A$49,products!$D$1:$D$49,0)</f>
        <v>2.5</v>
      </c>
      <c r="L236" s="6">
        <f>_xlfn.XLOOKUP('data cleaned'!D236,products!$A$1:$A$49,products!$E$1:$E$49,0)</f>
        <v>36.454999999999998</v>
      </c>
      <c r="M236" s="6">
        <f>'data cleaned'!E236*'data cleaned'!L236</f>
        <v>36.454999999999998</v>
      </c>
      <c r="N236" t="str">
        <f t="shared" si="6"/>
        <v>Liberica</v>
      </c>
      <c r="O236" t="str">
        <f t="shared" si="7"/>
        <v>Light</v>
      </c>
      <c r="P236" t="str">
        <f>_xlfn.XLOOKUP(worksheet[[#This Row],[Customer ID]],customers!$A$1:$A$1001,customers!$I$1:$I$1001,0)</f>
        <v>No</v>
      </c>
    </row>
    <row r="237" spans="1:16" x14ac:dyDescent="0.25">
      <c r="A237" s="2" t="s">
        <v>1818</v>
      </c>
      <c r="B237" s="4">
        <v>43571</v>
      </c>
      <c r="C237" s="2" t="s">
        <v>1819</v>
      </c>
      <c r="D237" t="s">
        <v>6164</v>
      </c>
      <c r="E237" s="2">
        <v>5</v>
      </c>
      <c r="F237" s="2" t="str">
        <f>_xlfn.XLOOKUP(C237,customers!$A$1:$A$1001,customers!$B$1:$B$1001,0)</f>
        <v>Samuele Ales0</v>
      </c>
      <c r="G237" s="2" t="s">
        <v>6222</v>
      </c>
      <c r="H237" s="2" t="str">
        <f>_xlfn.XLOOKUP(C237,customers!$A$1:$A$1001,customers!$G$1:$G$1001,0)</f>
        <v>Ireland</v>
      </c>
      <c r="I237" t="str">
        <f>_xlfn.XLOOKUP(D237,products!$A$1:$A$49,products!$B$1:$B$49,0)</f>
        <v>Lib</v>
      </c>
      <c r="J237" t="str">
        <f>_xlfn.XLOOKUP('data cleaned'!D237,products!$A$1:$A$49,products!$C$1:$C$49,0)</f>
        <v>L</v>
      </c>
      <c r="K237" s="5">
        <f>_xlfn.XLOOKUP('data cleaned'!D237,products!$A$1:$A$49,products!$D$1:$D$49,0)</f>
        <v>2.5</v>
      </c>
      <c r="L237" s="6">
        <f>_xlfn.XLOOKUP('data cleaned'!D237,products!$A$1:$A$49,products!$E$1:$E$49,0)</f>
        <v>36.454999999999998</v>
      </c>
      <c r="M237" s="6">
        <f>'data cleaned'!E237*'data cleaned'!L237</f>
        <v>182.27499999999998</v>
      </c>
      <c r="N237" t="str">
        <f t="shared" si="6"/>
        <v>Liberica</v>
      </c>
      <c r="O237" t="str">
        <f t="shared" si="7"/>
        <v>Light</v>
      </c>
      <c r="P237" t="str">
        <f>_xlfn.XLOOKUP(worksheet[[#This Row],[Customer ID]],customers!$A$1:$A$1001,customers!$I$1:$I$1001,0)</f>
        <v>No</v>
      </c>
    </row>
    <row r="238" spans="1:16" x14ac:dyDescent="0.25">
      <c r="A238" s="2" t="s">
        <v>1822</v>
      </c>
      <c r="B238" s="4">
        <v>43873</v>
      </c>
      <c r="C238" s="2" t="s">
        <v>1823</v>
      </c>
      <c r="D238" t="s">
        <v>6165</v>
      </c>
      <c r="E238" s="2">
        <v>3</v>
      </c>
      <c r="F238" s="2" t="str">
        <f>_xlfn.XLOOKUP(C238,customers!$A$1:$A$1001,customers!$B$1:$B$1001,0)</f>
        <v>Carlie Harce</v>
      </c>
      <c r="G238" s="2" t="s">
        <v>1825</v>
      </c>
      <c r="H238" s="2" t="str">
        <f>_xlfn.XLOOKUP(C238,customers!$A$1:$A$1001,customers!$G$1:$G$1001,0)</f>
        <v>Ireland</v>
      </c>
      <c r="I238" t="str">
        <f>_xlfn.XLOOKUP(D238,products!$A$1:$A$49,products!$B$1:$B$49,0)</f>
        <v>Lib</v>
      </c>
      <c r="J238" t="str">
        <f>_xlfn.XLOOKUP('data cleaned'!D238,products!$A$1:$A$49,products!$C$1:$C$49,0)</f>
        <v>D</v>
      </c>
      <c r="K238" s="5">
        <f>_xlfn.XLOOKUP('data cleaned'!D238,products!$A$1:$A$49,products!$D$1:$D$49,0)</f>
        <v>2.5</v>
      </c>
      <c r="L238" s="6">
        <f>_xlfn.XLOOKUP('data cleaned'!D238,products!$A$1:$A$49,products!$E$1:$E$49,0)</f>
        <v>29.784999999999997</v>
      </c>
      <c r="M238" s="6">
        <f>'data cleaned'!E238*'data cleaned'!L238</f>
        <v>89.35499999999999</v>
      </c>
      <c r="N238" t="str">
        <f t="shared" si="6"/>
        <v>Liberica</v>
      </c>
      <c r="O238" t="str">
        <f t="shared" si="7"/>
        <v>Dark</v>
      </c>
      <c r="P238" t="str">
        <f>_xlfn.XLOOKUP(worksheet[[#This Row],[Customer ID]],customers!$A$1:$A$1001,customers!$I$1:$I$1001,0)</f>
        <v>No</v>
      </c>
    </row>
    <row r="239" spans="1:16" x14ac:dyDescent="0.25">
      <c r="A239" s="2" t="s">
        <v>1828</v>
      </c>
      <c r="B239" s="4">
        <v>44563</v>
      </c>
      <c r="C239" s="2" t="s">
        <v>1829</v>
      </c>
      <c r="D239" t="s">
        <v>6178</v>
      </c>
      <c r="E239" s="2">
        <v>1</v>
      </c>
      <c r="F239" s="2" t="str">
        <f>_xlfn.XLOOKUP(C239,customers!$A$1:$A$1001,customers!$B$1:$B$1001,0)</f>
        <v>Craggy Bril</v>
      </c>
      <c r="G239" s="2" t="s">
        <v>6222</v>
      </c>
      <c r="H239" s="2" t="str">
        <f>_xlfn.XLOOKUP(C239,customers!$A$1:$A$1001,customers!$G$1:$G$1001,0)</f>
        <v>United States</v>
      </c>
      <c r="I239" t="str">
        <f>_xlfn.XLOOKUP(D239,products!$A$1:$A$49,products!$B$1:$B$49,0)</f>
        <v>Rob</v>
      </c>
      <c r="J239" t="str">
        <f>_xlfn.XLOOKUP('data cleaned'!D239,products!$A$1:$A$49,products!$C$1:$C$49,0)</f>
        <v>L</v>
      </c>
      <c r="K239" s="5">
        <f>_xlfn.XLOOKUP('data cleaned'!D239,products!$A$1:$A$49,products!$D$1:$D$49,0)</f>
        <v>0.2</v>
      </c>
      <c r="L239" s="6">
        <f>_xlfn.XLOOKUP('data cleaned'!D239,products!$A$1:$A$49,products!$E$1:$E$49,0)</f>
        <v>3.5849999999999995</v>
      </c>
      <c r="M239" s="6">
        <f>'data cleaned'!E239*'data cleaned'!L239</f>
        <v>3.5849999999999995</v>
      </c>
      <c r="N239" t="str">
        <f t="shared" si="6"/>
        <v>Robusta</v>
      </c>
      <c r="O239" t="str">
        <f t="shared" si="7"/>
        <v>Light</v>
      </c>
      <c r="P239" t="str">
        <f>_xlfn.XLOOKUP(worksheet[[#This Row],[Customer ID]],customers!$A$1:$A$1001,customers!$I$1:$I$1001,0)</f>
        <v>Yes</v>
      </c>
    </row>
    <row r="240" spans="1:16" x14ac:dyDescent="0.25">
      <c r="A240" s="2" t="s">
        <v>1833</v>
      </c>
      <c r="B240" s="4">
        <v>44172</v>
      </c>
      <c r="C240" s="2" t="s">
        <v>1834</v>
      </c>
      <c r="D240" t="s">
        <v>6151</v>
      </c>
      <c r="E240" s="2">
        <v>2</v>
      </c>
      <c r="F240" s="2" t="str">
        <f>_xlfn.XLOOKUP(C240,customers!$A$1:$A$1001,customers!$B$1:$B$1001,0)</f>
        <v>Friederike Drysdale</v>
      </c>
      <c r="G240" s="2" t="s">
        <v>1836</v>
      </c>
      <c r="H240" s="2" t="str">
        <f>_xlfn.XLOOKUP(C240,customers!$A$1:$A$1001,customers!$G$1:$G$1001,0)</f>
        <v>United States</v>
      </c>
      <c r="I240" t="str">
        <f>_xlfn.XLOOKUP(D240,products!$A$1:$A$49,products!$B$1:$B$49,0)</f>
        <v>Rob</v>
      </c>
      <c r="J240" t="str">
        <f>_xlfn.XLOOKUP('data cleaned'!D240,products!$A$1:$A$49,products!$C$1:$C$49,0)</f>
        <v>M</v>
      </c>
      <c r="K240" s="5">
        <f>_xlfn.XLOOKUP('data cleaned'!D240,products!$A$1:$A$49,products!$D$1:$D$49,0)</f>
        <v>2.5</v>
      </c>
      <c r="L240" s="6">
        <f>_xlfn.XLOOKUP('data cleaned'!D240,products!$A$1:$A$49,products!$E$1:$E$49,0)</f>
        <v>22.884999999999998</v>
      </c>
      <c r="M240" s="6">
        <f>'data cleaned'!E240*'data cleaned'!L240</f>
        <v>45.769999999999996</v>
      </c>
      <c r="N240" t="str">
        <f t="shared" si="6"/>
        <v>Robusta</v>
      </c>
      <c r="O240" t="str">
        <f t="shared" si="7"/>
        <v>Medium</v>
      </c>
      <c r="P240" t="str">
        <f>_xlfn.XLOOKUP(worksheet[[#This Row],[Customer ID]],customers!$A$1:$A$1001,customers!$I$1:$I$1001,0)</f>
        <v>Yes</v>
      </c>
    </row>
    <row r="241" spans="1:16" x14ac:dyDescent="0.25">
      <c r="A241" s="2" t="s">
        <v>1839</v>
      </c>
      <c r="B241" s="4">
        <v>43881</v>
      </c>
      <c r="C241" s="2" t="s">
        <v>1840</v>
      </c>
      <c r="D241" t="s">
        <v>6171</v>
      </c>
      <c r="E241" s="2">
        <v>4</v>
      </c>
      <c r="F241" s="2" t="str">
        <f>_xlfn.XLOOKUP(C241,customers!$A$1:$A$1001,customers!$B$1:$B$1001,0)</f>
        <v>Devon Magowan</v>
      </c>
      <c r="G241" s="2" t="s">
        <v>1842</v>
      </c>
      <c r="H241" s="2" t="str">
        <f>_xlfn.XLOOKUP(C241,customers!$A$1:$A$1001,customers!$G$1:$G$1001,0)</f>
        <v>United States</v>
      </c>
      <c r="I241" t="str">
        <f>_xlfn.XLOOKUP(D241,products!$A$1:$A$49,products!$B$1:$B$49,0)</f>
        <v>Exc</v>
      </c>
      <c r="J241" t="str">
        <f>_xlfn.XLOOKUP('data cleaned'!D241,products!$A$1:$A$49,products!$C$1:$C$49,0)</f>
        <v>L</v>
      </c>
      <c r="K241" s="5">
        <f>_xlfn.XLOOKUP('data cleaned'!D241,products!$A$1:$A$49,products!$D$1:$D$49,0)</f>
        <v>1</v>
      </c>
      <c r="L241" s="6">
        <f>_xlfn.XLOOKUP('data cleaned'!D241,products!$A$1:$A$49,products!$E$1:$E$49,0)</f>
        <v>14.85</v>
      </c>
      <c r="M241" s="6">
        <f>'data cleaned'!E241*'data cleaned'!L241</f>
        <v>59.4</v>
      </c>
      <c r="N241" t="str">
        <f t="shared" si="6"/>
        <v>Excelsa</v>
      </c>
      <c r="O241" t="str">
        <f t="shared" si="7"/>
        <v>Light</v>
      </c>
      <c r="P241" t="str">
        <f>_xlfn.XLOOKUP(worksheet[[#This Row],[Customer ID]],customers!$A$1:$A$1001,customers!$I$1:$I$1001,0)</f>
        <v>No</v>
      </c>
    </row>
    <row r="242" spans="1:16" x14ac:dyDescent="0.25">
      <c r="A242" s="2" t="s">
        <v>1845</v>
      </c>
      <c r="B242" s="4">
        <v>43993</v>
      </c>
      <c r="C242" s="2" t="s">
        <v>1846</v>
      </c>
      <c r="D242" t="s">
        <v>6175</v>
      </c>
      <c r="E242" s="2">
        <v>6</v>
      </c>
      <c r="F242" s="2" t="str">
        <f>_xlfn.XLOOKUP(C242,customers!$A$1:$A$1001,customers!$B$1:$B$1001,0)</f>
        <v>Codi Littrell</v>
      </c>
      <c r="G242" s="2" t="s">
        <v>6222</v>
      </c>
      <c r="H242" s="2" t="str">
        <f>_xlfn.XLOOKUP(C242,customers!$A$1:$A$1001,customers!$G$1:$G$1001,0)</f>
        <v>United States</v>
      </c>
      <c r="I242" t="str">
        <f>_xlfn.XLOOKUP(D242,products!$A$1:$A$49,products!$B$1:$B$49,0)</f>
        <v>Ara</v>
      </c>
      <c r="J242" t="str">
        <f>_xlfn.XLOOKUP('data cleaned'!D242,products!$A$1:$A$49,products!$C$1:$C$49,0)</f>
        <v>M</v>
      </c>
      <c r="K242" s="5">
        <f>_xlfn.XLOOKUP('data cleaned'!D242,products!$A$1:$A$49,products!$D$1:$D$49,0)</f>
        <v>2.5</v>
      </c>
      <c r="L242" s="6">
        <f>_xlfn.XLOOKUP('data cleaned'!D242,products!$A$1:$A$49,products!$E$1:$E$49,0)</f>
        <v>25.874999999999996</v>
      </c>
      <c r="M242" s="6">
        <f>'data cleaned'!E242*'data cleaned'!L242</f>
        <v>155.24999999999997</v>
      </c>
      <c r="N242" t="str">
        <f t="shared" si="6"/>
        <v>Arabica</v>
      </c>
      <c r="O242" t="str">
        <f t="shared" si="7"/>
        <v>Medium</v>
      </c>
      <c r="P242" t="str">
        <f>_xlfn.XLOOKUP(worksheet[[#This Row],[Customer ID]],customers!$A$1:$A$1001,customers!$I$1:$I$1001,0)</f>
        <v>Yes</v>
      </c>
    </row>
    <row r="243" spans="1:16" x14ac:dyDescent="0.25">
      <c r="A243" s="2" t="s">
        <v>1849</v>
      </c>
      <c r="B243" s="4">
        <v>44082</v>
      </c>
      <c r="C243" s="2" t="s">
        <v>1850</v>
      </c>
      <c r="D243" t="s">
        <v>6151</v>
      </c>
      <c r="E243" s="2">
        <v>2</v>
      </c>
      <c r="F243" s="2" t="str">
        <f>_xlfn.XLOOKUP(C243,customers!$A$1:$A$1001,customers!$B$1:$B$1001,0)</f>
        <v>Christel Speak</v>
      </c>
      <c r="G243" s="2" t="s">
        <v>6222</v>
      </c>
      <c r="H243" s="2" t="str">
        <f>_xlfn.XLOOKUP(C243,customers!$A$1:$A$1001,customers!$G$1:$G$1001,0)</f>
        <v>United States</v>
      </c>
      <c r="I243" t="str">
        <f>_xlfn.XLOOKUP(D243,products!$A$1:$A$49,products!$B$1:$B$49,0)</f>
        <v>Rob</v>
      </c>
      <c r="J243" t="str">
        <f>_xlfn.XLOOKUP('data cleaned'!D243,products!$A$1:$A$49,products!$C$1:$C$49,0)</f>
        <v>M</v>
      </c>
      <c r="K243" s="5">
        <f>_xlfn.XLOOKUP('data cleaned'!D243,products!$A$1:$A$49,products!$D$1:$D$49,0)</f>
        <v>2.5</v>
      </c>
      <c r="L243" s="6">
        <f>_xlfn.XLOOKUP('data cleaned'!D243,products!$A$1:$A$49,products!$E$1:$E$49,0)</f>
        <v>22.884999999999998</v>
      </c>
      <c r="M243" s="6">
        <f>'data cleaned'!E243*'data cleaned'!L243</f>
        <v>45.769999999999996</v>
      </c>
      <c r="N243" t="str">
        <f t="shared" si="6"/>
        <v>Robusta</v>
      </c>
      <c r="O243" t="str">
        <f t="shared" si="7"/>
        <v>Medium</v>
      </c>
      <c r="P243" t="str">
        <f>_xlfn.XLOOKUP(worksheet[[#This Row],[Customer ID]],customers!$A$1:$A$1001,customers!$I$1:$I$1001,0)</f>
        <v>No</v>
      </c>
    </row>
    <row r="244" spans="1:16" x14ac:dyDescent="0.25">
      <c r="A244" s="2" t="s">
        <v>1854</v>
      </c>
      <c r="B244" s="4">
        <v>43918</v>
      </c>
      <c r="C244" s="2" t="s">
        <v>1855</v>
      </c>
      <c r="D244" t="s">
        <v>6183</v>
      </c>
      <c r="E244" s="2">
        <v>3</v>
      </c>
      <c r="F244" s="2" t="str">
        <f>_xlfn.XLOOKUP(C244,customers!$A$1:$A$1001,customers!$B$1:$B$1001,0)</f>
        <v>Sibella Rushbrooke</v>
      </c>
      <c r="G244" s="2" t="s">
        <v>1857</v>
      </c>
      <c r="H244" s="2" t="str">
        <f>_xlfn.XLOOKUP(C244,customers!$A$1:$A$1001,customers!$G$1:$G$1001,0)</f>
        <v>United States</v>
      </c>
      <c r="I244" t="str">
        <f>_xlfn.XLOOKUP(D244,products!$A$1:$A$49,products!$B$1:$B$49,0)</f>
        <v>Exc</v>
      </c>
      <c r="J244" t="str">
        <f>_xlfn.XLOOKUP('data cleaned'!D244,products!$A$1:$A$49,products!$C$1:$C$49,0)</f>
        <v>D</v>
      </c>
      <c r="K244" s="5">
        <f>_xlfn.XLOOKUP('data cleaned'!D244,products!$A$1:$A$49,products!$D$1:$D$49,0)</f>
        <v>1</v>
      </c>
      <c r="L244" s="6">
        <f>_xlfn.XLOOKUP('data cleaned'!D244,products!$A$1:$A$49,products!$E$1:$E$49,0)</f>
        <v>12.15</v>
      </c>
      <c r="M244" s="6">
        <f>'data cleaned'!E244*'data cleaned'!L244</f>
        <v>36.450000000000003</v>
      </c>
      <c r="N244" t="str">
        <f t="shared" si="6"/>
        <v>Excelsa</v>
      </c>
      <c r="O244" t="str">
        <f t="shared" si="7"/>
        <v>Dark</v>
      </c>
      <c r="P244" t="str">
        <f>_xlfn.XLOOKUP(worksheet[[#This Row],[Customer ID]],customers!$A$1:$A$1001,customers!$I$1:$I$1001,0)</f>
        <v>Yes</v>
      </c>
    </row>
    <row r="245" spans="1:16" x14ac:dyDescent="0.25">
      <c r="A245" s="2" t="s">
        <v>1860</v>
      </c>
      <c r="B245" s="4">
        <v>44114</v>
      </c>
      <c r="C245" s="2" t="s">
        <v>1861</v>
      </c>
      <c r="D245" t="s">
        <v>6144</v>
      </c>
      <c r="E245" s="2">
        <v>4</v>
      </c>
      <c r="F245" s="2" t="str">
        <f>_xlfn.XLOOKUP(C245,customers!$A$1:$A$1001,customers!$B$1:$B$1001,0)</f>
        <v>Tammie Drynan</v>
      </c>
      <c r="G245" s="2" t="s">
        <v>1863</v>
      </c>
      <c r="H245" s="2" t="str">
        <f>_xlfn.XLOOKUP(C245,customers!$A$1:$A$1001,customers!$G$1:$G$1001,0)</f>
        <v>United States</v>
      </c>
      <c r="I245" t="str">
        <f>_xlfn.XLOOKUP(D245,products!$A$1:$A$49,products!$B$1:$B$49,0)</f>
        <v>Exc</v>
      </c>
      <c r="J245" t="str">
        <f>_xlfn.XLOOKUP('data cleaned'!D245,products!$A$1:$A$49,products!$C$1:$C$49,0)</f>
        <v>D</v>
      </c>
      <c r="K245" s="5">
        <f>_xlfn.XLOOKUP('data cleaned'!D245,products!$A$1:$A$49,products!$D$1:$D$49,0)</f>
        <v>0.5</v>
      </c>
      <c r="L245" s="6">
        <f>_xlfn.XLOOKUP('data cleaned'!D245,products!$A$1:$A$49,products!$E$1:$E$49,0)</f>
        <v>7.29</v>
      </c>
      <c r="M245" s="6">
        <f>'data cleaned'!E245*'data cleaned'!L245</f>
        <v>29.16</v>
      </c>
      <c r="N245" t="str">
        <f t="shared" si="6"/>
        <v>Excelsa</v>
      </c>
      <c r="O245" t="str">
        <f t="shared" si="7"/>
        <v>Dark</v>
      </c>
      <c r="P245" t="str">
        <f>_xlfn.XLOOKUP(worksheet[[#This Row],[Customer ID]],customers!$A$1:$A$1001,customers!$I$1:$I$1001,0)</f>
        <v>Yes</v>
      </c>
    </row>
    <row r="246" spans="1:16" x14ac:dyDescent="0.25">
      <c r="A246" s="2" t="s">
        <v>1866</v>
      </c>
      <c r="B246" s="4">
        <v>44702</v>
      </c>
      <c r="C246" s="2" t="s">
        <v>1867</v>
      </c>
      <c r="D246" t="s">
        <v>6181</v>
      </c>
      <c r="E246" s="2">
        <v>4</v>
      </c>
      <c r="F246" s="2" t="str">
        <f>_xlfn.XLOOKUP(C246,customers!$A$1:$A$1001,customers!$B$1:$B$1001,0)</f>
        <v>Effie Yurkov</v>
      </c>
      <c r="G246" s="2" t="s">
        <v>1869</v>
      </c>
      <c r="H246" s="2" t="str">
        <f>_xlfn.XLOOKUP(C246,customers!$A$1:$A$1001,customers!$G$1:$G$1001,0)</f>
        <v>United States</v>
      </c>
      <c r="I246" t="str">
        <f>_xlfn.XLOOKUP(D246,products!$A$1:$A$49,products!$B$1:$B$49,0)</f>
        <v>Lib</v>
      </c>
      <c r="J246" t="str">
        <f>_xlfn.XLOOKUP('data cleaned'!D246,products!$A$1:$A$49,products!$C$1:$C$49,0)</f>
        <v>M</v>
      </c>
      <c r="K246" s="5">
        <f>_xlfn.XLOOKUP('data cleaned'!D246,products!$A$1:$A$49,products!$D$1:$D$49,0)</f>
        <v>2.5</v>
      </c>
      <c r="L246" s="6">
        <f>_xlfn.XLOOKUP('data cleaned'!D246,products!$A$1:$A$49,products!$E$1:$E$49,0)</f>
        <v>33.464999999999996</v>
      </c>
      <c r="M246" s="6">
        <f>'data cleaned'!E246*'data cleaned'!L246</f>
        <v>133.85999999999999</v>
      </c>
      <c r="N246" t="str">
        <f t="shared" si="6"/>
        <v>Liberica</v>
      </c>
      <c r="O246" t="str">
        <f t="shared" si="7"/>
        <v>Medium</v>
      </c>
      <c r="P246" t="str">
        <f>_xlfn.XLOOKUP(worksheet[[#This Row],[Customer ID]],customers!$A$1:$A$1001,customers!$I$1:$I$1001,0)</f>
        <v>No</v>
      </c>
    </row>
    <row r="247" spans="1:16" x14ac:dyDescent="0.25">
      <c r="A247" s="2" t="s">
        <v>1872</v>
      </c>
      <c r="B247" s="4">
        <v>43951</v>
      </c>
      <c r="C247" s="2" t="s">
        <v>1873</v>
      </c>
      <c r="D247" t="s">
        <v>6145</v>
      </c>
      <c r="E247" s="2">
        <v>5</v>
      </c>
      <c r="F247" s="2" t="str">
        <f>_xlfn.XLOOKUP(C247,customers!$A$1:$A$1001,customers!$B$1:$B$1001,0)</f>
        <v>Lexie Mallan</v>
      </c>
      <c r="G247" s="2" t="s">
        <v>1875</v>
      </c>
      <c r="H247" s="2" t="str">
        <f>_xlfn.XLOOKUP(C247,customers!$A$1:$A$1001,customers!$G$1:$G$1001,0)</f>
        <v>United States</v>
      </c>
      <c r="I247" t="str">
        <f>_xlfn.XLOOKUP(D247,products!$A$1:$A$49,products!$B$1:$B$49,0)</f>
        <v>Lib</v>
      </c>
      <c r="J247" t="str">
        <f>_xlfn.XLOOKUP('data cleaned'!D247,products!$A$1:$A$49,products!$C$1:$C$49,0)</f>
        <v>L</v>
      </c>
      <c r="K247" s="5">
        <f>_xlfn.XLOOKUP('data cleaned'!D247,products!$A$1:$A$49,products!$D$1:$D$49,0)</f>
        <v>0.2</v>
      </c>
      <c r="L247" s="6">
        <f>_xlfn.XLOOKUP('data cleaned'!D247,products!$A$1:$A$49,products!$E$1:$E$49,0)</f>
        <v>4.7549999999999999</v>
      </c>
      <c r="M247" s="6">
        <f>'data cleaned'!E247*'data cleaned'!L247</f>
        <v>23.774999999999999</v>
      </c>
      <c r="N247" t="str">
        <f t="shared" si="6"/>
        <v>Liberica</v>
      </c>
      <c r="O247" t="str">
        <f t="shared" si="7"/>
        <v>Light</v>
      </c>
      <c r="P247" t="str">
        <f>_xlfn.XLOOKUP(worksheet[[#This Row],[Customer ID]],customers!$A$1:$A$1001,customers!$I$1:$I$1001,0)</f>
        <v>Yes</v>
      </c>
    </row>
    <row r="248" spans="1:16" x14ac:dyDescent="0.25">
      <c r="A248" s="2" t="s">
        <v>1878</v>
      </c>
      <c r="B248" s="4">
        <v>44542</v>
      </c>
      <c r="C248" s="2" t="s">
        <v>1879</v>
      </c>
      <c r="D248" t="s">
        <v>6143</v>
      </c>
      <c r="E248" s="2">
        <v>3</v>
      </c>
      <c r="F248" s="2" t="str">
        <f>_xlfn.XLOOKUP(C248,customers!$A$1:$A$1001,customers!$B$1:$B$1001,0)</f>
        <v>Georgena Bentjens</v>
      </c>
      <c r="G248" s="2" t="s">
        <v>1881</v>
      </c>
      <c r="H248" s="2" t="str">
        <f>_xlfn.XLOOKUP(C248,customers!$A$1:$A$1001,customers!$G$1:$G$1001,0)</f>
        <v>United Kingdom</v>
      </c>
      <c r="I248" t="str">
        <f>_xlfn.XLOOKUP(D248,products!$A$1:$A$49,products!$B$1:$B$49,0)</f>
        <v>Lib</v>
      </c>
      <c r="J248" t="str">
        <f>_xlfn.XLOOKUP('data cleaned'!D248,products!$A$1:$A$49,products!$C$1:$C$49,0)</f>
        <v>D</v>
      </c>
      <c r="K248" s="5">
        <f>_xlfn.XLOOKUP('data cleaned'!D248,products!$A$1:$A$49,products!$D$1:$D$49,0)</f>
        <v>1</v>
      </c>
      <c r="L248" s="6">
        <f>_xlfn.XLOOKUP('data cleaned'!D248,products!$A$1:$A$49,products!$E$1:$E$49,0)</f>
        <v>12.95</v>
      </c>
      <c r="M248" s="6">
        <f>'data cleaned'!E248*'data cleaned'!L248</f>
        <v>38.849999999999994</v>
      </c>
      <c r="N248" t="str">
        <f t="shared" si="6"/>
        <v>Liberica</v>
      </c>
      <c r="O248" t="str">
        <f t="shared" si="7"/>
        <v>Dark</v>
      </c>
      <c r="P248" t="str">
        <f>_xlfn.XLOOKUP(worksheet[[#This Row],[Customer ID]],customers!$A$1:$A$1001,customers!$I$1:$I$1001,0)</f>
        <v>No</v>
      </c>
    </row>
    <row r="249" spans="1:16" x14ac:dyDescent="0.25">
      <c r="A249" s="2" t="s">
        <v>1884</v>
      </c>
      <c r="B249" s="4">
        <v>44131</v>
      </c>
      <c r="C249" s="2" t="s">
        <v>1885</v>
      </c>
      <c r="D249" t="s">
        <v>6178</v>
      </c>
      <c r="E249" s="2">
        <v>6</v>
      </c>
      <c r="F249" s="2" t="str">
        <f>_xlfn.XLOOKUP(C249,customers!$A$1:$A$1001,customers!$B$1:$B$1001,0)</f>
        <v>Delmar Beasant</v>
      </c>
      <c r="G249" s="2" t="s">
        <v>6222</v>
      </c>
      <c r="H249" s="2" t="str">
        <f>_xlfn.XLOOKUP(C249,customers!$A$1:$A$1001,customers!$G$1:$G$1001,0)</f>
        <v>Ireland</v>
      </c>
      <c r="I249" t="str">
        <f>_xlfn.XLOOKUP(D249,products!$A$1:$A$49,products!$B$1:$B$49,0)</f>
        <v>Rob</v>
      </c>
      <c r="J249" t="str">
        <f>_xlfn.XLOOKUP('data cleaned'!D249,products!$A$1:$A$49,products!$C$1:$C$49,0)</f>
        <v>L</v>
      </c>
      <c r="K249" s="5">
        <f>_xlfn.XLOOKUP('data cleaned'!D249,products!$A$1:$A$49,products!$D$1:$D$49,0)</f>
        <v>0.2</v>
      </c>
      <c r="L249" s="6">
        <f>_xlfn.XLOOKUP('data cleaned'!D249,products!$A$1:$A$49,products!$E$1:$E$49,0)</f>
        <v>3.5849999999999995</v>
      </c>
      <c r="M249" s="6">
        <f>'data cleaned'!E249*'data cleaned'!L249</f>
        <v>21.509999999999998</v>
      </c>
      <c r="N249" t="str">
        <f t="shared" si="6"/>
        <v>Robusta</v>
      </c>
      <c r="O249" t="str">
        <f t="shared" si="7"/>
        <v>Light</v>
      </c>
      <c r="P249" t="str">
        <f>_xlfn.XLOOKUP(worksheet[[#This Row],[Customer ID]],customers!$A$1:$A$1001,customers!$I$1:$I$1001,0)</f>
        <v>Yes</v>
      </c>
    </row>
    <row r="250" spans="1:16" x14ac:dyDescent="0.25">
      <c r="A250" s="2" t="s">
        <v>1889</v>
      </c>
      <c r="B250" s="4">
        <v>44019</v>
      </c>
      <c r="C250" s="2" t="s">
        <v>1890</v>
      </c>
      <c r="D250" t="s">
        <v>6147</v>
      </c>
      <c r="E250" s="2">
        <v>1</v>
      </c>
      <c r="F250" s="2" t="str">
        <f>_xlfn.XLOOKUP(C250,customers!$A$1:$A$1001,customers!$B$1:$B$1001,0)</f>
        <v>Lyn Entwistle</v>
      </c>
      <c r="G250" s="2" t="s">
        <v>1892</v>
      </c>
      <c r="H250" s="2" t="str">
        <f>_xlfn.XLOOKUP(C250,customers!$A$1:$A$1001,customers!$G$1:$G$1001,0)</f>
        <v>United States</v>
      </c>
      <c r="I250" t="str">
        <f>_xlfn.XLOOKUP(D250,products!$A$1:$A$49,products!$B$1:$B$49,0)</f>
        <v>Ara</v>
      </c>
      <c r="J250" t="str">
        <f>_xlfn.XLOOKUP('data cleaned'!D250,products!$A$1:$A$49,products!$C$1:$C$49,0)</f>
        <v>D</v>
      </c>
      <c r="K250" s="5">
        <f>_xlfn.XLOOKUP('data cleaned'!D250,products!$A$1:$A$49,products!$D$1:$D$49,0)</f>
        <v>1</v>
      </c>
      <c r="L250" s="6">
        <f>_xlfn.XLOOKUP('data cleaned'!D250,products!$A$1:$A$49,products!$E$1:$E$49,0)</f>
        <v>9.9499999999999993</v>
      </c>
      <c r="M250" s="6">
        <f>'data cleaned'!E250*'data cleaned'!L250</f>
        <v>9.9499999999999993</v>
      </c>
      <c r="N250" t="str">
        <f t="shared" si="6"/>
        <v>Arabica</v>
      </c>
      <c r="O250" t="str">
        <f t="shared" si="7"/>
        <v>Dark</v>
      </c>
      <c r="P250" t="str">
        <f>_xlfn.XLOOKUP(worksheet[[#This Row],[Customer ID]],customers!$A$1:$A$1001,customers!$I$1:$I$1001,0)</f>
        <v>Yes</v>
      </c>
    </row>
    <row r="251" spans="1:16" x14ac:dyDescent="0.25">
      <c r="A251" s="2" t="s">
        <v>1895</v>
      </c>
      <c r="B251" s="4">
        <v>43861</v>
      </c>
      <c r="C251" s="2" t="s">
        <v>1935</v>
      </c>
      <c r="D251" t="s">
        <v>6170</v>
      </c>
      <c r="E251" s="2">
        <v>1</v>
      </c>
      <c r="F251" s="2" t="str">
        <f>_xlfn.XLOOKUP(C251,customers!$A$1:$A$1001,customers!$B$1:$B$1001,0)</f>
        <v>Zacharias Kiffe</v>
      </c>
      <c r="G251" s="2" t="s">
        <v>1937</v>
      </c>
      <c r="H251" s="2" t="str">
        <f>_xlfn.XLOOKUP(C251,customers!$A$1:$A$1001,customers!$G$1:$G$1001,0)</f>
        <v>United States</v>
      </c>
      <c r="I251" t="str">
        <f>_xlfn.XLOOKUP(D251,products!$A$1:$A$49,products!$B$1:$B$49,0)</f>
        <v>Lib</v>
      </c>
      <c r="J251" t="str">
        <f>_xlfn.XLOOKUP('data cleaned'!D251,products!$A$1:$A$49,products!$C$1:$C$49,0)</f>
        <v>L</v>
      </c>
      <c r="K251" s="5">
        <f>_xlfn.XLOOKUP('data cleaned'!D251,products!$A$1:$A$49,products!$D$1:$D$49,0)</f>
        <v>1</v>
      </c>
      <c r="L251" s="6">
        <f>_xlfn.XLOOKUP('data cleaned'!D251,products!$A$1:$A$49,products!$E$1:$E$49,0)</f>
        <v>15.85</v>
      </c>
      <c r="M251" s="6">
        <f>'data cleaned'!E251*'data cleaned'!L251</f>
        <v>15.85</v>
      </c>
      <c r="N251" t="str">
        <f t="shared" si="6"/>
        <v>Liberica</v>
      </c>
      <c r="O251" t="str">
        <f t="shared" si="7"/>
        <v>Light</v>
      </c>
      <c r="P251" t="str">
        <f>_xlfn.XLOOKUP(worksheet[[#This Row],[Customer ID]],customers!$A$1:$A$1001,customers!$I$1:$I$1001,0)</f>
        <v>Yes</v>
      </c>
    </row>
    <row r="252" spans="1:16" x14ac:dyDescent="0.25">
      <c r="A252" s="2" t="s">
        <v>1900</v>
      </c>
      <c r="B252" s="4">
        <v>43879</v>
      </c>
      <c r="C252" s="2" t="s">
        <v>1901</v>
      </c>
      <c r="D252" t="s">
        <v>6174</v>
      </c>
      <c r="E252" s="2">
        <v>1</v>
      </c>
      <c r="F252" s="2" t="str">
        <f>_xlfn.XLOOKUP(C252,customers!$A$1:$A$1001,customers!$B$1:$B$1001,0)</f>
        <v>Mercedes Acott</v>
      </c>
      <c r="G252" s="2" t="s">
        <v>1903</v>
      </c>
      <c r="H252" s="2" t="str">
        <f>_xlfn.XLOOKUP(C252,customers!$A$1:$A$1001,customers!$G$1:$G$1001,0)</f>
        <v>United States</v>
      </c>
      <c r="I252" t="str">
        <f>_xlfn.XLOOKUP(D252,products!$A$1:$A$49,products!$B$1:$B$49,0)</f>
        <v>Rob</v>
      </c>
      <c r="J252" t="str">
        <f>_xlfn.XLOOKUP('data cleaned'!D252,products!$A$1:$A$49,products!$C$1:$C$49,0)</f>
        <v>M</v>
      </c>
      <c r="K252" s="5">
        <f>_xlfn.XLOOKUP('data cleaned'!D252,products!$A$1:$A$49,products!$D$1:$D$49,0)</f>
        <v>0.2</v>
      </c>
      <c r="L252" s="6">
        <f>_xlfn.XLOOKUP('data cleaned'!D252,products!$A$1:$A$49,products!$E$1:$E$49,0)</f>
        <v>2.9849999999999999</v>
      </c>
      <c r="M252" s="6">
        <f>'data cleaned'!E252*'data cleaned'!L252</f>
        <v>2.9849999999999999</v>
      </c>
      <c r="N252" t="str">
        <f t="shared" si="6"/>
        <v>Robusta</v>
      </c>
      <c r="O252" t="str">
        <f t="shared" si="7"/>
        <v>Medium</v>
      </c>
      <c r="P252" t="str">
        <f>_xlfn.XLOOKUP(worksheet[[#This Row],[Customer ID]],customers!$A$1:$A$1001,customers!$I$1:$I$1001,0)</f>
        <v>Yes</v>
      </c>
    </row>
    <row r="253" spans="1:16" x14ac:dyDescent="0.25">
      <c r="A253" s="2" t="s">
        <v>1906</v>
      </c>
      <c r="B253" s="4">
        <v>44360</v>
      </c>
      <c r="C253" s="2" t="s">
        <v>1907</v>
      </c>
      <c r="D253" t="s">
        <v>6141</v>
      </c>
      <c r="E253" s="2">
        <v>5</v>
      </c>
      <c r="F253" s="2" t="str">
        <f>_xlfn.XLOOKUP(C253,customers!$A$1:$A$1001,customers!$B$1:$B$1001,0)</f>
        <v>Connor Heaviside</v>
      </c>
      <c r="G253" s="2" t="s">
        <v>1909</v>
      </c>
      <c r="H253" s="2" t="str">
        <f>_xlfn.XLOOKUP(C253,customers!$A$1:$A$1001,customers!$G$1:$G$1001,0)</f>
        <v>United States</v>
      </c>
      <c r="I253" t="str">
        <f>_xlfn.XLOOKUP(D253,products!$A$1:$A$49,products!$B$1:$B$49,0)</f>
        <v>Exc</v>
      </c>
      <c r="J253" t="str">
        <f>_xlfn.XLOOKUP('data cleaned'!D253,products!$A$1:$A$49,products!$C$1:$C$49,0)</f>
        <v>M</v>
      </c>
      <c r="K253" s="5">
        <f>_xlfn.XLOOKUP('data cleaned'!D253,products!$A$1:$A$49,products!$D$1:$D$49,0)</f>
        <v>1</v>
      </c>
      <c r="L253" s="6">
        <f>_xlfn.XLOOKUP('data cleaned'!D253,products!$A$1:$A$49,products!$E$1:$E$49,0)</f>
        <v>13.75</v>
      </c>
      <c r="M253" s="6">
        <f>'data cleaned'!E253*'data cleaned'!L253</f>
        <v>68.75</v>
      </c>
      <c r="N253" t="str">
        <f t="shared" si="6"/>
        <v>Excelsa</v>
      </c>
      <c r="O253" t="str">
        <f t="shared" si="7"/>
        <v>Medium</v>
      </c>
      <c r="P253" t="str">
        <f>_xlfn.XLOOKUP(worksheet[[#This Row],[Customer ID]],customers!$A$1:$A$1001,customers!$I$1:$I$1001,0)</f>
        <v>Yes</v>
      </c>
    </row>
    <row r="254" spans="1:16" x14ac:dyDescent="0.25">
      <c r="A254" s="2" t="s">
        <v>1912</v>
      </c>
      <c r="B254" s="4">
        <v>44779</v>
      </c>
      <c r="C254" s="2" t="s">
        <v>1913</v>
      </c>
      <c r="D254" t="s">
        <v>6147</v>
      </c>
      <c r="E254" s="2">
        <v>3</v>
      </c>
      <c r="F254" s="2" t="str">
        <f>_xlfn.XLOOKUP(C254,customers!$A$1:$A$1001,customers!$B$1:$B$1001,0)</f>
        <v>Devy Bulbrook</v>
      </c>
      <c r="G254" s="2" t="s">
        <v>6222</v>
      </c>
      <c r="H254" s="2" t="str">
        <f>_xlfn.XLOOKUP(C254,customers!$A$1:$A$1001,customers!$G$1:$G$1001,0)</f>
        <v>United States</v>
      </c>
      <c r="I254" t="str">
        <f>_xlfn.XLOOKUP(D254,products!$A$1:$A$49,products!$B$1:$B$49,0)</f>
        <v>Ara</v>
      </c>
      <c r="J254" t="str">
        <f>_xlfn.XLOOKUP('data cleaned'!D254,products!$A$1:$A$49,products!$C$1:$C$49,0)</f>
        <v>D</v>
      </c>
      <c r="K254" s="5">
        <f>_xlfn.XLOOKUP('data cleaned'!D254,products!$A$1:$A$49,products!$D$1:$D$49,0)</f>
        <v>1</v>
      </c>
      <c r="L254" s="6">
        <f>_xlfn.XLOOKUP('data cleaned'!D254,products!$A$1:$A$49,products!$E$1:$E$49,0)</f>
        <v>9.9499999999999993</v>
      </c>
      <c r="M254" s="6">
        <f>'data cleaned'!E254*'data cleaned'!L254</f>
        <v>29.849999999999998</v>
      </c>
      <c r="N254" t="str">
        <f t="shared" si="6"/>
        <v>Arabica</v>
      </c>
      <c r="O254" t="str">
        <f t="shared" si="7"/>
        <v>Dark</v>
      </c>
      <c r="P254" t="str">
        <f>_xlfn.XLOOKUP(worksheet[[#This Row],[Customer ID]],customers!$A$1:$A$1001,customers!$I$1:$I$1001,0)</f>
        <v>No</v>
      </c>
    </row>
    <row r="255" spans="1:16" x14ac:dyDescent="0.25">
      <c r="A255" s="2" t="s">
        <v>1917</v>
      </c>
      <c r="B255" s="4">
        <v>44523</v>
      </c>
      <c r="C255" s="2" t="s">
        <v>1918</v>
      </c>
      <c r="D255" t="s">
        <v>6162</v>
      </c>
      <c r="E255" s="2">
        <v>4</v>
      </c>
      <c r="F255" s="2" t="str">
        <f>_xlfn.XLOOKUP(C255,customers!$A$1:$A$1001,customers!$B$1:$B$1001,0)</f>
        <v>Leia Kernan</v>
      </c>
      <c r="G255" s="2" t="s">
        <v>1920</v>
      </c>
      <c r="H255" s="2" t="str">
        <f>_xlfn.XLOOKUP(C255,customers!$A$1:$A$1001,customers!$G$1:$G$1001,0)</f>
        <v>United States</v>
      </c>
      <c r="I255" t="str">
        <f>_xlfn.XLOOKUP(D255,products!$A$1:$A$49,products!$B$1:$B$49,0)</f>
        <v>Lib</v>
      </c>
      <c r="J255" t="str">
        <f>_xlfn.XLOOKUP('data cleaned'!D255,products!$A$1:$A$49,products!$C$1:$C$49,0)</f>
        <v>M</v>
      </c>
      <c r="K255" s="5">
        <f>_xlfn.XLOOKUP('data cleaned'!D255,products!$A$1:$A$49,products!$D$1:$D$49,0)</f>
        <v>1</v>
      </c>
      <c r="L255" s="6">
        <f>_xlfn.XLOOKUP('data cleaned'!D255,products!$A$1:$A$49,products!$E$1:$E$49,0)</f>
        <v>14.55</v>
      </c>
      <c r="M255" s="6">
        <f>'data cleaned'!E255*'data cleaned'!L255</f>
        <v>58.2</v>
      </c>
      <c r="N255" t="str">
        <f t="shared" si="6"/>
        <v>Liberica</v>
      </c>
      <c r="O255" t="str">
        <f t="shared" si="7"/>
        <v>Medium</v>
      </c>
      <c r="P255" t="str">
        <f>_xlfn.XLOOKUP(worksheet[[#This Row],[Customer ID]],customers!$A$1:$A$1001,customers!$I$1:$I$1001,0)</f>
        <v>No</v>
      </c>
    </row>
    <row r="256" spans="1:16" x14ac:dyDescent="0.25">
      <c r="A256" s="2" t="s">
        <v>1923</v>
      </c>
      <c r="B256" s="4">
        <v>44482</v>
      </c>
      <c r="C256" s="2" t="s">
        <v>1924</v>
      </c>
      <c r="D256" t="s">
        <v>6173</v>
      </c>
      <c r="E256" s="2">
        <v>4</v>
      </c>
      <c r="F256" s="2" t="str">
        <f>_xlfn.XLOOKUP(C256,customers!$A$1:$A$1001,customers!$B$1:$B$1001,0)</f>
        <v>Rosaline McLae</v>
      </c>
      <c r="G256" s="2" t="s">
        <v>1926</v>
      </c>
      <c r="H256" s="2" t="str">
        <f>_xlfn.XLOOKUP(C256,customers!$A$1:$A$1001,customers!$G$1:$G$1001,0)</f>
        <v>United Kingdom</v>
      </c>
      <c r="I256" t="str">
        <f>_xlfn.XLOOKUP(D256,products!$A$1:$A$49,products!$B$1:$B$49,0)</f>
        <v>Rob</v>
      </c>
      <c r="J256" t="str">
        <f>_xlfn.XLOOKUP('data cleaned'!D256,products!$A$1:$A$49,products!$C$1:$C$49,0)</f>
        <v>L</v>
      </c>
      <c r="K256" s="5">
        <f>_xlfn.XLOOKUP('data cleaned'!D256,products!$A$1:$A$49,products!$D$1:$D$49,0)</f>
        <v>0.5</v>
      </c>
      <c r="L256" s="6">
        <f>_xlfn.XLOOKUP('data cleaned'!D256,products!$A$1:$A$49,products!$E$1:$E$49,0)</f>
        <v>7.169999999999999</v>
      </c>
      <c r="M256" s="6">
        <f>'data cleaned'!E256*'data cleaned'!L256</f>
        <v>28.679999999999996</v>
      </c>
      <c r="N256" t="str">
        <f t="shared" si="6"/>
        <v>Robusta</v>
      </c>
      <c r="O256" t="str">
        <f t="shared" si="7"/>
        <v>Light</v>
      </c>
      <c r="P256" t="str">
        <f>_xlfn.XLOOKUP(worksheet[[#This Row],[Customer ID]],customers!$A$1:$A$1001,customers!$I$1:$I$1001,0)</f>
        <v>No</v>
      </c>
    </row>
    <row r="257" spans="1:16" x14ac:dyDescent="0.25">
      <c r="A257" s="2" t="s">
        <v>1928</v>
      </c>
      <c r="B257" s="4">
        <v>44439</v>
      </c>
      <c r="C257" s="2" t="s">
        <v>1929</v>
      </c>
      <c r="D257" t="s">
        <v>6173</v>
      </c>
      <c r="E257" s="2">
        <v>3</v>
      </c>
      <c r="F257" s="2" t="str">
        <f>_xlfn.XLOOKUP(C257,customers!$A$1:$A$1001,customers!$B$1:$B$1001,0)</f>
        <v>Cleve Blowfelde</v>
      </c>
      <c r="G257" s="2" t="s">
        <v>1931</v>
      </c>
      <c r="H257" s="2" t="str">
        <f>_xlfn.XLOOKUP(C257,customers!$A$1:$A$1001,customers!$G$1:$G$1001,0)</f>
        <v>United States</v>
      </c>
      <c r="I257" t="str">
        <f>_xlfn.XLOOKUP(D257,products!$A$1:$A$49,products!$B$1:$B$49,0)</f>
        <v>Rob</v>
      </c>
      <c r="J257" t="str">
        <f>_xlfn.XLOOKUP('data cleaned'!D257,products!$A$1:$A$49,products!$C$1:$C$49,0)</f>
        <v>L</v>
      </c>
      <c r="K257" s="5">
        <f>_xlfn.XLOOKUP('data cleaned'!D257,products!$A$1:$A$49,products!$D$1:$D$49,0)</f>
        <v>0.5</v>
      </c>
      <c r="L257" s="6">
        <f>_xlfn.XLOOKUP('data cleaned'!D257,products!$A$1:$A$49,products!$E$1:$E$49,0)</f>
        <v>7.169999999999999</v>
      </c>
      <c r="M257" s="6">
        <f>'data cleaned'!E257*'data cleaned'!L257</f>
        <v>21.509999999999998</v>
      </c>
      <c r="N257" t="str">
        <f t="shared" si="6"/>
        <v>Robusta</v>
      </c>
      <c r="O257" t="str">
        <f t="shared" si="7"/>
        <v>Light</v>
      </c>
      <c r="P257" t="str">
        <f>_xlfn.XLOOKUP(worksheet[[#This Row],[Customer ID]],customers!$A$1:$A$1001,customers!$I$1:$I$1001,0)</f>
        <v>No</v>
      </c>
    </row>
    <row r="258" spans="1:16" x14ac:dyDescent="0.25">
      <c r="A258" s="2" t="s">
        <v>1934</v>
      </c>
      <c r="B258" s="4">
        <v>43846</v>
      </c>
      <c r="C258" s="2" t="s">
        <v>1935</v>
      </c>
      <c r="D258" t="s">
        <v>6160</v>
      </c>
      <c r="E258" s="2">
        <v>2</v>
      </c>
      <c r="F258" s="2" t="str">
        <f>_xlfn.XLOOKUP(C258,customers!$A$1:$A$1001,customers!$B$1:$B$1001,0)</f>
        <v>Zacharias Kiffe</v>
      </c>
      <c r="G258" s="2" t="s">
        <v>1937</v>
      </c>
      <c r="H258" s="2" t="str">
        <f>_xlfn.XLOOKUP(C258,customers!$A$1:$A$1001,customers!$G$1:$G$1001,0)</f>
        <v>United States</v>
      </c>
      <c r="I258" t="str">
        <f>_xlfn.XLOOKUP(D258,products!$A$1:$A$49,products!$B$1:$B$49,0)</f>
        <v>Lib</v>
      </c>
      <c r="J258" t="str">
        <f>_xlfn.XLOOKUP('data cleaned'!D258,products!$A$1:$A$49,products!$C$1:$C$49,0)</f>
        <v>M</v>
      </c>
      <c r="K258" s="5">
        <f>_xlfn.XLOOKUP('data cleaned'!D258,products!$A$1:$A$49,products!$D$1:$D$49,0)</f>
        <v>0.5</v>
      </c>
      <c r="L258" s="6">
        <f>_xlfn.XLOOKUP('data cleaned'!D258,products!$A$1:$A$49,products!$E$1:$E$49,0)</f>
        <v>8.73</v>
      </c>
      <c r="M258" s="6">
        <f>'data cleaned'!E258*'data cleaned'!L258</f>
        <v>17.46</v>
      </c>
      <c r="N258" t="str">
        <f t="shared" si="6"/>
        <v>Liberica</v>
      </c>
      <c r="O258" t="str">
        <f t="shared" si="7"/>
        <v>Medium</v>
      </c>
      <c r="P258" t="str">
        <f>_xlfn.XLOOKUP(worksheet[[#This Row],[Customer ID]],customers!$A$1:$A$1001,customers!$I$1:$I$1001,0)</f>
        <v>Yes</v>
      </c>
    </row>
    <row r="259" spans="1:16" x14ac:dyDescent="0.25">
      <c r="A259" s="2" t="s">
        <v>1940</v>
      </c>
      <c r="B259" s="4">
        <v>44676</v>
      </c>
      <c r="C259" s="2" t="s">
        <v>1941</v>
      </c>
      <c r="D259" t="s">
        <v>6185</v>
      </c>
      <c r="E259" s="2">
        <v>1</v>
      </c>
      <c r="F259" s="2" t="str">
        <f>_xlfn.XLOOKUP(C259,customers!$A$1:$A$1001,customers!$B$1:$B$1001,0)</f>
        <v>Denyse O'Calleran</v>
      </c>
      <c r="G259" s="2" t="s">
        <v>1943</v>
      </c>
      <c r="H259" s="2" t="str">
        <f>_xlfn.XLOOKUP(C259,customers!$A$1:$A$1001,customers!$G$1:$G$1001,0)</f>
        <v>United States</v>
      </c>
      <c r="I259" t="str">
        <f>_xlfn.XLOOKUP(D259,products!$A$1:$A$49,products!$B$1:$B$49,0)</f>
        <v>Exc</v>
      </c>
      <c r="J259" t="str">
        <f>_xlfn.XLOOKUP('data cleaned'!D259,products!$A$1:$A$49,products!$C$1:$C$49,0)</f>
        <v>D</v>
      </c>
      <c r="K259" s="5">
        <f>_xlfn.XLOOKUP('data cleaned'!D259,products!$A$1:$A$49,products!$D$1:$D$49,0)</f>
        <v>2.5</v>
      </c>
      <c r="L259" s="6">
        <f>_xlfn.XLOOKUP('data cleaned'!D259,products!$A$1:$A$49,products!$E$1:$E$49,0)</f>
        <v>27.945</v>
      </c>
      <c r="M259" s="6">
        <f>'data cleaned'!E259*'data cleaned'!L259</f>
        <v>27.945</v>
      </c>
      <c r="N259" t="str">
        <f t="shared" ref="N259:N322" si="8">IF(I259="Rob","Robusta",IF(I259="Exc","Excelsa",IF(I259="Ara","Arabica",IF(I259="Lib","Liberica",""))))</f>
        <v>Excelsa</v>
      </c>
      <c r="O259" t="str">
        <f t="shared" ref="O259:O322" si="9">IF(J259="M","Medium",IF(J259="L","Light",IF(J259="D","Dark","")))</f>
        <v>Dark</v>
      </c>
      <c r="P259" t="str">
        <f>_xlfn.XLOOKUP(worksheet[[#This Row],[Customer ID]],customers!$A$1:$A$1001,customers!$I$1:$I$1001,0)</f>
        <v>Yes</v>
      </c>
    </row>
    <row r="260" spans="1:16" x14ac:dyDescent="0.25">
      <c r="A260" s="2" t="s">
        <v>1946</v>
      </c>
      <c r="B260" s="4">
        <v>44513</v>
      </c>
      <c r="C260" s="2" t="s">
        <v>1947</v>
      </c>
      <c r="D260" t="s">
        <v>6185</v>
      </c>
      <c r="E260" s="2">
        <v>5</v>
      </c>
      <c r="F260" s="2" t="str">
        <f>_xlfn.XLOOKUP(C260,customers!$A$1:$A$1001,customers!$B$1:$B$1001,0)</f>
        <v>Cobby Cromwell</v>
      </c>
      <c r="G260" s="2" t="s">
        <v>1949</v>
      </c>
      <c r="H260" s="2" t="str">
        <f>_xlfn.XLOOKUP(C260,customers!$A$1:$A$1001,customers!$G$1:$G$1001,0)</f>
        <v>United States</v>
      </c>
      <c r="I260" t="str">
        <f>_xlfn.XLOOKUP(D260,products!$A$1:$A$49,products!$B$1:$B$49,0)</f>
        <v>Exc</v>
      </c>
      <c r="J260" t="str">
        <f>_xlfn.XLOOKUP('data cleaned'!D260,products!$A$1:$A$49,products!$C$1:$C$49,0)</f>
        <v>D</v>
      </c>
      <c r="K260" s="5">
        <f>_xlfn.XLOOKUP('data cleaned'!D260,products!$A$1:$A$49,products!$D$1:$D$49,0)</f>
        <v>2.5</v>
      </c>
      <c r="L260" s="6">
        <f>_xlfn.XLOOKUP('data cleaned'!D260,products!$A$1:$A$49,products!$E$1:$E$49,0)</f>
        <v>27.945</v>
      </c>
      <c r="M260" s="6">
        <f>'data cleaned'!E260*'data cleaned'!L260</f>
        <v>139.72499999999999</v>
      </c>
      <c r="N260" t="str">
        <f t="shared" si="8"/>
        <v>Excelsa</v>
      </c>
      <c r="O260" t="str">
        <f t="shared" si="9"/>
        <v>Dark</v>
      </c>
      <c r="P260" t="str">
        <f>_xlfn.XLOOKUP(worksheet[[#This Row],[Customer ID]],customers!$A$1:$A$1001,customers!$I$1:$I$1001,0)</f>
        <v>No</v>
      </c>
    </row>
    <row r="261" spans="1:16" x14ac:dyDescent="0.25">
      <c r="A261" s="2" t="s">
        <v>1952</v>
      </c>
      <c r="B261" s="4">
        <v>44355</v>
      </c>
      <c r="C261" s="2" t="s">
        <v>1953</v>
      </c>
      <c r="D261" t="s">
        <v>6174</v>
      </c>
      <c r="E261" s="2">
        <v>2</v>
      </c>
      <c r="F261" s="2" t="str">
        <f>_xlfn.XLOOKUP(C261,customers!$A$1:$A$1001,customers!$B$1:$B$1001,0)</f>
        <v>Irv Hay</v>
      </c>
      <c r="G261" s="2" t="s">
        <v>1955</v>
      </c>
      <c r="H261" s="2" t="str">
        <f>_xlfn.XLOOKUP(C261,customers!$A$1:$A$1001,customers!$G$1:$G$1001,0)</f>
        <v>United Kingdom</v>
      </c>
      <c r="I261" t="str">
        <f>_xlfn.XLOOKUP(D261,products!$A$1:$A$49,products!$B$1:$B$49,0)</f>
        <v>Rob</v>
      </c>
      <c r="J261" t="str">
        <f>_xlfn.XLOOKUP('data cleaned'!D261,products!$A$1:$A$49,products!$C$1:$C$49,0)</f>
        <v>M</v>
      </c>
      <c r="K261" s="5">
        <f>_xlfn.XLOOKUP('data cleaned'!D261,products!$A$1:$A$49,products!$D$1:$D$49,0)</f>
        <v>0.2</v>
      </c>
      <c r="L261" s="6">
        <f>_xlfn.XLOOKUP('data cleaned'!D261,products!$A$1:$A$49,products!$E$1:$E$49,0)</f>
        <v>2.9849999999999999</v>
      </c>
      <c r="M261" s="6">
        <f>'data cleaned'!E261*'data cleaned'!L261</f>
        <v>5.97</v>
      </c>
      <c r="N261" t="str">
        <f t="shared" si="8"/>
        <v>Robusta</v>
      </c>
      <c r="O261" t="str">
        <f t="shared" si="9"/>
        <v>Medium</v>
      </c>
      <c r="P261" t="str">
        <f>_xlfn.XLOOKUP(worksheet[[#This Row],[Customer ID]],customers!$A$1:$A$1001,customers!$I$1:$I$1001,0)</f>
        <v>No</v>
      </c>
    </row>
    <row r="262" spans="1:16" x14ac:dyDescent="0.25">
      <c r="A262" s="2" t="s">
        <v>1958</v>
      </c>
      <c r="B262" s="4">
        <v>44156</v>
      </c>
      <c r="C262" s="2" t="s">
        <v>1959</v>
      </c>
      <c r="D262" t="s">
        <v>6142</v>
      </c>
      <c r="E262" s="2">
        <v>1</v>
      </c>
      <c r="F262" s="2" t="str">
        <f>_xlfn.XLOOKUP(C262,customers!$A$1:$A$1001,customers!$B$1:$B$1001,0)</f>
        <v>Tani Taffarello</v>
      </c>
      <c r="G262" s="2" t="s">
        <v>1961</v>
      </c>
      <c r="H262" s="2" t="str">
        <f>_xlfn.XLOOKUP(C262,customers!$A$1:$A$1001,customers!$G$1:$G$1001,0)</f>
        <v>United States</v>
      </c>
      <c r="I262" t="str">
        <f>_xlfn.XLOOKUP(D262,products!$A$1:$A$49,products!$B$1:$B$49,0)</f>
        <v>Rob</v>
      </c>
      <c r="J262" t="str">
        <f>_xlfn.XLOOKUP('data cleaned'!D262,products!$A$1:$A$49,products!$C$1:$C$49,0)</f>
        <v>L</v>
      </c>
      <c r="K262" s="5">
        <f>_xlfn.XLOOKUP('data cleaned'!D262,products!$A$1:$A$49,products!$D$1:$D$49,0)</f>
        <v>2.5</v>
      </c>
      <c r="L262" s="6">
        <f>_xlfn.XLOOKUP('data cleaned'!D262,products!$A$1:$A$49,products!$E$1:$E$49,0)</f>
        <v>27.484999999999996</v>
      </c>
      <c r="M262" s="6">
        <f>'data cleaned'!E262*'data cleaned'!L262</f>
        <v>27.484999999999996</v>
      </c>
      <c r="N262" t="str">
        <f t="shared" si="8"/>
        <v>Robusta</v>
      </c>
      <c r="O262" t="str">
        <f t="shared" si="9"/>
        <v>Light</v>
      </c>
      <c r="P262" t="str">
        <f>_xlfn.XLOOKUP(worksheet[[#This Row],[Customer ID]],customers!$A$1:$A$1001,customers!$I$1:$I$1001,0)</f>
        <v>Yes</v>
      </c>
    </row>
    <row r="263" spans="1:16" x14ac:dyDescent="0.25">
      <c r="A263" s="2" t="s">
        <v>1963</v>
      </c>
      <c r="B263" s="4">
        <v>43538</v>
      </c>
      <c r="C263" s="2" t="s">
        <v>1964</v>
      </c>
      <c r="D263" t="s">
        <v>6179</v>
      </c>
      <c r="E263" s="2">
        <v>5</v>
      </c>
      <c r="F263" s="2" t="str">
        <f>_xlfn.XLOOKUP(C263,customers!$A$1:$A$1001,customers!$B$1:$B$1001,0)</f>
        <v>Monique Canty</v>
      </c>
      <c r="G263" s="2" t="s">
        <v>1966</v>
      </c>
      <c r="H263" s="2" t="str">
        <f>_xlfn.XLOOKUP(C263,customers!$A$1:$A$1001,customers!$G$1:$G$1001,0)</f>
        <v>United States</v>
      </c>
      <c r="I263" t="str">
        <f>_xlfn.XLOOKUP(D263,products!$A$1:$A$49,products!$B$1:$B$49,0)</f>
        <v>Rob</v>
      </c>
      <c r="J263" t="str">
        <f>_xlfn.XLOOKUP('data cleaned'!D263,products!$A$1:$A$49,products!$C$1:$C$49,0)</f>
        <v>L</v>
      </c>
      <c r="K263" s="5">
        <f>_xlfn.XLOOKUP('data cleaned'!D263,products!$A$1:$A$49,products!$D$1:$D$49,0)</f>
        <v>1</v>
      </c>
      <c r="L263" s="6">
        <f>_xlfn.XLOOKUP('data cleaned'!D263,products!$A$1:$A$49,products!$E$1:$E$49,0)</f>
        <v>11.95</v>
      </c>
      <c r="M263" s="6">
        <f>'data cleaned'!E263*'data cleaned'!L263</f>
        <v>59.75</v>
      </c>
      <c r="N263" t="str">
        <f t="shared" si="8"/>
        <v>Robusta</v>
      </c>
      <c r="O263" t="str">
        <f t="shared" si="9"/>
        <v>Light</v>
      </c>
      <c r="P263" t="str">
        <f>_xlfn.XLOOKUP(worksheet[[#This Row],[Customer ID]],customers!$A$1:$A$1001,customers!$I$1:$I$1001,0)</f>
        <v>Yes</v>
      </c>
    </row>
    <row r="264" spans="1:16" x14ac:dyDescent="0.25">
      <c r="A264" s="2" t="s">
        <v>1969</v>
      </c>
      <c r="B264" s="4">
        <v>43693</v>
      </c>
      <c r="C264" s="2" t="s">
        <v>1970</v>
      </c>
      <c r="D264" t="s">
        <v>6141</v>
      </c>
      <c r="E264" s="2">
        <v>3</v>
      </c>
      <c r="F264" s="2" t="str">
        <f>_xlfn.XLOOKUP(C264,customers!$A$1:$A$1001,customers!$B$1:$B$1001,0)</f>
        <v>Javier Kopke</v>
      </c>
      <c r="G264" s="2" t="s">
        <v>1972</v>
      </c>
      <c r="H264" s="2" t="str">
        <f>_xlfn.XLOOKUP(C264,customers!$A$1:$A$1001,customers!$G$1:$G$1001,0)</f>
        <v>United States</v>
      </c>
      <c r="I264" t="str">
        <f>_xlfn.XLOOKUP(D264,products!$A$1:$A$49,products!$B$1:$B$49,0)</f>
        <v>Exc</v>
      </c>
      <c r="J264" t="str">
        <f>_xlfn.XLOOKUP('data cleaned'!D264,products!$A$1:$A$49,products!$C$1:$C$49,0)</f>
        <v>M</v>
      </c>
      <c r="K264" s="5">
        <f>_xlfn.XLOOKUP('data cleaned'!D264,products!$A$1:$A$49,products!$D$1:$D$49,0)</f>
        <v>1</v>
      </c>
      <c r="L264" s="6">
        <f>_xlfn.XLOOKUP('data cleaned'!D264,products!$A$1:$A$49,products!$E$1:$E$49,0)</f>
        <v>13.75</v>
      </c>
      <c r="M264" s="6">
        <f>'data cleaned'!E264*'data cleaned'!L264</f>
        <v>41.25</v>
      </c>
      <c r="N264" t="str">
        <f t="shared" si="8"/>
        <v>Excelsa</v>
      </c>
      <c r="O264" t="str">
        <f t="shared" si="9"/>
        <v>Medium</v>
      </c>
      <c r="P264" t="str">
        <f>_xlfn.XLOOKUP(worksheet[[#This Row],[Customer ID]],customers!$A$1:$A$1001,customers!$I$1:$I$1001,0)</f>
        <v>No</v>
      </c>
    </row>
    <row r="265" spans="1:16" x14ac:dyDescent="0.25">
      <c r="A265" s="2" t="s">
        <v>1975</v>
      </c>
      <c r="B265" s="4">
        <v>43577</v>
      </c>
      <c r="C265" s="2" t="s">
        <v>1976</v>
      </c>
      <c r="D265" t="s">
        <v>6181</v>
      </c>
      <c r="E265" s="2">
        <v>4</v>
      </c>
      <c r="F265" s="2" t="str">
        <f>_xlfn.XLOOKUP(C265,customers!$A$1:$A$1001,customers!$B$1:$B$1001,0)</f>
        <v>Mar McIver</v>
      </c>
      <c r="G265" s="2" t="s">
        <v>6222</v>
      </c>
      <c r="H265" s="2" t="str">
        <f>_xlfn.XLOOKUP(C265,customers!$A$1:$A$1001,customers!$G$1:$G$1001,0)</f>
        <v>United States</v>
      </c>
      <c r="I265" t="str">
        <f>_xlfn.XLOOKUP(D265,products!$A$1:$A$49,products!$B$1:$B$49,0)</f>
        <v>Lib</v>
      </c>
      <c r="J265" t="str">
        <f>_xlfn.XLOOKUP('data cleaned'!D265,products!$A$1:$A$49,products!$C$1:$C$49,0)</f>
        <v>M</v>
      </c>
      <c r="K265" s="5">
        <f>_xlfn.XLOOKUP('data cleaned'!D265,products!$A$1:$A$49,products!$D$1:$D$49,0)</f>
        <v>2.5</v>
      </c>
      <c r="L265" s="6">
        <f>_xlfn.XLOOKUP('data cleaned'!D265,products!$A$1:$A$49,products!$E$1:$E$49,0)</f>
        <v>33.464999999999996</v>
      </c>
      <c r="M265" s="6">
        <f>'data cleaned'!E265*'data cleaned'!L265</f>
        <v>133.85999999999999</v>
      </c>
      <c r="N265" t="str">
        <f t="shared" si="8"/>
        <v>Liberica</v>
      </c>
      <c r="O265" t="str">
        <f t="shared" si="9"/>
        <v>Medium</v>
      </c>
      <c r="P265" t="str">
        <f>_xlfn.XLOOKUP(worksheet[[#This Row],[Customer ID]],customers!$A$1:$A$1001,customers!$I$1:$I$1001,0)</f>
        <v>No</v>
      </c>
    </row>
    <row r="266" spans="1:16" x14ac:dyDescent="0.25">
      <c r="A266" s="2" t="s">
        <v>1980</v>
      </c>
      <c r="B266" s="4">
        <v>44683</v>
      </c>
      <c r="C266" s="2" t="s">
        <v>1981</v>
      </c>
      <c r="D266" t="s">
        <v>6179</v>
      </c>
      <c r="E266" s="2">
        <v>5</v>
      </c>
      <c r="F266" s="2" t="str">
        <f>_xlfn.XLOOKUP(C266,customers!$A$1:$A$1001,customers!$B$1:$B$1001,0)</f>
        <v>Arabella Fransewich</v>
      </c>
      <c r="G266" s="2" t="s">
        <v>6222</v>
      </c>
      <c r="H266" s="2" t="str">
        <f>_xlfn.XLOOKUP(C266,customers!$A$1:$A$1001,customers!$G$1:$G$1001,0)</f>
        <v>Ireland</v>
      </c>
      <c r="I266" t="str">
        <f>_xlfn.XLOOKUP(D266,products!$A$1:$A$49,products!$B$1:$B$49,0)</f>
        <v>Rob</v>
      </c>
      <c r="J266" t="str">
        <f>_xlfn.XLOOKUP('data cleaned'!D266,products!$A$1:$A$49,products!$C$1:$C$49,0)</f>
        <v>L</v>
      </c>
      <c r="K266" s="5">
        <f>_xlfn.XLOOKUP('data cleaned'!D266,products!$A$1:$A$49,products!$D$1:$D$49,0)</f>
        <v>1</v>
      </c>
      <c r="L266" s="6">
        <f>_xlfn.XLOOKUP('data cleaned'!D266,products!$A$1:$A$49,products!$E$1:$E$49,0)</f>
        <v>11.95</v>
      </c>
      <c r="M266" s="6">
        <f>'data cleaned'!E266*'data cleaned'!L266</f>
        <v>59.75</v>
      </c>
      <c r="N266" t="str">
        <f t="shared" si="8"/>
        <v>Robusta</v>
      </c>
      <c r="O266" t="str">
        <f t="shared" si="9"/>
        <v>Light</v>
      </c>
      <c r="P266" t="str">
        <f>_xlfn.XLOOKUP(worksheet[[#This Row],[Customer ID]],customers!$A$1:$A$1001,customers!$I$1:$I$1001,0)</f>
        <v>Yes</v>
      </c>
    </row>
    <row r="267" spans="1:16" x14ac:dyDescent="0.25">
      <c r="A267" s="2" t="s">
        <v>1986</v>
      </c>
      <c r="B267" s="4">
        <v>43872</v>
      </c>
      <c r="C267" s="2" t="s">
        <v>1987</v>
      </c>
      <c r="D267" t="s">
        <v>6158</v>
      </c>
      <c r="E267" s="2">
        <v>1</v>
      </c>
      <c r="F267" s="2" t="str">
        <f>_xlfn.XLOOKUP(C267,customers!$A$1:$A$1001,customers!$B$1:$B$1001,0)</f>
        <v>Violette Hellmore</v>
      </c>
      <c r="G267" s="2" t="s">
        <v>1989</v>
      </c>
      <c r="H267" s="2" t="str">
        <f>_xlfn.XLOOKUP(C267,customers!$A$1:$A$1001,customers!$G$1:$G$1001,0)</f>
        <v>United States</v>
      </c>
      <c r="I267" t="str">
        <f>_xlfn.XLOOKUP(D267,products!$A$1:$A$49,products!$B$1:$B$49,0)</f>
        <v>Ara</v>
      </c>
      <c r="J267" t="str">
        <f>_xlfn.XLOOKUP('data cleaned'!D267,products!$A$1:$A$49,products!$C$1:$C$49,0)</f>
        <v>D</v>
      </c>
      <c r="K267" s="5">
        <f>_xlfn.XLOOKUP('data cleaned'!D267,products!$A$1:$A$49,products!$D$1:$D$49,0)</f>
        <v>0.5</v>
      </c>
      <c r="L267" s="6">
        <f>_xlfn.XLOOKUP('data cleaned'!D267,products!$A$1:$A$49,products!$E$1:$E$49,0)</f>
        <v>5.97</v>
      </c>
      <c r="M267" s="6">
        <f>'data cleaned'!E267*'data cleaned'!L267</f>
        <v>5.97</v>
      </c>
      <c r="N267" t="str">
        <f t="shared" si="8"/>
        <v>Arabica</v>
      </c>
      <c r="O267" t="str">
        <f t="shared" si="9"/>
        <v>Dark</v>
      </c>
      <c r="P267" t="str">
        <f>_xlfn.XLOOKUP(worksheet[[#This Row],[Customer ID]],customers!$A$1:$A$1001,customers!$I$1:$I$1001,0)</f>
        <v>Yes</v>
      </c>
    </row>
    <row r="268" spans="1:16" x14ac:dyDescent="0.25">
      <c r="A268" s="2" t="s">
        <v>1992</v>
      </c>
      <c r="B268" s="4">
        <v>44283</v>
      </c>
      <c r="C268" s="2" t="s">
        <v>1993</v>
      </c>
      <c r="D268" t="s">
        <v>6183</v>
      </c>
      <c r="E268" s="2">
        <v>2</v>
      </c>
      <c r="F268" s="2" t="str">
        <f>_xlfn.XLOOKUP(C268,customers!$A$1:$A$1001,customers!$B$1:$B$1001,0)</f>
        <v>Myles Seawright</v>
      </c>
      <c r="G268" s="2" t="s">
        <v>1995</v>
      </c>
      <c r="H268" s="2" t="str">
        <f>_xlfn.XLOOKUP(C268,customers!$A$1:$A$1001,customers!$G$1:$G$1001,0)</f>
        <v>United Kingdom</v>
      </c>
      <c r="I268" t="str">
        <f>_xlfn.XLOOKUP(D268,products!$A$1:$A$49,products!$B$1:$B$49,0)</f>
        <v>Exc</v>
      </c>
      <c r="J268" t="str">
        <f>_xlfn.XLOOKUP('data cleaned'!D268,products!$A$1:$A$49,products!$C$1:$C$49,0)</f>
        <v>D</v>
      </c>
      <c r="K268" s="5">
        <f>_xlfn.XLOOKUP('data cleaned'!D268,products!$A$1:$A$49,products!$D$1:$D$49,0)</f>
        <v>1</v>
      </c>
      <c r="L268" s="6">
        <f>_xlfn.XLOOKUP('data cleaned'!D268,products!$A$1:$A$49,products!$E$1:$E$49,0)</f>
        <v>12.15</v>
      </c>
      <c r="M268" s="6">
        <f>'data cleaned'!E268*'data cleaned'!L268</f>
        <v>24.3</v>
      </c>
      <c r="N268" t="str">
        <f t="shared" si="8"/>
        <v>Excelsa</v>
      </c>
      <c r="O268" t="str">
        <f t="shared" si="9"/>
        <v>Dark</v>
      </c>
      <c r="P268" t="str">
        <f>_xlfn.XLOOKUP(worksheet[[#This Row],[Customer ID]],customers!$A$1:$A$1001,customers!$I$1:$I$1001,0)</f>
        <v>No</v>
      </c>
    </row>
    <row r="269" spans="1:16" x14ac:dyDescent="0.25">
      <c r="A269" s="2" t="s">
        <v>1998</v>
      </c>
      <c r="B269" s="4">
        <v>44324</v>
      </c>
      <c r="C269" s="2" t="s">
        <v>1999</v>
      </c>
      <c r="D269" t="s">
        <v>6153</v>
      </c>
      <c r="E269" s="2">
        <v>6</v>
      </c>
      <c r="F269" s="2" t="str">
        <f>_xlfn.XLOOKUP(C269,customers!$A$1:$A$1001,customers!$B$1:$B$1001,0)</f>
        <v>Silvana Northeast</v>
      </c>
      <c r="G269" s="2" t="s">
        <v>2001</v>
      </c>
      <c r="H269" s="2" t="str">
        <f>_xlfn.XLOOKUP(C269,customers!$A$1:$A$1001,customers!$G$1:$G$1001,0)</f>
        <v>United States</v>
      </c>
      <c r="I269" t="str">
        <f>_xlfn.XLOOKUP(D269,products!$A$1:$A$49,products!$B$1:$B$49,0)</f>
        <v>Exc</v>
      </c>
      <c r="J269" t="str">
        <f>_xlfn.XLOOKUP('data cleaned'!D269,products!$A$1:$A$49,products!$C$1:$C$49,0)</f>
        <v>D</v>
      </c>
      <c r="K269" s="5">
        <f>_xlfn.XLOOKUP('data cleaned'!D269,products!$A$1:$A$49,products!$D$1:$D$49,0)</f>
        <v>0.2</v>
      </c>
      <c r="L269" s="6">
        <f>_xlfn.XLOOKUP('data cleaned'!D269,products!$A$1:$A$49,products!$E$1:$E$49,0)</f>
        <v>3.645</v>
      </c>
      <c r="M269" s="6">
        <f>'data cleaned'!E269*'data cleaned'!L269</f>
        <v>21.87</v>
      </c>
      <c r="N269" t="str">
        <f t="shared" si="8"/>
        <v>Excelsa</v>
      </c>
      <c r="O269" t="str">
        <f t="shared" si="9"/>
        <v>Dark</v>
      </c>
      <c r="P269" t="str">
        <f>_xlfn.XLOOKUP(worksheet[[#This Row],[Customer ID]],customers!$A$1:$A$1001,customers!$I$1:$I$1001,0)</f>
        <v>Yes</v>
      </c>
    </row>
    <row r="270" spans="1:16" x14ac:dyDescent="0.25">
      <c r="A270" s="2" t="s">
        <v>2004</v>
      </c>
      <c r="B270" s="4">
        <v>43790</v>
      </c>
      <c r="C270" s="2" t="s">
        <v>1672</v>
      </c>
      <c r="D270" t="s">
        <v>6147</v>
      </c>
      <c r="E270" s="2">
        <v>2</v>
      </c>
      <c r="F270" s="2" t="str">
        <f>_xlfn.XLOOKUP(C270,customers!$A$1:$A$1001,customers!$B$1:$B$1001,0)</f>
        <v>Anselma Attwater</v>
      </c>
      <c r="G270" s="2" t="s">
        <v>1674</v>
      </c>
      <c r="H270" s="2" t="str">
        <f>_xlfn.XLOOKUP(C270,customers!$A$1:$A$1001,customers!$G$1:$G$1001,0)</f>
        <v>United States</v>
      </c>
      <c r="I270" t="str">
        <f>_xlfn.XLOOKUP(D270,products!$A$1:$A$49,products!$B$1:$B$49,0)</f>
        <v>Ara</v>
      </c>
      <c r="J270" t="str">
        <f>_xlfn.XLOOKUP('data cleaned'!D270,products!$A$1:$A$49,products!$C$1:$C$49,0)</f>
        <v>D</v>
      </c>
      <c r="K270" s="5">
        <f>_xlfn.XLOOKUP('data cleaned'!D270,products!$A$1:$A$49,products!$D$1:$D$49,0)</f>
        <v>1</v>
      </c>
      <c r="L270" s="6">
        <f>_xlfn.XLOOKUP('data cleaned'!D270,products!$A$1:$A$49,products!$E$1:$E$49,0)</f>
        <v>9.9499999999999993</v>
      </c>
      <c r="M270" s="6">
        <f>'data cleaned'!E270*'data cleaned'!L270</f>
        <v>19.899999999999999</v>
      </c>
      <c r="N270" t="str">
        <f t="shared" si="8"/>
        <v>Arabica</v>
      </c>
      <c r="O270" t="str">
        <f t="shared" si="9"/>
        <v>Dark</v>
      </c>
      <c r="P270" t="str">
        <f>_xlfn.XLOOKUP(worksheet[[#This Row],[Customer ID]],customers!$A$1:$A$1001,customers!$I$1:$I$1001,0)</f>
        <v>Yes</v>
      </c>
    </row>
    <row r="271" spans="1:16" x14ac:dyDescent="0.25">
      <c r="A271" s="2" t="s">
        <v>2009</v>
      </c>
      <c r="B271" s="4">
        <v>44333</v>
      </c>
      <c r="C271" s="2" t="s">
        <v>2010</v>
      </c>
      <c r="D271" t="s">
        <v>6154</v>
      </c>
      <c r="E271" s="2">
        <v>2</v>
      </c>
      <c r="F271" s="2" t="str">
        <f>_xlfn.XLOOKUP(C271,customers!$A$1:$A$1001,customers!$B$1:$B$1001,0)</f>
        <v>Monica Fearon</v>
      </c>
      <c r="G271" s="2" t="s">
        <v>2012</v>
      </c>
      <c r="H271" s="2" t="str">
        <f>_xlfn.XLOOKUP(C271,customers!$A$1:$A$1001,customers!$G$1:$G$1001,0)</f>
        <v>United States</v>
      </c>
      <c r="I271" t="str">
        <f>_xlfn.XLOOKUP(D271,products!$A$1:$A$49,products!$B$1:$B$49,0)</f>
        <v>Ara</v>
      </c>
      <c r="J271" t="str">
        <f>_xlfn.XLOOKUP('data cleaned'!D271,products!$A$1:$A$49,products!$C$1:$C$49,0)</f>
        <v>D</v>
      </c>
      <c r="K271" s="5">
        <f>_xlfn.XLOOKUP('data cleaned'!D271,products!$A$1:$A$49,products!$D$1:$D$49,0)</f>
        <v>0.2</v>
      </c>
      <c r="L271" s="6">
        <f>_xlfn.XLOOKUP('data cleaned'!D271,products!$A$1:$A$49,products!$E$1:$E$49,0)</f>
        <v>2.9849999999999999</v>
      </c>
      <c r="M271" s="6">
        <f>'data cleaned'!E271*'data cleaned'!L271</f>
        <v>5.97</v>
      </c>
      <c r="N271" t="str">
        <f t="shared" si="8"/>
        <v>Arabica</v>
      </c>
      <c r="O271" t="str">
        <f t="shared" si="9"/>
        <v>Dark</v>
      </c>
      <c r="P271" t="str">
        <f>_xlfn.XLOOKUP(worksheet[[#This Row],[Customer ID]],customers!$A$1:$A$1001,customers!$I$1:$I$1001,0)</f>
        <v>No</v>
      </c>
    </row>
    <row r="272" spans="1:16" x14ac:dyDescent="0.25">
      <c r="A272" s="2" t="s">
        <v>2015</v>
      </c>
      <c r="B272" s="4">
        <v>43655</v>
      </c>
      <c r="C272" s="2" t="s">
        <v>2016</v>
      </c>
      <c r="D272" t="s">
        <v>6144</v>
      </c>
      <c r="E272" s="2">
        <v>1</v>
      </c>
      <c r="F272" s="2" t="str">
        <f>_xlfn.XLOOKUP(C272,customers!$A$1:$A$1001,customers!$B$1:$B$1001,0)</f>
        <v>Barney Chisnell</v>
      </c>
      <c r="G272" s="2" t="s">
        <v>6222</v>
      </c>
      <c r="H272" s="2" t="str">
        <f>_xlfn.XLOOKUP(C272,customers!$A$1:$A$1001,customers!$G$1:$G$1001,0)</f>
        <v>Ireland</v>
      </c>
      <c r="I272" t="str">
        <f>_xlfn.XLOOKUP(D272,products!$A$1:$A$49,products!$B$1:$B$49,0)</f>
        <v>Exc</v>
      </c>
      <c r="J272" t="str">
        <f>_xlfn.XLOOKUP('data cleaned'!D272,products!$A$1:$A$49,products!$C$1:$C$49,0)</f>
        <v>D</v>
      </c>
      <c r="K272" s="5">
        <f>_xlfn.XLOOKUP('data cleaned'!D272,products!$A$1:$A$49,products!$D$1:$D$49,0)</f>
        <v>0.5</v>
      </c>
      <c r="L272" s="6">
        <f>_xlfn.XLOOKUP('data cleaned'!D272,products!$A$1:$A$49,products!$E$1:$E$49,0)</f>
        <v>7.29</v>
      </c>
      <c r="M272" s="6">
        <f>'data cleaned'!E272*'data cleaned'!L272</f>
        <v>7.29</v>
      </c>
      <c r="N272" t="str">
        <f t="shared" si="8"/>
        <v>Excelsa</v>
      </c>
      <c r="O272" t="str">
        <f t="shared" si="9"/>
        <v>Dark</v>
      </c>
      <c r="P272" t="str">
        <f>_xlfn.XLOOKUP(worksheet[[#This Row],[Customer ID]],customers!$A$1:$A$1001,customers!$I$1:$I$1001,0)</f>
        <v>Yes</v>
      </c>
    </row>
    <row r="273" spans="1:16" x14ac:dyDescent="0.25">
      <c r="A273" s="2" t="s">
        <v>2019</v>
      </c>
      <c r="B273" s="4">
        <v>43971</v>
      </c>
      <c r="C273" s="2" t="s">
        <v>2020</v>
      </c>
      <c r="D273" t="s">
        <v>6154</v>
      </c>
      <c r="E273" s="2">
        <v>4</v>
      </c>
      <c r="F273" s="2" t="str">
        <f>_xlfn.XLOOKUP(C273,customers!$A$1:$A$1001,customers!$B$1:$B$1001,0)</f>
        <v>Jasper Sisneros</v>
      </c>
      <c r="G273" s="2" t="s">
        <v>2022</v>
      </c>
      <c r="H273" s="2" t="str">
        <f>_xlfn.XLOOKUP(C273,customers!$A$1:$A$1001,customers!$G$1:$G$1001,0)</f>
        <v>United States</v>
      </c>
      <c r="I273" t="str">
        <f>_xlfn.XLOOKUP(D273,products!$A$1:$A$49,products!$B$1:$B$49,0)</f>
        <v>Ara</v>
      </c>
      <c r="J273" t="str">
        <f>_xlfn.XLOOKUP('data cleaned'!D273,products!$A$1:$A$49,products!$C$1:$C$49,0)</f>
        <v>D</v>
      </c>
      <c r="K273" s="5">
        <f>_xlfn.XLOOKUP('data cleaned'!D273,products!$A$1:$A$49,products!$D$1:$D$49,0)</f>
        <v>0.2</v>
      </c>
      <c r="L273" s="6">
        <f>_xlfn.XLOOKUP('data cleaned'!D273,products!$A$1:$A$49,products!$E$1:$E$49,0)</f>
        <v>2.9849999999999999</v>
      </c>
      <c r="M273" s="6">
        <f>'data cleaned'!E273*'data cleaned'!L273</f>
        <v>11.94</v>
      </c>
      <c r="N273" t="str">
        <f t="shared" si="8"/>
        <v>Arabica</v>
      </c>
      <c r="O273" t="str">
        <f t="shared" si="9"/>
        <v>Dark</v>
      </c>
      <c r="P273" t="str">
        <f>_xlfn.XLOOKUP(worksheet[[#This Row],[Customer ID]],customers!$A$1:$A$1001,customers!$I$1:$I$1001,0)</f>
        <v>Yes</v>
      </c>
    </row>
    <row r="274" spans="1:16" x14ac:dyDescent="0.25">
      <c r="A274" s="2" t="s">
        <v>2025</v>
      </c>
      <c r="B274" s="4">
        <v>44435</v>
      </c>
      <c r="C274" s="2" t="s">
        <v>2026</v>
      </c>
      <c r="D274" t="s">
        <v>6179</v>
      </c>
      <c r="E274" s="2">
        <v>6</v>
      </c>
      <c r="F274" s="2" t="str">
        <f>_xlfn.XLOOKUP(C274,customers!$A$1:$A$1001,customers!$B$1:$B$1001,0)</f>
        <v>Zachariah Carlson</v>
      </c>
      <c r="G274" s="2" t="s">
        <v>2028</v>
      </c>
      <c r="H274" s="2" t="str">
        <f>_xlfn.XLOOKUP(C274,customers!$A$1:$A$1001,customers!$G$1:$G$1001,0)</f>
        <v>Ireland</v>
      </c>
      <c r="I274" t="str">
        <f>_xlfn.XLOOKUP(D274,products!$A$1:$A$49,products!$B$1:$B$49,0)</f>
        <v>Rob</v>
      </c>
      <c r="J274" t="str">
        <f>_xlfn.XLOOKUP('data cleaned'!D274,products!$A$1:$A$49,products!$C$1:$C$49,0)</f>
        <v>L</v>
      </c>
      <c r="K274" s="5">
        <f>_xlfn.XLOOKUP('data cleaned'!D274,products!$A$1:$A$49,products!$D$1:$D$49,0)</f>
        <v>1</v>
      </c>
      <c r="L274" s="6">
        <f>_xlfn.XLOOKUP('data cleaned'!D274,products!$A$1:$A$49,products!$E$1:$E$49,0)</f>
        <v>11.95</v>
      </c>
      <c r="M274" s="6">
        <f>'data cleaned'!E274*'data cleaned'!L274</f>
        <v>71.699999999999989</v>
      </c>
      <c r="N274" t="str">
        <f t="shared" si="8"/>
        <v>Robusta</v>
      </c>
      <c r="O274" t="str">
        <f t="shared" si="9"/>
        <v>Light</v>
      </c>
      <c r="P274" t="str">
        <f>_xlfn.XLOOKUP(worksheet[[#This Row],[Customer ID]],customers!$A$1:$A$1001,customers!$I$1:$I$1001,0)</f>
        <v>Yes</v>
      </c>
    </row>
    <row r="275" spans="1:16" x14ac:dyDescent="0.25">
      <c r="A275" s="2" t="s">
        <v>2032</v>
      </c>
      <c r="B275" s="4">
        <v>44681</v>
      </c>
      <c r="C275" s="2" t="s">
        <v>2033</v>
      </c>
      <c r="D275" t="s">
        <v>6167</v>
      </c>
      <c r="E275" s="2">
        <v>2</v>
      </c>
      <c r="F275" s="2" t="str">
        <f>_xlfn.XLOOKUP(C275,customers!$A$1:$A$1001,customers!$B$1:$B$1001,0)</f>
        <v>Warner Maddox</v>
      </c>
      <c r="G275" s="2" t="s">
        <v>2035</v>
      </c>
      <c r="H275" s="2" t="str">
        <f>_xlfn.XLOOKUP(C275,customers!$A$1:$A$1001,customers!$G$1:$G$1001,0)</f>
        <v>United States</v>
      </c>
      <c r="I275" t="str">
        <f>_xlfn.XLOOKUP(D275,products!$A$1:$A$49,products!$B$1:$B$49,0)</f>
        <v>Ara</v>
      </c>
      <c r="J275" t="str">
        <f>_xlfn.XLOOKUP('data cleaned'!D275,products!$A$1:$A$49,products!$C$1:$C$49,0)</f>
        <v>L</v>
      </c>
      <c r="K275" s="5">
        <f>_xlfn.XLOOKUP('data cleaned'!D275,products!$A$1:$A$49,products!$D$1:$D$49,0)</f>
        <v>0.2</v>
      </c>
      <c r="L275" s="6">
        <f>_xlfn.XLOOKUP('data cleaned'!D275,products!$A$1:$A$49,products!$E$1:$E$49,0)</f>
        <v>3.8849999999999998</v>
      </c>
      <c r="M275" s="6">
        <f>'data cleaned'!E275*'data cleaned'!L275</f>
        <v>7.77</v>
      </c>
      <c r="N275" t="str">
        <f t="shared" si="8"/>
        <v>Arabica</v>
      </c>
      <c r="O275" t="str">
        <f t="shared" si="9"/>
        <v>Light</v>
      </c>
      <c r="P275" t="str">
        <f>_xlfn.XLOOKUP(worksheet[[#This Row],[Customer ID]],customers!$A$1:$A$1001,customers!$I$1:$I$1001,0)</f>
        <v>No</v>
      </c>
    </row>
    <row r="276" spans="1:16" x14ac:dyDescent="0.25">
      <c r="A276" s="2" t="s">
        <v>2038</v>
      </c>
      <c r="B276" s="4">
        <v>43985</v>
      </c>
      <c r="C276" s="2" t="s">
        <v>2039</v>
      </c>
      <c r="D276" t="s">
        <v>6175</v>
      </c>
      <c r="E276" s="2">
        <v>1</v>
      </c>
      <c r="F276" s="2" t="str">
        <f>_xlfn.XLOOKUP(C276,customers!$A$1:$A$1001,customers!$B$1:$B$1001,0)</f>
        <v>Donnie Hedlestone</v>
      </c>
      <c r="G276" s="2" t="s">
        <v>2041</v>
      </c>
      <c r="H276" s="2" t="str">
        <f>_xlfn.XLOOKUP(C276,customers!$A$1:$A$1001,customers!$G$1:$G$1001,0)</f>
        <v>United States</v>
      </c>
      <c r="I276" t="str">
        <f>_xlfn.XLOOKUP(D276,products!$A$1:$A$49,products!$B$1:$B$49,0)</f>
        <v>Ara</v>
      </c>
      <c r="J276" t="str">
        <f>_xlfn.XLOOKUP('data cleaned'!D276,products!$A$1:$A$49,products!$C$1:$C$49,0)</f>
        <v>M</v>
      </c>
      <c r="K276" s="5">
        <f>_xlfn.XLOOKUP('data cleaned'!D276,products!$A$1:$A$49,products!$D$1:$D$49,0)</f>
        <v>2.5</v>
      </c>
      <c r="L276" s="6">
        <f>_xlfn.XLOOKUP('data cleaned'!D276,products!$A$1:$A$49,products!$E$1:$E$49,0)</f>
        <v>25.874999999999996</v>
      </c>
      <c r="M276" s="6">
        <f>'data cleaned'!E276*'data cleaned'!L276</f>
        <v>25.874999999999996</v>
      </c>
      <c r="N276" t="str">
        <f t="shared" si="8"/>
        <v>Arabica</v>
      </c>
      <c r="O276" t="str">
        <f t="shared" si="9"/>
        <v>Medium</v>
      </c>
      <c r="P276" t="str">
        <f>_xlfn.XLOOKUP(worksheet[[#This Row],[Customer ID]],customers!$A$1:$A$1001,customers!$I$1:$I$1001,0)</f>
        <v>No</v>
      </c>
    </row>
    <row r="277" spans="1:16" x14ac:dyDescent="0.25">
      <c r="A277" s="2" t="s">
        <v>2044</v>
      </c>
      <c r="B277" s="4">
        <v>44725</v>
      </c>
      <c r="C277" s="2" t="s">
        <v>2045</v>
      </c>
      <c r="D277" t="s">
        <v>6148</v>
      </c>
      <c r="E277" s="2">
        <v>6</v>
      </c>
      <c r="F277" s="2" t="str">
        <f>_xlfn.XLOOKUP(C277,customers!$A$1:$A$1001,customers!$B$1:$B$1001,0)</f>
        <v>Teddi Crowthe</v>
      </c>
      <c r="G277" s="2" t="s">
        <v>2047</v>
      </c>
      <c r="H277" s="2" t="str">
        <f>_xlfn.XLOOKUP(C277,customers!$A$1:$A$1001,customers!$G$1:$G$1001,0)</f>
        <v>United States</v>
      </c>
      <c r="I277" t="str">
        <f>_xlfn.XLOOKUP(D277,products!$A$1:$A$49,products!$B$1:$B$49,0)</f>
        <v>Exc</v>
      </c>
      <c r="J277" t="str">
        <f>_xlfn.XLOOKUP('data cleaned'!D277,products!$A$1:$A$49,products!$C$1:$C$49,0)</f>
        <v>L</v>
      </c>
      <c r="K277" s="5">
        <f>_xlfn.XLOOKUP('data cleaned'!D277,products!$A$1:$A$49,products!$D$1:$D$49,0)</f>
        <v>2.5</v>
      </c>
      <c r="L277" s="6">
        <f>_xlfn.XLOOKUP('data cleaned'!D277,products!$A$1:$A$49,products!$E$1:$E$49,0)</f>
        <v>34.154999999999994</v>
      </c>
      <c r="M277" s="6">
        <f>'data cleaned'!E277*'data cleaned'!L277</f>
        <v>204.92999999999995</v>
      </c>
      <c r="N277" t="str">
        <f t="shared" si="8"/>
        <v>Excelsa</v>
      </c>
      <c r="O277" t="str">
        <f t="shared" si="9"/>
        <v>Light</v>
      </c>
      <c r="P277" t="str">
        <f>_xlfn.XLOOKUP(worksheet[[#This Row],[Customer ID]],customers!$A$1:$A$1001,customers!$I$1:$I$1001,0)</f>
        <v>No</v>
      </c>
    </row>
    <row r="278" spans="1:16" x14ac:dyDescent="0.25">
      <c r="A278" s="2" t="s">
        <v>2050</v>
      </c>
      <c r="B278" s="4">
        <v>43992</v>
      </c>
      <c r="C278" s="2" t="s">
        <v>2051</v>
      </c>
      <c r="D278" t="s">
        <v>6142</v>
      </c>
      <c r="E278" s="2">
        <v>4</v>
      </c>
      <c r="F278" s="2" t="str">
        <f>_xlfn.XLOOKUP(C278,customers!$A$1:$A$1001,customers!$B$1:$B$1001,0)</f>
        <v>Dorelia Bury</v>
      </c>
      <c r="G278" s="2" t="s">
        <v>2053</v>
      </c>
      <c r="H278" s="2" t="str">
        <f>_xlfn.XLOOKUP(C278,customers!$A$1:$A$1001,customers!$G$1:$G$1001,0)</f>
        <v>Ireland</v>
      </c>
      <c r="I278" t="str">
        <f>_xlfn.XLOOKUP(D278,products!$A$1:$A$49,products!$B$1:$B$49,0)</f>
        <v>Rob</v>
      </c>
      <c r="J278" t="str">
        <f>_xlfn.XLOOKUP('data cleaned'!D278,products!$A$1:$A$49,products!$C$1:$C$49,0)</f>
        <v>L</v>
      </c>
      <c r="K278" s="5">
        <f>_xlfn.XLOOKUP('data cleaned'!D278,products!$A$1:$A$49,products!$D$1:$D$49,0)</f>
        <v>2.5</v>
      </c>
      <c r="L278" s="6">
        <f>_xlfn.XLOOKUP('data cleaned'!D278,products!$A$1:$A$49,products!$E$1:$E$49,0)</f>
        <v>27.484999999999996</v>
      </c>
      <c r="M278" s="6">
        <f>'data cleaned'!E278*'data cleaned'!L278</f>
        <v>109.93999999999998</v>
      </c>
      <c r="N278" t="str">
        <f t="shared" si="8"/>
        <v>Robusta</v>
      </c>
      <c r="O278" t="str">
        <f t="shared" si="9"/>
        <v>Light</v>
      </c>
      <c r="P278" t="str">
        <f>_xlfn.XLOOKUP(worksheet[[#This Row],[Customer ID]],customers!$A$1:$A$1001,customers!$I$1:$I$1001,0)</f>
        <v>Yes</v>
      </c>
    </row>
    <row r="279" spans="1:16" x14ac:dyDescent="0.25">
      <c r="A279" s="2" t="s">
        <v>2056</v>
      </c>
      <c r="B279" s="4">
        <v>44183</v>
      </c>
      <c r="C279" s="2" t="s">
        <v>2057</v>
      </c>
      <c r="D279" t="s">
        <v>6171</v>
      </c>
      <c r="E279" s="2">
        <v>6</v>
      </c>
      <c r="F279" s="2" t="str">
        <f>_xlfn.XLOOKUP(C279,customers!$A$1:$A$1001,customers!$B$1:$B$1001,0)</f>
        <v>Gussy Broadbear</v>
      </c>
      <c r="G279" s="2" t="s">
        <v>2059</v>
      </c>
      <c r="H279" s="2" t="str">
        <f>_xlfn.XLOOKUP(C279,customers!$A$1:$A$1001,customers!$G$1:$G$1001,0)</f>
        <v>United States</v>
      </c>
      <c r="I279" t="str">
        <f>_xlfn.XLOOKUP(D279,products!$A$1:$A$49,products!$B$1:$B$49,0)</f>
        <v>Exc</v>
      </c>
      <c r="J279" t="str">
        <f>_xlfn.XLOOKUP('data cleaned'!D279,products!$A$1:$A$49,products!$C$1:$C$49,0)</f>
        <v>L</v>
      </c>
      <c r="K279" s="5">
        <f>_xlfn.XLOOKUP('data cleaned'!D279,products!$A$1:$A$49,products!$D$1:$D$49,0)</f>
        <v>1</v>
      </c>
      <c r="L279" s="6">
        <f>_xlfn.XLOOKUP('data cleaned'!D279,products!$A$1:$A$49,products!$E$1:$E$49,0)</f>
        <v>14.85</v>
      </c>
      <c r="M279" s="6">
        <f>'data cleaned'!E279*'data cleaned'!L279</f>
        <v>89.1</v>
      </c>
      <c r="N279" t="str">
        <f t="shared" si="8"/>
        <v>Excelsa</v>
      </c>
      <c r="O279" t="str">
        <f t="shared" si="9"/>
        <v>Light</v>
      </c>
      <c r="P279" t="str">
        <f>_xlfn.XLOOKUP(worksheet[[#This Row],[Customer ID]],customers!$A$1:$A$1001,customers!$I$1:$I$1001,0)</f>
        <v>No</v>
      </c>
    </row>
    <row r="280" spans="1:16" x14ac:dyDescent="0.25">
      <c r="A280" s="2" t="s">
        <v>2062</v>
      </c>
      <c r="B280" s="4">
        <v>43708</v>
      </c>
      <c r="C280" s="2" t="s">
        <v>2063</v>
      </c>
      <c r="D280" t="s">
        <v>6167</v>
      </c>
      <c r="E280" s="2">
        <v>2</v>
      </c>
      <c r="F280" s="2" t="str">
        <f>_xlfn.XLOOKUP(C280,customers!$A$1:$A$1001,customers!$B$1:$B$1001,0)</f>
        <v>Emlynne Palfrey</v>
      </c>
      <c r="G280" s="2" t="s">
        <v>2065</v>
      </c>
      <c r="H280" s="2" t="str">
        <f>_xlfn.XLOOKUP(C280,customers!$A$1:$A$1001,customers!$G$1:$G$1001,0)</f>
        <v>United States</v>
      </c>
      <c r="I280" t="str">
        <f>_xlfn.XLOOKUP(D280,products!$A$1:$A$49,products!$B$1:$B$49,0)</f>
        <v>Ara</v>
      </c>
      <c r="J280" t="str">
        <f>_xlfn.XLOOKUP('data cleaned'!D280,products!$A$1:$A$49,products!$C$1:$C$49,0)</f>
        <v>L</v>
      </c>
      <c r="K280" s="5">
        <f>_xlfn.XLOOKUP('data cleaned'!D280,products!$A$1:$A$49,products!$D$1:$D$49,0)</f>
        <v>0.2</v>
      </c>
      <c r="L280" s="6">
        <f>_xlfn.XLOOKUP('data cleaned'!D280,products!$A$1:$A$49,products!$E$1:$E$49,0)</f>
        <v>3.8849999999999998</v>
      </c>
      <c r="M280" s="6">
        <f>'data cleaned'!E280*'data cleaned'!L280</f>
        <v>7.77</v>
      </c>
      <c r="N280" t="str">
        <f t="shared" si="8"/>
        <v>Arabica</v>
      </c>
      <c r="O280" t="str">
        <f t="shared" si="9"/>
        <v>Light</v>
      </c>
      <c r="P280" t="str">
        <f>_xlfn.XLOOKUP(worksheet[[#This Row],[Customer ID]],customers!$A$1:$A$1001,customers!$I$1:$I$1001,0)</f>
        <v>Yes</v>
      </c>
    </row>
    <row r="281" spans="1:16" x14ac:dyDescent="0.25">
      <c r="A281" s="2" t="s">
        <v>2068</v>
      </c>
      <c r="B281" s="4">
        <v>43521</v>
      </c>
      <c r="C281" s="2" t="s">
        <v>2069</v>
      </c>
      <c r="D281" t="s">
        <v>6181</v>
      </c>
      <c r="E281" s="2">
        <v>1</v>
      </c>
      <c r="F281" s="2" t="str">
        <f>_xlfn.XLOOKUP(C281,customers!$A$1:$A$1001,customers!$B$1:$B$1001,0)</f>
        <v>Parsifal Metrick</v>
      </c>
      <c r="G281" s="2" t="s">
        <v>2071</v>
      </c>
      <c r="H281" s="2" t="str">
        <f>_xlfn.XLOOKUP(C281,customers!$A$1:$A$1001,customers!$G$1:$G$1001,0)</f>
        <v>United States</v>
      </c>
      <c r="I281" t="str">
        <f>_xlfn.XLOOKUP(D281,products!$A$1:$A$49,products!$B$1:$B$49,0)</f>
        <v>Lib</v>
      </c>
      <c r="J281" t="str">
        <f>_xlfn.XLOOKUP('data cleaned'!D281,products!$A$1:$A$49,products!$C$1:$C$49,0)</f>
        <v>M</v>
      </c>
      <c r="K281" s="5">
        <f>_xlfn.XLOOKUP('data cleaned'!D281,products!$A$1:$A$49,products!$D$1:$D$49,0)</f>
        <v>2.5</v>
      </c>
      <c r="L281" s="6">
        <f>_xlfn.XLOOKUP('data cleaned'!D281,products!$A$1:$A$49,products!$E$1:$E$49,0)</f>
        <v>33.464999999999996</v>
      </c>
      <c r="M281" s="6">
        <f>'data cleaned'!E281*'data cleaned'!L281</f>
        <v>33.464999999999996</v>
      </c>
      <c r="N281" t="str">
        <f t="shared" si="8"/>
        <v>Liberica</v>
      </c>
      <c r="O281" t="str">
        <f t="shared" si="9"/>
        <v>Medium</v>
      </c>
      <c r="P281" t="str">
        <f>_xlfn.XLOOKUP(worksheet[[#This Row],[Customer ID]],customers!$A$1:$A$1001,customers!$I$1:$I$1001,0)</f>
        <v>Yes</v>
      </c>
    </row>
    <row r="282" spans="1:16" x14ac:dyDescent="0.25">
      <c r="A282" s="2" t="s">
        <v>2074</v>
      </c>
      <c r="B282" s="4">
        <v>44234</v>
      </c>
      <c r="C282" s="2" t="s">
        <v>2075</v>
      </c>
      <c r="D282" t="s">
        <v>6139</v>
      </c>
      <c r="E282" s="2">
        <v>5</v>
      </c>
      <c r="F282" s="2" t="str">
        <f>_xlfn.XLOOKUP(C282,customers!$A$1:$A$1001,customers!$B$1:$B$1001,0)</f>
        <v>Christopher Grieveson</v>
      </c>
      <c r="G282" s="2" t="s">
        <v>6222</v>
      </c>
      <c r="H282" s="2" t="str">
        <f>_xlfn.XLOOKUP(C282,customers!$A$1:$A$1001,customers!$G$1:$G$1001,0)</f>
        <v>United States</v>
      </c>
      <c r="I282" t="str">
        <f>_xlfn.XLOOKUP(D282,products!$A$1:$A$49,products!$B$1:$B$49,0)</f>
        <v>Exc</v>
      </c>
      <c r="J282" t="str">
        <f>_xlfn.XLOOKUP('data cleaned'!D282,products!$A$1:$A$49,products!$C$1:$C$49,0)</f>
        <v>M</v>
      </c>
      <c r="K282" s="5">
        <f>_xlfn.XLOOKUP('data cleaned'!D282,products!$A$1:$A$49,products!$D$1:$D$49,0)</f>
        <v>0.5</v>
      </c>
      <c r="L282" s="6">
        <f>_xlfn.XLOOKUP('data cleaned'!D282,products!$A$1:$A$49,products!$E$1:$E$49,0)</f>
        <v>8.25</v>
      </c>
      <c r="M282" s="6">
        <f>'data cleaned'!E282*'data cleaned'!L282</f>
        <v>41.25</v>
      </c>
      <c r="N282" t="str">
        <f t="shared" si="8"/>
        <v>Excelsa</v>
      </c>
      <c r="O282" t="str">
        <f t="shared" si="9"/>
        <v>Medium</v>
      </c>
      <c r="P282" t="str">
        <f>_xlfn.XLOOKUP(worksheet[[#This Row],[Customer ID]],customers!$A$1:$A$1001,customers!$I$1:$I$1001,0)</f>
        <v>Yes</v>
      </c>
    </row>
    <row r="283" spans="1:16" x14ac:dyDescent="0.25">
      <c r="A283" s="2" t="s">
        <v>2079</v>
      </c>
      <c r="B283" s="4">
        <v>44210</v>
      </c>
      <c r="C283" s="2" t="s">
        <v>2080</v>
      </c>
      <c r="D283" t="s">
        <v>6171</v>
      </c>
      <c r="E283" s="2">
        <v>4</v>
      </c>
      <c r="F283" s="2" t="str">
        <f>_xlfn.XLOOKUP(C283,customers!$A$1:$A$1001,customers!$B$1:$B$1001,0)</f>
        <v>Karlan Karby</v>
      </c>
      <c r="G283" s="2" t="s">
        <v>2082</v>
      </c>
      <c r="H283" s="2" t="str">
        <f>_xlfn.XLOOKUP(C283,customers!$A$1:$A$1001,customers!$G$1:$G$1001,0)</f>
        <v>United States</v>
      </c>
      <c r="I283" t="str">
        <f>_xlfn.XLOOKUP(D283,products!$A$1:$A$49,products!$B$1:$B$49,0)</f>
        <v>Exc</v>
      </c>
      <c r="J283" t="str">
        <f>_xlfn.XLOOKUP('data cleaned'!D283,products!$A$1:$A$49,products!$C$1:$C$49,0)</f>
        <v>L</v>
      </c>
      <c r="K283" s="5">
        <f>_xlfn.XLOOKUP('data cleaned'!D283,products!$A$1:$A$49,products!$D$1:$D$49,0)</f>
        <v>1</v>
      </c>
      <c r="L283" s="6">
        <f>_xlfn.XLOOKUP('data cleaned'!D283,products!$A$1:$A$49,products!$E$1:$E$49,0)</f>
        <v>14.85</v>
      </c>
      <c r="M283" s="6">
        <f>'data cleaned'!E283*'data cleaned'!L283</f>
        <v>59.4</v>
      </c>
      <c r="N283" t="str">
        <f t="shared" si="8"/>
        <v>Excelsa</v>
      </c>
      <c r="O283" t="str">
        <f t="shared" si="9"/>
        <v>Light</v>
      </c>
      <c r="P283" t="str">
        <f>_xlfn.XLOOKUP(worksheet[[#This Row],[Customer ID]],customers!$A$1:$A$1001,customers!$I$1:$I$1001,0)</f>
        <v>Yes</v>
      </c>
    </row>
    <row r="284" spans="1:16" x14ac:dyDescent="0.25">
      <c r="A284" s="2" t="s">
        <v>2085</v>
      </c>
      <c r="B284" s="4">
        <v>43520</v>
      </c>
      <c r="C284" s="2" t="s">
        <v>2086</v>
      </c>
      <c r="D284" t="s">
        <v>6180</v>
      </c>
      <c r="E284" s="2">
        <v>1</v>
      </c>
      <c r="F284" s="2" t="str">
        <f>_xlfn.XLOOKUP(C284,customers!$A$1:$A$1001,customers!$B$1:$B$1001,0)</f>
        <v>Flory Crumpe</v>
      </c>
      <c r="G284" s="2" t="s">
        <v>2088</v>
      </c>
      <c r="H284" s="2" t="str">
        <f>_xlfn.XLOOKUP(C284,customers!$A$1:$A$1001,customers!$G$1:$G$1001,0)</f>
        <v>United Kingdom</v>
      </c>
      <c r="I284" t="str">
        <f>_xlfn.XLOOKUP(D284,products!$A$1:$A$49,products!$B$1:$B$49,0)</f>
        <v>Ara</v>
      </c>
      <c r="J284" t="str">
        <f>_xlfn.XLOOKUP('data cleaned'!D284,products!$A$1:$A$49,products!$C$1:$C$49,0)</f>
        <v>L</v>
      </c>
      <c r="K284" s="5">
        <f>_xlfn.XLOOKUP('data cleaned'!D284,products!$A$1:$A$49,products!$D$1:$D$49,0)</f>
        <v>0.5</v>
      </c>
      <c r="L284" s="6">
        <f>_xlfn.XLOOKUP('data cleaned'!D284,products!$A$1:$A$49,products!$E$1:$E$49,0)</f>
        <v>7.77</v>
      </c>
      <c r="M284" s="6">
        <f>'data cleaned'!E284*'data cleaned'!L284</f>
        <v>7.77</v>
      </c>
      <c r="N284" t="str">
        <f t="shared" si="8"/>
        <v>Arabica</v>
      </c>
      <c r="O284" t="str">
        <f t="shared" si="9"/>
        <v>Light</v>
      </c>
      <c r="P284" t="str">
        <f>_xlfn.XLOOKUP(worksheet[[#This Row],[Customer ID]],customers!$A$1:$A$1001,customers!$I$1:$I$1001,0)</f>
        <v>No</v>
      </c>
    </row>
    <row r="285" spans="1:16" x14ac:dyDescent="0.25">
      <c r="A285" s="2" t="s">
        <v>2091</v>
      </c>
      <c r="B285" s="4">
        <v>43639</v>
      </c>
      <c r="C285" s="2" t="s">
        <v>2092</v>
      </c>
      <c r="D285" t="s">
        <v>6172</v>
      </c>
      <c r="E285" s="2">
        <v>1</v>
      </c>
      <c r="F285" s="2" t="str">
        <f>_xlfn.XLOOKUP(C285,customers!$A$1:$A$1001,customers!$B$1:$B$1001,0)</f>
        <v>Amity Chatto</v>
      </c>
      <c r="G285" s="2" t="s">
        <v>2094</v>
      </c>
      <c r="H285" s="2" t="str">
        <f>_xlfn.XLOOKUP(C285,customers!$A$1:$A$1001,customers!$G$1:$G$1001,0)</f>
        <v>United Kingdom</v>
      </c>
      <c r="I285" t="str">
        <f>_xlfn.XLOOKUP(D285,products!$A$1:$A$49,products!$B$1:$B$49,0)</f>
        <v>Rob</v>
      </c>
      <c r="J285" t="str">
        <f>_xlfn.XLOOKUP('data cleaned'!D285,products!$A$1:$A$49,products!$C$1:$C$49,0)</f>
        <v>D</v>
      </c>
      <c r="K285" s="5">
        <f>_xlfn.XLOOKUP('data cleaned'!D285,products!$A$1:$A$49,products!$D$1:$D$49,0)</f>
        <v>0.5</v>
      </c>
      <c r="L285" s="6">
        <f>_xlfn.XLOOKUP('data cleaned'!D285,products!$A$1:$A$49,products!$E$1:$E$49,0)</f>
        <v>5.3699999999999992</v>
      </c>
      <c r="M285" s="6">
        <f>'data cleaned'!E285*'data cleaned'!L285</f>
        <v>5.3699999999999992</v>
      </c>
      <c r="N285" t="str">
        <f t="shared" si="8"/>
        <v>Robusta</v>
      </c>
      <c r="O285" t="str">
        <f t="shared" si="9"/>
        <v>Dark</v>
      </c>
      <c r="P285" t="str">
        <f>_xlfn.XLOOKUP(worksheet[[#This Row],[Customer ID]],customers!$A$1:$A$1001,customers!$I$1:$I$1001,0)</f>
        <v>Yes</v>
      </c>
    </row>
    <row r="286" spans="1:16" x14ac:dyDescent="0.25">
      <c r="A286" s="2" t="s">
        <v>2097</v>
      </c>
      <c r="B286" s="4">
        <v>43960</v>
      </c>
      <c r="C286" s="2" t="s">
        <v>2098</v>
      </c>
      <c r="D286" t="s">
        <v>6166</v>
      </c>
      <c r="E286" s="2">
        <v>3</v>
      </c>
      <c r="F286" s="2" t="str">
        <f>_xlfn.XLOOKUP(C286,customers!$A$1:$A$1001,customers!$B$1:$B$1001,0)</f>
        <v>Nanine McCarthy</v>
      </c>
      <c r="G286" s="2" t="s">
        <v>6222</v>
      </c>
      <c r="H286" s="2" t="str">
        <f>_xlfn.XLOOKUP(C286,customers!$A$1:$A$1001,customers!$G$1:$G$1001,0)</f>
        <v>United States</v>
      </c>
      <c r="I286" t="str">
        <f>_xlfn.XLOOKUP(D286,products!$A$1:$A$49,products!$B$1:$B$49,0)</f>
        <v>Exc</v>
      </c>
      <c r="J286" t="str">
        <f>_xlfn.XLOOKUP('data cleaned'!D286,products!$A$1:$A$49,products!$C$1:$C$49,0)</f>
        <v>M</v>
      </c>
      <c r="K286" s="5">
        <f>_xlfn.XLOOKUP('data cleaned'!D286,products!$A$1:$A$49,products!$D$1:$D$49,0)</f>
        <v>2.5</v>
      </c>
      <c r="L286" s="6">
        <f>_xlfn.XLOOKUP('data cleaned'!D286,products!$A$1:$A$49,products!$E$1:$E$49,0)</f>
        <v>31.624999999999996</v>
      </c>
      <c r="M286" s="6">
        <f>'data cleaned'!E286*'data cleaned'!L286</f>
        <v>94.874999999999986</v>
      </c>
      <c r="N286" t="str">
        <f t="shared" si="8"/>
        <v>Excelsa</v>
      </c>
      <c r="O286" t="str">
        <f t="shared" si="9"/>
        <v>Medium</v>
      </c>
      <c r="P286" t="str">
        <f>_xlfn.XLOOKUP(worksheet[[#This Row],[Customer ID]],customers!$A$1:$A$1001,customers!$I$1:$I$1001,0)</f>
        <v>No</v>
      </c>
    </row>
    <row r="287" spans="1:16" x14ac:dyDescent="0.25">
      <c r="A287" s="2" t="s">
        <v>2102</v>
      </c>
      <c r="B287" s="4">
        <v>44030</v>
      </c>
      <c r="C287" s="2" t="s">
        <v>2103</v>
      </c>
      <c r="D287" t="s">
        <v>6164</v>
      </c>
      <c r="E287" s="2">
        <v>1</v>
      </c>
      <c r="F287" s="2" t="str">
        <f>_xlfn.XLOOKUP(C287,customers!$A$1:$A$1001,customers!$B$1:$B$1001,0)</f>
        <v>Lyndsey Megany</v>
      </c>
      <c r="G287" s="2" t="s">
        <v>6222</v>
      </c>
      <c r="H287" s="2" t="str">
        <f>_xlfn.XLOOKUP(C287,customers!$A$1:$A$1001,customers!$G$1:$G$1001,0)</f>
        <v>United States</v>
      </c>
      <c r="I287" t="str">
        <f>_xlfn.XLOOKUP(D287,products!$A$1:$A$49,products!$B$1:$B$49,0)</f>
        <v>Lib</v>
      </c>
      <c r="J287" t="str">
        <f>_xlfn.XLOOKUP('data cleaned'!D287,products!$A$1:$A$49,products!$C$1:$C$49,0)</f>
        <v>L</v>
      </c>
      <c r="K287" s="5">
        <f>_xlfn.XLOOKUP('data cleaned'!D287,products!$A$1:$A$49,products!$D$1:$D$49,0)</f>
        <v>2.5</v>
      </c>
      <c r="L287" s="6">
        <f>_xlfn.XLOOKUP('data cleaned'!D287,products!$A$1:$A$49,products!$E$1:$E$49,0)</f>
        <v>36.454999999999998</v>
      </c>
      <c r="M287" s="6">
        <f>'data cleaned'!E287*'data cleaned'!L287</f>
        <v>36.454999999999998</v>
      </c>
      <c r="N287" t="str">
        <f t="shared" si="8"/>
        <v>Liberica</v>
      </c>
      <c r="O287" t="str">
        <f t="shared" si="9"/>
        <v>Light</v>
      </c>
      <c r="P287" t="str">
        <f>_xlfn.XLOOKUP(worksheet[[#This Row],[Customer ID]],customers!$A$1:$A$1001,customers!$I$1:$I$1001,0)</f>
        <v>No</v>
      </c>
    </row>
    <row r="288" spans="1:16" x14ac:dyDescent="0.25">
      <c r="A288" s="2" t="s">
        <v>2107</v>
      </c>
      <c r="B288" s="4">
        <v>43755</v>
      </c>
      <c r="C288" s="2" t="s">
        <v>2108</v>
      </c>
      <c r="D288" t="s">
        <v>6152</v>
      </c>
      <c r="E288" s="2">
        <v>4</v>
      </c>
      <c r="F288" s="2" t="str">
        <f>_xlfn.XLOOKUP(C288,customers!$A$1:$A$1001,customers!$B$1:$B$1001,0)</f>
        <v>Byram Mergue</v>
      </c>
      <c r="G288" s="2" t="s">
        <v>2110</v>
      </c>
      <c r="H288" s="2" t="str">
        <f>_xlfn.XLOOKUP(C288,customers!$A$1:$A$1001,customers!$G$1:$G$1001,0)</f>
        <v>United States</v>
      </c>
      <c r="I288" t="str">
        <f>_xlfn.XLOOKUP(D288,products!$A$1:$A$49,products!$B$1:$B$49,0)</f>
        <v>Ara</v>
      </c>
      <c r="J288" t="str">
        <f>_xlfn.XLOOKUP('data cleaned'!D288,products!$A$1:$A$49,products!$C$1:$C$49,0)</f>
        <v>M</v>
      </c>
      <c r="K288" s="5">
        <f>_xlfn.XLOOKUP('data cleaned'!D288,products!$A$1:$A$49,products!$D$1:$D$49,0)</f>
        <v>0.2</v>
      </c>
      <c r="L288" s="6">
        <f>_xlfn.XLOOKUP('data cleaned'!D288,products!$A$1:$A$49,products!$E$1:$E$49,0)</f>
        <v>3.375</v>
      </c>
      <c r="M288" s="6">
        <f>'data cleaned'!E288*'data cleaned'!L288</f>
        <v>13.5</v>
      </c>
      <c r="N288" t="str">
        <f t="shared" si="8"/>
        <v>Arabica</v>
      </c>
      <c r="O288" t="str">
        <f t="shared" si="9"/>
        <v>Medium</v>
      </c>
      <c r="P288" t="str">
        <f>_xlfn.XLOOKUP(worksheet[[#This Row],[Customer ID]],customers!$A$1:$A$1001,customers!$I$1:$I$1001,0)</f>
        <v>Yes</v>
      </c>
    </row>
    <row r="289" spans="1:16" x14ac:dyDescent="0.25">
      <c r="A289" s="2" t="s">
        <v>2112</v>
      </c>
      <c r="B289" s="4">
        <v>44697</v>
      </c>
      <c r="C289" s="2" t="s">
        <v>2113</v>
      </c>
      <c r="D289" t="s">
        <v>6178</v>
      </c>
      <c r="E289" s="2">
        <v>4</v>
      </c>
      <c r="F289" s="2" t="str">
        <f>_xlfn.XLOOKUP(C289,customers!$A$1:$A$1001,customers!$B$1:$B$1001,0)</f>
        <v>Kerr Patise</v>
      </c>
      <c r="G289" s="2" t="s">
        <v>2115</v>
      </c>
      <c r="H289" s="2" t="str">
        <f>_xlfn.XLOOKUP(C289,customers!$A$1:$A$1001,customers!$G$1:$G$1001,0)</f>
        <v>United States</v>
      </c>
      <c r="I289" t="str">
        <f>_xlfn.XLOOKUP(D289,products!$A$1:$A$49,products!$B$1:$B$49,0)</f>
        <v>Rob</v>
      </c>
      <c r="J289" t="str">
        <f>_xlfn.XLOOKUP('data cleaned'!D289,products!$A$1:$A$49,products!$C$1:$C$49,0)</f>
        <v>L</v>
      </c>
      <c r="K289" s="5">
        <f>_xlfn.XLOOKUP('data cleaned'!D289,products!$A$1:$A$49,products!$D$1:$D$49,0)</f>
        <v>0.2</v>
      </c>
      <c r="L289" s="6">
        <f>_xlfn.XLOOKUP('data cleaned'!D289,products!$A$1:$A$49,products!$E$1:$E$49,0)</f>
        <v>3.5849999999999995</v>
      </c>
      <c r="M289" s="6">
        <f>'data cleaned'!E289*'data cleaned'!L289</f>
        <v>14.339999999999998</v>
      </c>
      <c r="N289" t="str">
        <f t="shared" si="8"/>
        <v>Robusta</v>
      </c>
      <c r="O289" t="str">
        <f t="shared" si="9"/>
        <v>Light</v>
      </c>
      <c r="P289" t="str">
        <f>_xlfn.XLOOKUP(worksheet[[#This Row],[Customer ID]],customers!$A$1:$A$1001,customers!$I$1:$I$1001,0)</f>
        <v>No</v>
      </c>
    </row>
    <row r="290" spans="1:16" x14ac:dyDescent="0.25">
      <c r="A290" s="2" t="s">
        <v>2118</v>
      </c>
      <c r="B290" s="4">
        <v>44279</v>
      </c>
      <c r="C290" s="2" t="s">
        <v>2119</v>
      </c>
      <c r="D290" t="s">
        <v>6139</v>
      </c>
      <c r="E290" s="2">
        <v>1</v>
      </c>
      <c r="F290" s="2" t="str">
        <f>_xlfn.XLOOKUP(C290,customers!$A$1:$A$1001,customers!$B$1:$B$1001,0)</f>
        <v>Mathew Goulter</v>
      </c>
      <c r="G290" s="2" t="s">
        <v>6222</v>
      </c>
      <c r="H290" s="2" t="str">
        <f>_xlfn.XLOOKUP(C290,customers!$A$1:$A$1001,customers!$G$1:$G$1001,0)</f>
        <v>Ireland</v>
      </c>
      <c r="I290" t="str">
        <f>_xlfn.XLOOKUP(D290,products!$A$1:$A$49,products!$B$1:$B$49,0)</f>
        <v>Exc</v>
      </c>
      <c r="J290" t="str">
        <f>_xlfn.XLOOKUP('data cleaned'!D290,products!$A$1:$A$49,products!$C$1:$C$49,0)</f>
        <v>M</v>
      </c>
      <c r="K290" s="5">
        <f>_xlfn.XLOOKUP('data cleaned'!D290,products!$A$1:$A$49,products!$D$1:$D$49,0)</f>
        <v>0.5</v>
      </c>
      <c r="L290" s="6">
        <f>_xlfn.XLOOKUP('data cleaned'!D290,products!$A$1:$A$49,products!$E$1:$E$49,0)</f>
        <v>8.25</v>
      </c>
      <c r="M290" s="6">
        <f>'data cleaned'!E290*'data cleaned'!L290</f>
        <v>8.25</v>
      </c>
      <c r="N290" t="str">
        <f t="shared" si="8"/>
        <v>Excelsa</v>
      </c>
      <c r="O290" t="str">
        <f t="shared" si="9"/>
        <v>Medium</v>
      </c>
      <c r="P290" t="str">
        <f>_xlfn.XLOOKUP(worksheet[[#This Row],[Customer ID]],customers!$A$1:$A$1001,customers!$I$1:$I$1001,0)</f>
        <v>Yes</v>
      </c>
    </row>
    <row r="291" spans="1:16" x14ac:dyDescent="0.25">
      <c r="A291" s="2" t="s">
        <v>2123</v>
      </c>
      <c r="B291" s="4">
        <v>43772</v>
      </c>
      <c r="C291" s="2" t="s">
        <v>2124</v>
      </c>
      <c r="D291" t="s">
        <v>6163</v>
      </c>
      <c r="E291" s="2">
        <v>5</v>
      </c>
      <c r="F291" s="2" t="str">
        <f>_xlfn.XLOOKUP(C291,customers!$A$1:$A$1001,customers!$B$1:$B$1001,0)</f>
        <v>Marris Grcic</v>
      </c>
      <c r="G291" s="2" t="s">
        <v>6222</v>
      </c>
      <c r="H291" s="2" t="str">
        <f>_xlfn.XLOOKUP(C291,customers!$A$1:$A$1001,customers!$G$1:$G$1001,0)</f>
        <v>United States</v>
      </c>
      <c r="I291" t="str">
        <f>_xlfn.XLOOKUP(D291,products!$A$1:$A$49,products!$B$1:$B$49,0)</f>
        <v>Rob</v>
      </c>
      <c r="J291" t="str">
        <f>_xlfn.XLOOKUP('data cleaned'!D291,products!$A$1:$A$49,products!$C$1:$C$49,0)</f>
        <v>D</v>
      </c>
      <c r="K291" s="5">
        <f>_xlfn.XLOOKUP('data cleaned'!D291,products!$A$1:$A$49,products!$D$1:$D$49,0)</f>
        <v>0.2</v>
      </c>
      <c r="L291" s="6">
        <f>_xlfn.XLOOKUP('data cleaned'!D291,products!$A$1:$A$49,products!$E$1:$E$49,0)</f>
        <v>2.6849999999999996</v>
      </c>
      <c r="M291" s="6">
        <f>'data cleaned'!E291*'data cleaned'!L291</f>
        <v>13.424999999999997</v>
      </c>
      <c r="N291" t="str">
        <f t="shared" si="8"/>
        <v>Robusta</v>
      </c>
      <c r="O291" t="str">
        <f t="shared" si="9"/>
        <v>Dark</v>
      </c>
      <c r="P291" t="str">
        <f>_xlfn.XLOOKUP(worksheet[[#This Row],[Customer ID]],customers!$A$1:$A$1001,customers!$I$1:$I$1001,0)</f>
        <v>Yes</v>
      </c>
    </row>
    <row r="292" spans="1:16" x14ac:dyDescent="0.25">
      <c r="A292" s="2" t="s">
        <v>2127</v>
      </c>
      <c r="B292" s="4">
        <v>44497</v>
      </c>
      <c r="C292" s="2" t="s">
        <v>2128</v>
      </c>
      <c r="D292" t="s">
        <v>6147</v>
      </c>
      <c r="E292" s="2">
        <v>5</v>
      </c>
      <c r="F292" s="2" t="str">
        <f>_xlfn.XLOOKUP(C292,customers!$A$1:$A$1001,customers!$B$1:$B$1001,0)</f>
        <v>Domeniga Duke</v>
      </c>
      <c r="G292" s="2" t="s">
        <v>2130</v>
      </c>
      <c r="H292" s="2" t="str">
        <f>_xlfn.XLOOKUP(C292,customers!$A$1:$A$1001,customers!$G$1:$G$1001,0)</f>
        <v>United States</v>
      </c>
      <c r="I292" t="str">
        <f>_xlfn.XLOOKUP(D292,products!$A$1:$A$49,products!$B$1:$B$49,0)</f>
        <v>Ara</v>
      </c>
      <c r="J292" t="str">
        <f>_xlfn.XLOOKUP('data cleaned'!D292,products!$A$1:$A$49,products!$C$1:$C$49,0)</f>
        <v>D</v>
      </c>
      <c r="K292" s="5">
        <f>_xlfn.XLOOKUP('data cleaned'!D292,products!$A$1:$A$49,products!$D$1:$D$49,0)</f>
        <v>1</v>
      </c>
      <c r="L292" s="6">
        <f>_xlfn.XLOOKUP('data cleaned'!D292,products!$A$1:$A$49,products!$E$1:$E$49,0)</f>
        <v>9.9499999999999993</v>
      </c>
      <c r="M292" s="6">
        <f>'data cleaned'!E292*'data cleaned'!L292</f>
        <v>49.75</v>
      </c>
      <c r="N292" t="str">
        <f t="shared" si="8"/>
        <v>Arabica</v>
      </c>
      <c r="O292" t="str">
        <f t="shared" si="9"/>
        <v>Dark</v>
      </c>
      <c r="P292" t="str">
        <f>_xlfn.XLOOKUP(worksheet[[#This Row],[Customer ID]],customers!$A$1:$A$1001,customers!$I$1:$I$1001,0)</f>
        <v>No</v>
      </c>
    </row>
    <row r="293" spans="1:16" x14ac:dyDescent="0.25">
      <c r="A293" s="2" t="s">
        <v>2133</v>
      </c>
      <c r="B293" s="4">
        <v>44181</v>
      </c>
      <c r="C293" s="2" t="s">
        <v>2134</v>
      </c>
      <c r="D293" t="s">
        <v>6139</v>
      </c>
      <c r="E293" s="2">
        <v>2</v>
      </c>
      <c r="F293" s="2" t="str">
        <f>_xlfn.XLOOKUP(C293,customers!$A$1:$A$1001,customers!$B$1:$B$1001,0)</f>
        <v>Violante Skouling</v>
      </c>
      <c r="G293" s="2" t="s">
        <v>6222</v>
      </c>
      <c r="H293" s="2" t="str">
        <f>_xlfn.XLOOKUP(C293,customers!$A$1:$A$1001,customers!$G$1:$G$1001,0)</f>
        <v>Ireland</v>
      </c>
      <c r="I293" t="str">
        <f>_xlfn.XLOOKUP(D293,products!$A$1:$A$49,products!$B$1:$B$49,0)</f>
        <v>Exc</v>
      </c>
      <c r="J293" t="str">
        <f>_xlfn.XLOOKUP('data cleaned'!D293,products!$A$1:$A$49,products!$C$1:$C$49,0)</f>
        <v>M</v>
      </c>
      <c r="K293" s="5">
        <f>_xlfn.XLOOKUP('data cleaned'!D293,products!$A$1:$A$49,products!$D$1:$D$49,0)</f>
        <v>0.5</v>
      </c>
      <c r="L293" s="6">
        <f>_xlfn.XLOOKUP('data cleaned'!D293,products!$A$1:$A$49,products!$E$1:$E$49,0)</f>
        <v>8.25</v>
      </c>
      <c r="M293" s="6">
        <f>'data cleaned'!E293*'data cleaned'!L293</f>
        <v>16.5</v>
      </c>
      <c r="N293" t="str">
        <f t="shared" si="8"/>
        <v>Excelsa</v>
      </c>
      <c r="O293" t="str">
        <f t="shared" si="9"/>
        <v>Medium</v>
      </c>
      <c r="P293" t="str">
        <f>_xlfn.XLOOKUP(worksheet[[#This Row],[Customer ID]],customers!$A$1:$A$1001,customers!$I$1:$I$1001,0)</f>
        <v>No</v>
      </c>
    </row>
    <row r="294" spans="1:16" x14ac:dyDescent="0.25">
      <c r="A294" s="2" t="s">
        <v>2137</v>
      </c>
      <c r="B294" s="4">
        <v>44529</v>
      </c>
      <c r="C294" s="2" t="s">
        <v>2138</v>
      </c>
      <c r="D294" t="s">
        <v>6158</v>
      </c>
      <c r="E294" s="2">
        <v>3</v>
      </c>
      <c r="F294" s="2" t="str">
        <f>_xlfn.XLOOKUP(C294,customers!$A$1:$A$1001,customers!$B$1:$B$1001,0)</f>
        <v>Isidore Hussey</v>
      </c>
      <c r="G294" s="2" t="s">
        <v>2140</v>
      </c>
      <c r="H294" s="2" t="str">
        <f>_xlfn.XLOOKUP(C294,customers!$A$1:$A$1001,customers!$G$1:$G$1001,0)</f>
        <v>United States</v>
      </c>
      <c r="I294" t="str">
        <f>_xlfn.XLOOKUP(D294,products!$A$1:$A$49,products!$B$1:$B$49,0)</f>
        <v>Ara</v>
      </c>
      <c r="J294" t="str">
        <f>_xlfn.XLOOKUP('data cleaned'!D294,products!$A$1:$A$49,products!$C$1:$C$49,0)</f>
        <v>D</v>
      </c>
      <c r="K294" s="5">
        <f>_xlfn.XLOOKUP('data cleaned'!D294,products!$A$1:$A$49,products!$D$1:$D$49,0)</f>
        <v>0.5</v>
      </c>
      <c r="L294" s="6">
        <f>_xlfn.XLOOKUP('data cleaned'!D294,products!$A$1:$A$49,products!$E$1:$E$49,0)</f>
        <v>5.97</v>
      </c>
      <c r="M294" s="6">
        <f>'data cleaned'!E294*'data cleaned'!L294</f>
        <v>17.91</v>
      </c>
      <c r="N294" t="str">
        <f t="shared" si="8"/>
        <v>Arabica</v>
      </c>
      <c r="O294" t="str">
        <f t="shared" si="9"/>
        <v>Dark</v>
      </c>
      <c r="P294" t="str">
        <f>_xlfn.XLOOKUP(worksheet[[#This Row],[Customer ID]],customers!$A$1:$A$1001,customers!$I$1:$I$1001,0)</f>
        <v>No</v>
      </c>
    </row>
    <row r="295" spans="1:16" x14ac:dyDescent="0.25">
      <c r="A295" s="2" t="s">
        <v>2142</v>
      </c>
      <c r="B295" s="4">
        <v>44275</v>
      </c>
      <c r="C295" s="2" t="s">
        <v>2143</v>
      </c>
      <c r="D295" t="s">
        <v>6158</v>
      </c>
      <c r="E295" s="2">
        <v>5</v>
      </c>
      <c r="F295" s="2" t="str">
        <f>_xlfn.XLOOKUP(C295,customers!$A$1:$A$1001,customers!$B$1:$B$1001,0)</f>
        <v>Cassie Pinkerton</v>
      </c>
      <c r="G295" s="2" t="s">
        <v>2145</v>
      </c>
      <c r="H295" s="2" t="str">
        <f>_xlfn.XLOOKUP(C295,customers!$A$1:$A$1001,customers!$G$1:$G$1001,0)</f>
        <v>United States</v>
      </c>
      <c r="I295" t="str">
        <f>_xlfn.XLOOKUP(D295,products!$A$1:$A$49,products!$B$1:$B$49,0)</f>
        <v>Ara</v>
      </c>
      <c r="J295" t="str">
        <f>_xlfn.XLOOKUP('data cleaned'!D295,products!$A$1:$A$49,products!$C$1:$C$49,0)</f>
        <v>D</v>
      </c>
      <c r="K295" s="5">
        <f>_xlfn.XLOOKUP('data cleaned'!D295,products!$A$1:$A$49,products!$D$1:$D$49,0)</f>
        <v>0.5</v>
      </c>
      <c r="L295" s="6">
        <f>_xlfn.XLOOKUP('data cleaned'!D295,products!$A$1:$A$49,products!$E$1:$E$49,0)</f>
        <v>5.97</v>
      </c>
      <c r="M295" s="6">
        <f>'data cleaned'!E295*'data cleaned'!L295</f>
        <v>29.849999999999998</v>
      </c>
      <c r="N295" t="str">
        <f t="shared" si="8"/>
        <v>Arabica</v>
      </c>
      <c r="O295" t="str">
        <f t="shared" si="9"/>
        <v>Dark</v>
      </c>
      <c r="P295" t="str">
        <f>_xlfn.XLOOKUP(worksheet[[#This Row],[Customer ID]],customers!$A$1:$A$1001,customers!$I$1:$I$1001,0)</f>
        <v>No</v>
      </c>
    </row>
    <row r="296" spans="1:16" x14ac:dyDescent="0.25">
      <c r="A296" s="2" t="s">
        <v>2148</v>
      </c>
      <c r="B296" s="4">
        <v>44659</v>
      </c>
      <c r="C296" s="2" t="s">
        <v>2149</v>
      </c>
      <c r="D296" t="s">
        <v>6171</v>
      </c>
      <c r="E296" s="2">
        <v>3</v>
      </c>
      <c r="F296" s="2" t="str">
        <f>_xlfn.XLOOKUP(C296,customers!$A$1:$A$1001,customers!$B$1:$B$1001,0)</f>
        <v>Micki Fero</v>
      </c>
      <c r="G296" s="2" t="s">
        <v>6222</v>
      </c>
      <c r="H296" s="2" t="str">
        <f>_xlfn.XLOOKUP(C296,customers!$A$1:$A$1001,customers!$G$1:$G$1001,0)</f>
        <v>United States</v>
      </c>
      <c r="I296" t="str">
        <f>_xlfn.XLOOKUP(D296,products!$A$1:$A$49,products!$B$1:$B$49,0)</f>
        <v>Exc</v>
      </c>
      <c r="J296" t="str">
        <f>_xlfn.XLOOKUP('data cleaned'!D296,products!$A$1:$A$49,products!$C$1:$C$49,0)</f>
        <v>L</v>
      </c>
      <c r="K296" s="5">
        <f>_xlfn.XLOOKUP('data cleaned'!D296,products!$A$1:$A$49,products!$D$1:$D$49,0)</f>
        <v>1</v>
      </c>
      <c r="L296" s="6">
        <f>_xlfn.XLOOKUP('data cleaned'!D296,products!$A$1:$A$49,products!$E$1:$E$49,0)</f>
        <v>14.85</v>
      </c>
      <c r="M296" s="6">
        <f>'data cleaned'!E296*'data cleaned'!L296</f>
        <v>44.55</v>
      </c>
      <c r="N296" t="str">
        <f t="shared" si="8"/>
        <v>Excelsa</v>
      </c>
      <c r="O296" t="str">
        <f t="shared" si="9"/>
        <v>Light</v>
      </c>
      <c r="P296" t="str">
        <f>_xlfn.XLOOKUP(worksheet[[#This Row],[Customer ID]],customers!$A$1:$A$1001,customers!$I$1:$I$1001,0)</f>
        <v>No</v>
      </c>
    </row>
    <row r="297" spans="1:16" x14ac:dyDescent="0.25">
      <c r="A297" s="2" t="s">
        <v>2153</v>
      </c>
      <c r="B297" s="4">
        <v>44057</v>
      </c>
      <c r="C297" s="2" t="s">
        <v>2154</v>
      </c>
      <c r="D297" t="s">
        <v>6141</v>
      </c>
      <c r="E297" s="2">
        <v>2</v>
      </c>
      <c r="F297" s="2" t="str">
        <f>_xlfn.XLOOKUP(C297,customers!$A$1:$A$1001,customers!$B$1:$B$1001,0)</f>
        <v>Cybill Graddell</v>
      </c>
      <c r="G297" s="2" t="s">
        <v>6222</v>
      </c>
      <c r="H297" s="2" t="str">
        <f>_xlfn.XLOOKUP(C297,customers!$A$1:$A$1001,customers!$G$1:$G$1001,0)</f>
        <v>United States</v>
      </c>
      <c r="I297" t="str">
        <f>_xlfn.XLOOKUP(D297,products!$A$1:$A$49,products!$B$1:$B$49,0)</f>
        <v>Exc</v>
      </c>
      <c r="J297" t="str">
        <f>_xlfn.XLOOKUP('data cleaned'!D297,products!$A$1:$A$49,products!$C$1:$C$49,0)</f>
        <v>M</v>
      </c>
      <c r="K297" s="5">
        <f>_xlfn.XLOOKUP('data cleaned'!D297,products!$A$1:$A$49,products!$D$1:$D$49,0)</f>
        <v>1</v>
      </c>
      <c r="L297" s="6">
        <f>_xlfn.XLOOKUP('data cleaned'!D297,products!$A$1:$A$49,products!$E$1:$E$49,0)</f>
        <v>13.75</v>
      </c>
      <c r="M297" s="6">
        <f>'data cleaned'!E297*'data cleaned'!L297</f>
        <v>27.5</v>
      </c>
      <c r="N297" t="str">
        <f t="shared" si="8"/>
        <v>Excelsa</v>
      </c>
      <c r="O297" t="str">
        <f t="shared" si="9"/>
        <v>Medium</v>
      </c>
      <c r="P297" t="str">
        <f>_xlfn.XLOOKUP(worksheet[[#This Row],[Customer ID]],customers!$A$1:$A$1001,customers!$I$1:$I$1001,0)</f>
        <v>No</v>
      </c>
    </row>
    <row r="298" spans="1:16" x14ac:dyDescent="0.25">
      <c r="A298" s="2" t="s">
        <v>2157</v>
      </c>
      <c r="B298" s="4">
        <v>43597</v>
      </c>
      <c r="C298" s="2" t="s">
        <v>2158</v>
      </c>
      <c r="D298" t="s">
        <v>6146</v>
      </c>
      <c r="E298" s="2">
        <v>6</v>
      </c>
      <c r="F298" s="2" t="str">
        <f>_xlfn.XLOOKUP(C298,customers!$A$1:$A$1001,customers!$B$1:$B$1001,0)</f>
        <v>Dorian Vizor</v>
      </c>
      <c r="G298" s="2" t="s">
        <v>2160</v>
      </c>
      <c r="H298" s="2" t="str">
        <f>_xlfn.XLOOKUP(C298,customers!$A$1:$A$1001,customers!$G$1:$G$1001,0)</f>
        <v>United States</v>
      </c>
      <c r="I298" t="str">
        <f>_xlfn.XLOOKUP(D298,products!$A$1:$A$49,products!$B$1:$B$49,0)</f>
        <v>Rob</v>
      </c>
      <c r="J298" t="str">
        <f>_xlfn.XLOOKUP('data cleaned'!D298,products!$A$1:$A$49,products!$C$1:$C$49,0)</f>
        <v>M</v>
      </c>
      <c r="K298" s="5">
        <f>_xlfn.XLOOKUP('data cleaned'!D298,products!$A$1:$A$49,products!$D$1:$D$49,0)</f>
        <v>0.5</v>
      </c>
      <c r="L298" s="6">
        <f>_xlfn.XLOOKUP('data cleaned'!D298,products!$A$1:$A$49,products!$E$1:$E$49,0)</f>
        <v>5.97</v>
      </c>
      <c r="M298" s="6">
        <f>'data cleaned'!E298*'data cleaned'!L298</f>
        <v>35.82</v>
      </c>
      <c r="N298" t="str">
        <f t="shared" si="8"/>
        <v>Robusta</v>
      </c>
      <c r="O298" t="str">
        <f t="shared" si="9"/>
        <v>Medium</v>
      </c>
      <c r="P298" t="str">
        <f>_xlfn.XLOOKUP(worksheet[[#This Row],[Customer ID]],customers!$A$1:$A$1001,customers!$I$1:$I$1001,0)</f>
        <v>Yes</v>
      </c>
    </row>
    <row r="299" spans="1:16" x14ac:dyDescent="0.25">
      <c r="A299" s="2" t="s">
        <v>2163</v>
      </c>
      <c r="B299" s="4">
        <v>44258</v>
      </c>
      <c r="C299" s="2" t="s">
        <v>2164</v>
      </c>
      <c r="D299" t="s">
        <v>6172</v>
      </c>
      <c r="E299" s="2">
        <v>3</v>
      </c>
      <c r="F299" s="2" t="str">
        <f>_xlfn.XLOOKUP(C299,customers!$A$1:$A$1001,customers!$B$1:$B$1001,0)</f>
        <v>Eddi Sedgebeer</v>
      </c>
      <c r="G299" s="2" t="s">
        <v>2166</v>
      </c>
      <c r="H299" s="2" t="str">
        <f>_xlfn.XLOOKUP(C299,customers!$A$1:$A$1001,customers!$G$1:$G$1001,0)</f>
        <v>United States</v>
      </c>
      <c r="I299" t="str">
        <f>_xlfn.XLOOKUP(D299,products!$A$1:$A$49,products!$B$1:$B$49,0)</f>
        <v>Rob</v>
      </c>
      <c r="J299" t="str">
        <f>_xlfn.XLOOKUP('data cleaned'!D299,products!$A$1:$A$49,products!$C$1:$C$49,0)</f>
        <v>D</v>
      </c>
      <c r="K299" s="5">
        <f>_xlfn.XLOOKUP('data cleaned'!D299,products!$A$1:$A$49,products!$D$1:$D$49,0)</f>
        <v>0.5</v>
      </c>
      <c r="L299" s="6">
        <f>_xlfn.XLOOKUP('data cleaned'!D299,products!$A$1:$A$49,products!$E$1:$E$49,0)</f>
        <v>5.3699999999999992</v>
      </c>
      <c r="M299" s="6">
        <f>'data cleaned'!E299*'data cleaned'!L299</f>
        <v>16.11</v>
      </c>
      <c r="N299" t="str">
        <f t="shared" si="8"/>
        <v>Robusta</v>
      </c>
      <c r="O299" t="str">
        <f t="shared" si="9"/>
        <v>Dark</v>
      </c>
      <c r="P299" t="str">
        <f>_xlfn.XLOOKUP(worksheet[[#This Row],[Customer ID]],customers!$A$1:$A$1001,customers!$I$1:$I$1001,0)</f>
        <v>Yes</v>
      </c>
    </row>
    <row r="300" spans="1:16" x14ac:dyDescent="0.25">
      <c r="A300" s="2" t="s">
        <v>2169</v>
      </c>
      <c r="B300" s="4">
        <v>43872</v>
      </c>
      <c r="C300" s="2" t="s">
        <v>2170</v>
      </c>
      <c r="D300" t="s">
        <v>6184</v>
      </c>
      <c r="E300" s="2">
        <v>6</v>
      </c>
      <c r="F300" s="2" t="str">
        <f>_xlfn.XLOOKUP(C300,customers!$A$1:$A$1001,customers!$B$1:$B$1001,0)</f>
        <v>Ken Lestrange</v>
      </c>
      <c r="G300" s="2" t="s">
        <v>2172</v>
      </c>
      <c r="H300" s="2" t="str">
        <f>_xlfn.XLOOKUP(C300,customers!$A$1:$A$1001,customers!$G$1:$G$1001,0)</f>
        <v>United States</v>
      </c>
      <c r="I300" t="str">
        <f>_xlfn.XLOOKUP(D300,products!$A$1:$A$49,products!$B$1:$B$49,0)</f>
        <v>Exc</v>
      </c>
      <c r="J300" t="str">
        <f>_xlfn.XLOOKUP('data cleaned'!D300,products!$A$1:$A$49,products!$C$1:$C$49,0)</f>
        <v>L</v>
      </c>
      <c r="K300" s="5">
        <f>_xlfn.XLOOKUP('data cleaned'!D300,products!$A$1:$A$49,products!$D$1:$D$49,0)</f>
        <v>0.2</v>
      </c>
      <c r="L300" s="6">
        <f>_xlfn.XLOOKUP('data cleaned'!D300,products!$A$1:$A$49,products!$E$1:$E$49,0)</f>
        <v>4.4550000000000001</v>
      </c>
      <c r="M300" s="6">
        <f>'data cleaned'!E300*'data cleaned'!L300</f>
        <v>26.73</v>
      </c>
      <c r="N300" t="str">
        <f t="shared" si="8"/>
        <v>Excelsa</v>
      </c>
      <c r="O300" t="str">
        <f t="shared" si="9"/>
        <v>Light</v>
      </c>
      <c r="P300" t="str">
        <f>_xlfn.XLOOKUP(worksheet[[#This Row],[Customer ID]],customers!$A$1:$A$1001,customers!$I$1:$I$1001,0)</f>
        <v>Yes</v>
      </c>
    </row>
    <row r="301" spans="1:16" x14ac:dyDescent="0.25">
      <c r="A301" s="2" t="s">
        <v>2175</v>
      </c>
      <c r="B301" s="4">
        <v>43582</v>
      </c>
      <c r="C301" s="2" t="s">
        <v>2176</v>
      </c>
      <c r="D301" t="s">
        <v>6148</v>
      </c>
      <c r="E301" s="2">
        <v>6</v>
      </c>
      <c r="F301" s="2" t="str">
        <f>_xlfn.XLOOKUP(C301,customers!$A$1:$A$1001,customers!$B$1:$B$1001,0)</f>
        <v>Lacee Tanti</v>
      </c>
      <c r="G301" s="2" t="s">
        <v>2178</v>
      </c>
      <c r="H301" s="2" t="str">
        <f>_xlfn.XLOOKUP(C301,customers!$A$1:$A$1001,customers!$G$1:$G$1001,0)</f>
        <v>United States</v>
      </c>
      <c r="I301" t="str">
        <f>_xlfn.XLOOKUP(D301,products!$A$1:$A$49,products!$B$1:$B$49,0)</f>
        <v>Exc</v>
      </c>
      <c r="J301" t="str">
        <f>_xlfn.XLOOKUP('data cleaned'!D301,products!$A$1:$A$49,products!$C$1:$C$49,0)</f>
        <v>L</v>
      </c>
      <c r="K301" s="5">
        <f>_xlfn.XLOOKUP('data cleaned'!D301,products!$A$1:$A$49,products!$D$1:$D$49,0)</f>
        <v>2.5</v>
      </c>
      <c r="L301" s="6">
        <f>_xlfn.XLOOKUP('data cleaned'!D301,products!$A$1:$A$49,products!$E$1:$E$49,0)</f>
        <v>34.154999999999994</v>
      </c>
      <c r="M301" s="6">
        <f>'data cleaned'!E301*'data cleaned'!L301</f>
        <v>204.92999999999995</v>
      </c>
      <c r="N301" t="str">
        <f t="shared" si="8"/>
        <v>Excelsa</v>
      </c>
      <c r="O301" t="str">
        <f t="shared" si="9"/>
        <v>Light</v>
      </c>
      <c r="P301" t="str">
        <f>_xlfn.XLOOKUP(worksheet[[#This Row],[Customer ID]],customers!$A$1:$A$1001,customers!$I$1:$I$1001,0)</f>
        <v>Yes</v>
      </c>
    </row>
    <row r="302" spans="1:16" x14ac:dyDescent="0.25">
      <c r="A302" s="2" t="s">
        <v>2181</v>
      </c>
      <c r="B302" s="4">
        <v>44646</v>
      </c>
      <c r="C302" s="2" t="s">
        <v>2182</v>
      </c>
      <c r="D302" t="s">
        <v>6140</v>
      </c>
      <c r="E302" s="2">
        <v>3</v>
      </c>
      <c r="F302" s="2" t="str">
        <f>_xlfn.XLOOKUP(C302,customers!$A$1:$A$1001,customers!$B$1:$B$1001,0)</f>
        <v>Arel De Lasci</v>
      </c>
      <c r="G302" s="2" t="s">
        <v>2184</v>
      </c>
      <c r="H302" s="2" t="str">
        <f>_xlfn.XLOOKUP(C302,customers!$A$1:$A$1001,customers!$G$1:$G$1001,0)</f>
        <v>United States</v>
      </c>
      <c r="I302" t="str">
        <f>_xlfn.XLOOKUP(D302,products!$A$1:$A$49,products!$B$1:$B$49,0)</f>
        <v>Ara</v>
      </c>
      <c r="J302" t="str">
        <f>_xlfn.XLOOKUP('data cleaned'!D302,products!$A$1:$A$49,products!$C$1:$C$49,0)</f>
        <v>L</v>
      </c>
      <c r="K302" s="5">
        <f>_xlfn.XLOOKUP('data cleaned'!D302,products!$A$1:$A$49,products!$D$1:$D$49,0)</f>
        <v>1</v>
      </c>
      <c r="L302" s="6">
        <f>_xlfn.XLOOKUP('data cleaned'!D302,products!$A$1:$A$49,products!$E$1:$E$49,0)</f>
        <v>12.95</v>
      </c>
      <c r="M302" s="6">
        <f>'data cleaned'!E302*'data cleaned'!L302</f>
        <v>38.849999999999994</v>
      </c>
      <c r="N302" t="str">
        <f t="shared" si="8"/>
        <v>Arabica</v>
      </c>
      <c r="O302" t="str">
        <f t="shared" si="9"/>
        <v>Light</v>
      </c>
      <c r="P302" t="str">
        <f>_xlfn.XLOOKUP(worksheet[[#This Row],[Customer ID]],customers!$A$1:$A$1001,customers!$I$1:$I$1001,0)</f>
        <v>Yes</v>
      </c>
    </row>
    <row r="303" spans="1:16" x14ac:dyDescent="0.25">
      <c r="A303" s="2" t="s">
        <v>2187</v>
      </c>
      <c r="B303" s="4">
        <v>44102</v>
      </c>
      <c r="C303" s="2" t="s">
        <v>2188</v>
      </c>
      <c r="D303" t="s">
        <v>6150</v>
      </c>
      <c r="E303" s="2">
        <v>4</v>
      </c>
      <c r="F303" s="2" t="str">
        <f>_xlfn.XLOOKUP(C303,customers!$A$1:$A$1001,customers!$B$1:$B$1001,0)</f>
        <v>Trescha Jedrachowicz</v>
      </c>
      <c r="G303" s="2" t="s">
        <v>2190</v>
      </c>
      <c r="H303" s="2" t="str">
        <f>_xlfn.XLOOKUP(C303,customers!$A$1:$A$1001,customers!$G$1:$G$1001,0)</f>
        <v>United States</v>
      </c>
      <c r="I303" t="str">
        <f>_xlfn.XLOOKUP(D303,products!$A$1:$A$49,products!$B$1:$B$49,0)</f>
        <v>Lib</v>
      </c>
      <c r="J303" t="str">
        <f>_xlfn.XLOOKUP('data cleaned'!D303,products!$A$1:$A$49,products!$C$1:$C$49,0)</f>
        <v>D</v>
      </c>
      <c r="K303" s="5">
        <f>_xlfn.XLOOKUP('data cleaned'!D303,products!$A$1:$A$49,products!$D$1:$D$49,0)</f>
        <v>0.2</v>
      </c>
      <c r="L303" s="6">
        <f>_xlfn.XLOOKUP('data cleaned'!D303,products!$A$1:$A$49,products!$E$1:$E$49,0)</f>
        <v>3.8849999999999998</v>
      </c>
      <c r="M303" s="6">
        <f>'data cleaned'!E303*'data cleaned'!L303</f>
        <v>15.54</v>
      </c>
      <c r="N303" t="str">
        <f t="shared" si="8"/>
        <v>Liberica</v>
      </c>
      <c r="O303" t="str">
        <f t="shared" si="9"/>
        <v>Dark</v>
      </c>
      <c r="P303" t="str">
        <f>_xlfn.XLOOKUP(worksheet[[#This Row],[Customer ID]],customers!$A$1:$A$1001,customers!$I$1:$I$1001,0)</f>
        <v>Yes</v>
      </c>
    </row>
    <row r="304" spans="1:16" x14ac:dyDescent="0.25">
      <c r="A304" s="2" t="s">
        <v>2193</v>
      </c>
      <c r="B304" s="4">
        <v>43762</v>
      </c>
      <c r="C304" s="2" t="s">
        <v>2194</v>
      </c>
      <c r="D304" t="s">
        <v>6157</v>
      </c>
      <c r="E304" s="2">
        <v>1</v>
      </c>
      <c r="F304" s="2" t="str">
        <f>_xlfn.XLOOKUP(C304,customers!$A$1:$A$1001,customers!$B$1:$B$1001,0)</f>
        <v>Perkin Stonner</v>
      </c>
      <c r="G304" s="2" t="s">
        <v>2196</v>
      </c>
      <c r="H304" s="2" t="str">
        <f>_xlfn.XLOOKUP(C304,customers!$A$1:$A$1001,customers!$G$1:$G$1001,0)</f>
        <v>United States</v>
      </c>
      <c r="I304" t="str">
        <f>_xlfn.XLOOKUP(D304,products!$A$1:$A$49,products!$B$1:$B$49,0)</f>
        <v>Ara</v>
      </c>
      <c r="J304" t="str">
        <f>_xlfn.XLOOKUP('data cleaned'!D304,products!$A$1:$A$49,products!$C$1:$C$49,0)</f>
        <v>M</v>
      </c>
      <c r="K304" s="5">
        <f>_xlfn.XLOOKUP('data cleaned'!D304,products!$A$1:$A$49,products!$D$1:$D$49,0)</f>
        <v>0.5</v>
      </c>
      <c r="L304" s="6">
        <f>_xlfn.XLOOKUP('data cleaned'!D304,products!$A$1:$A$49,products!$E$1:$E$49,0)</f>
        <v>6.75</v>
      </c>
      <c r="M304" s="6">
        <f>'data cleaned'!E304*'data cleaned'!L304</f>
        <v>6.75</v>
      </c>
      <c r="N304" t="str">
        <f t="shared" si="8"/>
        <v>Arabica</v>
      </c>
      <c r="O304" t="str">
        <f t="shared" si="9"/>
        <v>Medium</v>
      </c>
      <c r="P304" t="str">
        <f>_xlfn.XLOOKUP(worksheet[[#This Row],[Customer ID]],customers!$A$1:$A$1001,customers!$I$1:$I$1001,0)</f>
        <v>No</v>
      </c>
    </row>
    <row r="305" spans="1:16" x14ac:dyDescent="0.25">
      <c r="A305" s="2" t="s">
        <v>2199</v>
      </c>
      <c r="B305" s="4">
        <v>44412</v>
      </c>
      <c r="C305" s="2" t="s">
        <v>2200</v>
      </c>
      <c r="D305" t="s">
        <v>6185</v>
      </c>
      <c r="E305" s="2">
        <v>4</v>
      </c>
      <c r="F305" s="2" t="str">
        <f>_xlfn.XLOOKUP(C305,customers!$A$1:$A$1001,customers!$B$1:$B$1001,0)</f>
        <v>Darrin Tingly</v>
      </c>
      <c r="G305" s="2" t="s">
        <v>2202</v>
      </c>
      <c r="H305" s="2" t="str">
        <f>_xlfn.XLOOKUP(C305,customers!$A$1:$A$1001,customers!$G$1:$G$1001,0)</f>
        <v>United States</v>
      </c>
      <c r="I305" t="str">
        <f>_xlfn.XLOOKUP(D305,products!$A$1:$A$49,products!$B$1:$B$49,0)</f>
        <v>Exc</v>
      </c>
      <c r="J305" t="str">
        <f>_xlfn.XLOOKUP('data cleaned'!D305,products!$A$1:$A$49,products!$C$1:$C$49,0)</f>
        <v>D</v>
      </c>
      <c r="K305" s="5">
        <f>_xlfn.XLOOKUP('data cleaned'!D305,products!$A$1:$A$49,products!$D$1:$D$49,0)</f>
        <v>2.5</v>
      </c>
      <c r="L305" s="6">
        <f>_xlfn.XLOOKUP('data cleaned'!D305,products!$A$1:$A$49,products!$E$1:$E$49,0)</f>
        <v>27.945</v>
      </c>
      <c r="M305" s="6">
        <f>'data cleaned'!E305*'data cleaned'!L305</f>
        <v>111.78</v>
      </c>
      <c r="N305" t="str">
        <f t="shared" si="8"/>
        <v>Excelsa</v>
      </c>
      <c r="O305" t="str">
        <f t="shared" si="9"/>
        <v>Dark</v>
      </c>
      <c r="P305" t="str">
        <f>_xlfn.XLOOKUP(worksheet[[#This Row],[Customer ID]],customers!$A$1:$A$1001,customers!$I$1:$I$1001,0)</f>
        <v>Yes</v>
      </c>
    </row>
    <row r="306" spans="1:16" x14ac:dyDescent="0.25">
      <c r="A306" s="2" t="s">
        <v>2204</v>
      </c>
      <c r="B306" s="4">
        <v>43828</v>
      </c>
      <c r="C306" s="2" t="s">
        <v>2245</v>
      </c>
      <c r="D306" t="s">
        <v>6167</v>
      </c>
      <c r="E306" s="2">
        <v>1</v>
      </c>
      <c r="F306" s="2" t="str">
        <f>_xlfn.XLOOKUP(C306,customers!$A$1:$A$1001,customers!$B$1:$B$1001,0)</f>
        <v>Claudetta Rushe</v>
      </c>
      <c r="G306" s="2" t="s">
        <v>2247</v>
      </c>
      <c r="H306" s="2" t="str">
        <f>_xlfn.XLOOKUP(C306,customers!$A$1:$A$1001,customers!$G$1:$G$1001,0)</f>
        <v>United States</v>
      </c>
      <c r="I306" t="str">
        <f>_xlfn.XLOOKUP(D306,products!$A$1:$A$49,products!$B$1:$B$49,0)</f>
        <v>Ara</v>
      </c>
      <c r="J306" t="str">
        <f>_xlfn.XLOOKUP('data cleaned'!D306,products!$A$1:$A$49,products!$C$1:$C$49,0)</f>
        <v>L</v>
      </c>
      <c r="K306" s="5">
        <f>_xlfn.XLOOKUP('data cleaned'!D306,products!$A$1:$A$49,products!$D$1:$D$49,0)</f>
        <v>0.2</v>
      </c>
      <c r="L306" s="6">
        <f>_xlfn.XLOOKUP('data cleaned'!D306,products!$A$1:$A$49,products!$E$1:$E$49,0)</f>
        <v>3.8849999999999998</v>
      </c>
      <c r="M306" s="6">
        <f>'data cleaned'!E306*'data cleaned'!L306</f>
        <v>3.8849999999999998</v>
      </c>
      <c r="N306" t="str">
        <f t="shared" si="8"/>
        <v>Arabica</v>
      </c>
      <c r="O306" t="str">
        <f t="shared" si="9"/>
        <v>Light</v>
      </c>
      <c r="P306" t="str">
        <f>_xlfn.XLOOKUP(worksheet[[#This Row],[Customer ID]],customers!$A$1:$A$1001,customers!$I$1:$I$1001,0)</f>
        <v>Yes</v>
      </c>
    </row>
    <row r="307" spans="1:16" x14ac:dyDescent="0.25">
      <c r="A307" s="2" t="s">
        <v>2209</v>
      </c>
      <c r="B307" s="4">
        <v>43796</v>
      </c>
      <c r="C307" s="2" t="s">
        <v>2210</v>
      </c>
      <c r="D307" t="s">
        <v>6159</v>
      </c>
      <c r="E307" s="2">
        <v>5</v>
      </c>
      <c r="F307" s="2" t="str">
        <f>_xlfn.XLOOKUP(C307,customers!$A$1:$A$1001,customers!$B$1:$B$1001,0)</f>
        <v>Benn Checci</v>
      </c>
      <c r="G307" s="2" t="s">
        <v>2212</v>
      </c>
      <c r="H307" s="2" t="str">
        <f>_xlfn.XLOOKUP(C307,customers!$A$1:$A$1001,customers!$G$1:$G$1001,0)</f>
        <v>United Kingdom</v>
      </c>
      <c r="I307" t="str">
        <f>_xlfn.XLOOKUP(D307,products!$A$1:$A$49,products!$B$1:$B$49,0)</f>
        <v>Lib</v>
      </c>
      <c r="J307" t="str">
        <f>_xlfn.XLOOKUP('data cleaned'!D307,products!$A$1:$A$49,products!$C$1:$C$49,0)</f>
        <v>M</v>
      </c>
      <c r="K307" s="5">
        <f>_xlfn.XLOOKUP('data cleaned'!D307,products!$A$1:$A$49,products!$D$1:$D$49,0)</f>
        <v>0.2</v>
      </c>
      <c r="L307" s="6">
        <f>_xlfn.XLOOKUP('data cleaned'!D307,products!$A$1:$A$49,products!$E$1:$E$49,0)</f>
        <v>4.3650000000000002</v>
      </c>
      <c r="M307" s="6">
        <f>'data cleaned'!E307*'data cleaned'!L307</f>
        <v>21.825000000000003</v>
      </c>
      <c r="N307" t="str">
        <f t="shared" si="8"/>
        <v>Liberica</v>
      </c>
      <c r="O307" t="str">
        <f t="shared" si="9"/>
        <v>Medium</v>
      </c>
      <c r="P307" t="str">
        <f>_xlfn.XLOOKUP(worksheet[[#This Row],[Customer ID]],customers!$A$1:$A$1001,customers!$I$1:$I$1001,0)</f>
        <v>No</v>
      </c>
    </row>
    <row r="308" spans="1:16" x14ac:dyDescent="0.25">
      <c r="A308" s="2" t="s">
        <v>2215</v>
      </c>
      <c r="B308" s="4">
        <v>43890</v>
      </c>
      <c r="C308" s="2" t="s">
        <v>2216</v>
      </c>
      <c r="D308" t="s">
        <v>6174</v>
      </c>
      <c r="E308" s="2">
        <v>5</v>
      </c>
      <c r="F308" s="2" t="str">
        <f>_xlfn.XLOOKUP(C308,customers!$A$1:$A$1001,customers!$B$1:$B$1001,0)</f>
        <v>Janifer Bagot</v>
      </c>
      <c r="G308" s="2" t="s">
        <v>2218</v>
      </c>
      <c r="H308" s="2" t="str">
        <f>_xlfn.XLOOKUP(C308,customers!$A$1:$A$1001,customers!$G$1:$G$1001,0)</f>
        <v>United States</v>
      </c>
      <c r="I308" t="str">
        <f>_xlfn.XLOOKUP(D308,products!$A$1:$A$49,products!$B$1:$B$49,0)</f>
        <v>Rob</v>
      </c>
      <c r="J308" t="str">
        <f>_xlfn.XLOOKUP('data cleaned'!D308,products!$A$1:$A$49,products!$C$1:$C$49,0)</f>
        <v>M</v>
      </c>
      <c r="K308" s="5">
        <f>_xlfn.XLOOKUP('data cleaned'!D308,products!$A$1:$A$49,products!$D$1:$D$49,0)</f>
        <v>0.2</v>
      </c>
      <c r="L308" s="6">
        <f>_xlfn.XLOOKUP('data cleaned'!D308,products!$A$1:$A$49,products!$E$1:$E$49,0)</f>
        <v>2.9849999999999999</v>
      </c>
      <c r="M308" s="6">
        <f>'data cleaned'!E308*'data cleaned'!L308</f>
        <v>14.924999999999999</v>
      </c>
      <c r="N308" t="str">
        <f t="shared" si="8"/>
        <v>Robusta</v>
      </c>
      <c r="O308" t="str">
        <f t="shared" si="9"/>
        <v>Medium</v>
      </c>
      <c r="P308" t="str">
        <f>_xlfn.XLOOKUP(worksheet[[#This Row],[Customer ID]],customers!$A$1:$A$1001,customers!$I$1:$I$1001,0)</f>
        <v>No</v>
      </c>
    </row>
    <row r="309" spans="1:16" x14ac:dyDescent="0.25">
      <c r="A309" s="2" t="s">
        <v>2221</v>
      </c>
      <c r="B309" s="4">
        <v>44227</v>
      </c>
      <c r="C309" s="2" t="s">
        <v>2222</v>
      </c>
      <c r="D309" t="s">
        <v>6155</v>
      </c>
      <c r="E309" s="2">
        <v>3</v>
      </c>
      <c r="F309" s="2" t="str">
        <f>_xlfn.XLOOKUP(C309,customers!$A$1:$A$1001,customers!$B$1:$B$1001,0)</f>
        <v>Ermin Beeble</v>
      </c>
      <c r="G309" s="2" t="s">
        <v>2224</v>
      </c>
      <c r="H309" s="2" t="str">
        <f>_xlfn.XLOOKUP(C309,customers!$A$1:$A$1001,customers!$G$1:$G$1001,0)</f>
        <v>United States</v>
      </c>
      <c r="I309" t="str">
        <f>_xlfn.XLOOKUP(D309,products!$A$1:$A$49,products!$B$1:$B$49,0)</f>
        <v>Ara</v>
      </c>
      <c r="J309" t="str">
        <f>_xlfn.XLOOKUP('data cleaned'!D309,products!$A$1:$A$49,products!$C$1:$C$49,0)</f>
        <v>M</v>
      </c>
      <c r="K309" s="5">
        <f>_xlfn.XLOOKUP('data cleaned'!D309,products!$A$1:$A$49,products!$D$1:$D$49,0)</f>
        <v>1</v>
      </c>
      <c r="L309" s="6">
        <f>_xlfn.XLOOKUP('data cleaned'!D309,products!$A$1:$A$49,products!$E$1:$E$49,0)</f>
        <v>11.25</v>
      </c>
      <c r="M309" s="6">
        <f>'data cleaned'!E309*'data cleaned'!L309</f>
        <v>33.75</v>
      </c>
      <c r="N309" t="str">
        <f t="shared" si="8"/>
        <v>Arabica</v>
      </c>
      <c r="O309" t="str">
        <f t="shared" si="9"/>
        <v>Medium</v>
      </c>
      <c r="P309" t="str">
        <f>_xlfn.XLOOKUP(worksheet[[#This Row],[Customer ID]],customers!$A$1:$A$1001,customers!$I$1:$I$1001,0)</f>
        <v>Yes</v>
      </c>
    </row>
    <row r="310" spans="1:16" x14ac:dyDescent="0.25">
      <c r="A310" s="2" t="s">
        <v>2227</v>
      </c>
      <c r="B310" s="4">
        <v>44729</v>
      </c>
      <c r="C310" s="2" t="s">
        <v>2228</v>
      </c>
      <c r="D310" t="s">
        <v>6155</v>
      </c>
      <c r="E310" s="2">
        <v>3</v>
      </c>
      <c r="F310" s="2" t="str">
        <f>_xlfn.XLOOKUP(C310,customers!$A$1:$A$1001,customers!$B$1:$B$1001,0)</f>
        <v>Cos Fluin</v>
      </c>
      <c r="G310" s="2" t="s">
        <v>2230</v>
      </c>
      <c r="H310" s="2" t="str">
        <f>_xlfn.XLOOKUP(C310,customers!$A$1:$A$1001,customers!$G$1:$G$1001,0)</f>
        <v>United Kingdom</v>
      </c>
      <c r="I310" t="str">
        <f>_xlfn.XLOOKUP(D310,products!$A$1:$A$49,products!$B$1:$B$49,0)</f>
        <v>Ara</v>
      </c>
      <c r="J310" t="str">
        <f>_xlfn.XLOOKUP('data cleaned'!D310,products!$A$1:$A$49,products!$C$1:$C$49,0)</f>
        <v>M</v>
      </c>
      <c r="K310" s="5">
        <f>_xlfn.XLOOKUP('data cleaned'!D310,products!$A$1:$A$49,products!$D$1:$D$49,0)</f>
        <v>1</v>
      </c>
      <c r="L310" s="6">
        <f>_xlfn.XLOOKUP('data cleaned'!D310,products!$A$1:$A$49,products!$E$1:$E$49,0)</f>
        <v>11.25</v>
      </c>
      <c r="M310" s="6">
        <f>'data cleaned'!E310*'data cleaned'!L310</f>
        <v>33.75</v>
      </c>
      <c r="N310" t="str">
        <f t="shared" si="8"/>
        <v>Arabica</v>
      </c>
      <c r="O310" t="str">
        <f t="shared" si="9"/>
        <v>Medium</v>
      </c>
      <c r="P310" t="str">
        <f>_xlfn.XLOOKUP(worksheet[[#This Row],[Customer ID]],customers!$A$1:$A$1001,customers!$I$1:$I$1001,0)</f>
        <v>No</v>
      </c>
    </row>
    <row r="311" spans="1:16" x14ac:dyDescent="0.25">
      <c r="A311" s="2" t="s">
        <v>2232</v>
      </c>
      <c r="B311" s="4">
        <v>43864</v>
      </c>
      <c r="C311" s="2" t="s">
        <v>2233</v>
      </c>
      <c r="D311" t="s">
        <v>6159</v>
      </c>
      <c r="E311" s="2">
        <v>6</v>
      </c>
      <c r="F311" s="2" t="str">
        <f>_xlfn.XLOOKUP(C311,customers!$A$1:$A$1001,customers!$B$1:$B$1001,0)</f>
        <v>Eveleen Bletsor</v>
      </c>
      <c r="G311" s="2" t="s">
        <v>2235</v>
      </c>
      <c r="H311" s="2" t="str">
        <f>_xlfn.XLOOKUP(C311,customers!$A$1:$A$1001,customers!$G$1:$G$1001,0)</f>
        <v>United States</v>
      </c>
      <c r="I311" t="str">
        <f>_xlfn.XLOOKUP(D311,products!$A$1:$A$49,products!$B$1:$B$49,0)</f>
        <v>Lib</v>
      </c>
      <c r="J311" t="str">
        <f>_xlfn.XLOOKUP('data cleaned'!D311,products!$A$1:$A$49,products!$C$1:$C$49,0)</f>
        <v>M</v>
      </c>
      <c r="K311" s="5">
        <f>_xlfn.XLOOKUP('data cleaned'!D311,products!$A$1:$A$49,products!$D$1:$D$49,0)</f>
        <v>0.2</v>
      </c>
      <c r="L311" s="6">
        <f>_xlfn.XLOOKUP('data cleaned'!D311,products!$A$1:$A$49,products!$E$1:$E$49,0)</f>
        <v>4.3650000000000002</v>
      </c>
      <c r="M311" s="6">
        <f>'data cleaned'!E311*'data cleaned'!L311</f>
        <v>26.19</v>
      </c>
      <c r="N311" t="str">
        <f t="shared" si="8"/>
        <v>Liberica</v>
      </c>
      <c r="O311" t="str">
        <f t="shared" si="9"/>
        <v>Medium</v>
      </c>
      <c r="P311" t="str">
        <f>_xlfn.XLOOKUP(worksheet[[#This Row],[Customer ID]],customers!$A$1:$A$1001,customers!$I$1:$I$1001,0)</f>
        <v>Yes</v>
      </c>
    </row>
    <row r="312" spans="1:16" x14ac:dyDescent="0.25">
      <c r="A312" s="2" t="s">
        <v>2238</v>
      </c>
      <c r="B312" s="4">
        <v>44586</v>
      </c>
      <c r="C312" s="2" t="s">
        <v>2239</v>
      </c>
      <c r="D312" t="s">
        <v>6171</v>
      </c>
      <c r="E312" s="2">
        <v>1</v>
      </c>
      <c r="F312" s="2" t="str">
        <f>_xlfn.XLOOKUP(C312,customers!$A$1:$A$1001,customers!$B$1:$B$1001,0)</f>
        <v>Paola Brydell</v>
      </c>
      <c r="G312" s="2" t="s">
        <v>2241</v>
      </c>
      <c r="H312" s="2" t="str">
        <f>_xlfn.XLOOKUP(C312,customers!$A$1:$A$1001,customers!$G$1:$G$1001,0)</f>
        <v>Ireland</v>
      </c>
      <c r="I312" t="str">
        <f>_xlfn.XLOOKUP(D312,products!$A$1:$A$49,products!$B$1:$B$49,0)</f>
        <v>Exc</v>
      </c>
      <c r="J312" t="str">
        <f>_xlfn.XLOOKUP('data cleaned'!D312,products!$A$1:$A$49,products!$C$1:$C$49,0)</f>
        <v>L</v>
      </c>
      <c r="K312" s="5">
        <f>_xlfn.XLOOKUP('data cleaned'!D312,products!$A$1:$A$49,products!$D$1:$D$49,0)</f>
        <v>1</v>
      </c>
      <c r="L312" s="6">
        <f>_xlfn.XLOOKUP('data cleaned'!D312,products!$A$1:$A$49,products!$E$1:$E$49,0)</f>
        <v>14.85</v>
      </c>
      <c r="M312" s="6">
        <f>'data cleaned'!E312*'data cleaned'!L312</f>
        <v>14.85</v>
      </c>
      <c r="N312" t="str">
        <f t="shared" si="8"/>
        <v>Excelsa</v>
      </c>
      <c r="O312" t="str">
        <f t="shared" si="9"/>
        <v>Light</v>
      </c>
      <c r="P312" t="str">
        <f>_xlfn.XLOOKUP(worksheet[[#This Row],[Customer ID]],customers!$A$1:$A$1001,customers!$I$1:$I$1001,0)</f>
        <v>No</v>
      </c>
    </row>
    <row r="313" spans="1:16" x14ac:dyDescent="0.25">
      <c r="A313" s="2" t="s">
        <v>2244</v>
      </c>
      <c r="B313" s="4">
        <v>43951</v>
      </c>
      <c r="C313" s="2" t="s">
        <v>2245</v>
      </c>
      <c r="D313" t="s">
        <v>6166</v>
      </c>
      <c r="E313" s="2">
        <v>6</v>
      </c>
      <c r="F313" s="2" t="str">
        <f>_xlfn.XLOOKUP(C313,customers!$A$1:$A$1001,customers!$B$1:$B$1001,0)</f>
        <v>Claudetta Rushe</v>
      </c>
      <c r="G313" s="2" t="s">
        <v>2247</v>
      </c>
      <c r="H313" s="2" t="str">
        <f>_xlfn.XLOOKUP(C313,customers!$A$1:$A$1001,customers!$G$1:$G$1001,0)</f>
        <v>United States</v>
      </c>
      <c r="I313" t="str">
        <f>_xlfn.XLOOKUP(D313,products!$A$1:$A$49,products!$B$1:$B$49,0)</f>
        <v>Exc</v>
      </c>
      <c r="J313" t="str">
        <f>_xlfn.XLOOKUP('data cleaned'!D313,products!$A$1:$A$49,products!$C$1:$C$49,0)</f>
        <v>M</v>
      </c>
      <c r="K313" s="5">
        <f>_xlfn.XLOOKUP('data cleaned'!D313,products!$A$1:$A$49,products!$D$1:$D$49,0)</f>
        <v>2.5</v>
      </c>
      <c r="L313" s="6">
        <f>_xlfn.XLOOKUP('data cleaned'!D313,products!$A$1:$A$49,products!$E$1:$E$49,0)</f>
        <v>31.624999999999996</v>
      </c>
      <c r="M313" s="6">
        <f>'data cleaned'!E313*'data cleaned'!L313</f>
        <v>189.74999999999997</v>
      </c>
      <c r="N313" t="str">
        <f t="shared" si="8"/>
        <v>Excelsa</v>
      </c>
      <c r="O313" t="str">
        <f t="shared" si="9"/>
        <v>Medium</v>
      </c>
      <c r="P313" t="str">
        <f>_xlfn.XLOOKUP(worksheet[[#This Row],[Customer ID]],customers!$A$1:$A$1001,customers!$I$1:$I$1001,0)</f>
        <v>Yes</v>
      </c>
    </row>
    <row r="314" spans="1:16" x14ac:dyDescent="0.25">
      <c r="A314" s="2" t="s">
        <v>2250</v>
      </c>
      <c r="B314" s="4">
        <v>44317</v>
      </c>
      <c r="C314" s="2" t="s">
        <v>2251</v>
      </c>
      <c r="D314" t="s">
        <v>6146</v>
      </c>
      <c r="E314" s="2">
        <v>1</v>
      </c>
      <c r="F314" s="2" t="str">
        <f>_xlfn.XLOOKUP(C314,customers!$A$1:$A$1001,customers!$B$1:$B$1001,0)</f>
        <v>Natka Leethem</v>
      </c>
      <c r="G314" s="2" t="s">
        <v>2253</v>
      </c>
      <c r="H314" s="2" t="str">
        <f>_xlfn.XLOOKUP(C314,customers!$A$1:$A$1001,customers!$G$1:$G$1001,0)</f>
        <v>United States</v>
      </c>
      <c r="I314" t="str">
        <f>_xlfn.XLOOKUP(D314,products!$A$1:$A$49,products!$B$1:$B$49,0)</f>
        <v>Rob</v>
      </c>
      <c r="J314" t="str">
        <f>_xlfn.XLOOKUP('data cleaned'!D314,products!$A$1:$A$49,products!$C$1:$C$49,0)</f>
        <v>M</v>
      </c>
      <c r="K314" s="5">
        <f>_xlfn.XLOOKUP('data cleaned'!D314,products!$A$1:$A$49,products!$D$1:$D$49,0)</f>
        <v>0.5</v>
      </c>
      <c r="L314" s="6">
        <f>_xlfn.XLOOKUP('data cleaned'!D314,products!$A$1:$A$49,products!$E$1:$E$49,0)</f>
        <v>5.97</v>
      </c>
      <c r="M314" s="6">
        <f>'data cleaned'!E314*'data cleaned'!L314</f>
        <v>5.97</v>
      </c>
      <c r="N314" t="str">
        <f t="shared" si="8"/>
        <v>Robusta</v>
      </c>
      <c r="O314" t="str">
        <f t="shared" si="9"/>
        <v>Medium</v>
      </c>
      <c r="P314" t="str">
        <f>_xlfn.XLOOKUP(worksheet[[#This Row],[Customer ID]],customers!$A$1:$A$1001,customers!$I$1:$I$1001,0)</f>
        <v>Yes</v>
      </c>
    </row>
    <row r="315" spans="1:16" x14ac:dyDescent="0.25">
      <c r="A315" s="2" t="s">
        <v>2256</v>
      </c>
      <c r="B315" s="4">
        <v>44497</v>
      </c>
      <c r="C315" s="2" t="s">
        <v>2257</v>
      </c>
      <c r="D315" t="s">
        <v>6138</v>
      </c>
      <c r="E315" s="2">
        <v>3</v>
      </c>
      <c r="F315" s="2" t="str">
        <f>_xlfn.XLOOKUP(C315,customers!$A$1:$A$1001,customers!$B$1:$B$1001,0)</f>
        <v>Ailene Nesfield</v>
      </c>
      <c r="G315" s="2" t="s">
        <v>2259</v>
      </c>
      <c r="H315" s="2" t="str">
        <f>_xlfn.XLOOKUP(C315,customers!$A$1:$A$1001,customers!$G$1:$G$1001,0)</f>
        <v>United Kingdom</v>
      </c>
      <c r="I315" t="str">
        <f>_xlfn.XLOOKUP(D315,products!$A$1:$A$49,products!$B$1:$B$49,0)</f>
        <v>Rob</v>
      </c>
      <c r="J315" t="str">
        <f>_xlfn.XLOOKUP('data cleaned'!D315,products!$A$1:$A$49,products!$C$1:$C$49,0)</f>
        <v>M</v>
      </c>
      <c r="K315" s="5">
        <f>_xlfn.XLOOKUP('data cleaned'!D315,products!$A$1:$A$49,products!$D$1:$D$49,0)</f>
        <v>1</v>
      </c>
      <c r="L315" s="6">
        <f>_xlfn.XLOOKUP('data cleaned'!D315,products!$A$1:$A$49,products!$E$1:$E$49,0)</f>
        <v>9.9499999999999993</v>
      </c>
      <c r="M315" s="6">
        <f>'data cleaned'!E315*'data cleaned'!L315</f>
        <v>29.849999999999998</v>
      </c>
      <c r="N315" t="str">
        <f t="shared" si="8"/>
        <v>Robusta</v>
      </c>
      <c r="O315" t="str">
        <f t="shared" si="9"/>
        <v>Medium</v>
      </c>
      <c r="P315" t="str">
        <f>_xlfn.XLOOKUP(worksheet[[#This Row],[Customer ID]],customers!$A$1:$A$1001,customers!$I$1:$I$1001,0)</f>
        <v>Yes</v>
      </c>
    </row>
    <row r="316" spans="1:16" x14ac:dyDescent="0.25">
      <c r="A316" s="2" t="s">
        <v>2262</v>
      </c>
      <c r="B316" s="4">
        <v>44437</v>
      </c>
      <c r="C316" s="2" t="s">
        <v>2263</v>
      </c>
      <c r="D316" t="s">
        <v>6177</v>
      </c>
      <c r="E316" s="2">
        <v>5</v>
      </c>
      <c r="F316" s="2" t="str">
        <f>_xlfn.XLOOKUP(C316,customers!$A$1:$A$1001,customers!$B$1:$B$1001,0)</f>
        <v>Stacy Pickworth</v>
      </c>
      <c r="G316" s="2" t="s">
        <v>6222</v>
      </c>
      <c r="H316" s="2" t="str">
        <f>_xlfn.XLOOKUP(C316,customers!$A$1:$A$1001,customers!$G$1:$G$1001,0)</f>
        <v>United States</v>
      </c>
      <c r="I316" t="str">
        <f>_xlfn.XLOOKUP(D316,products!$A$1:$A$49,products!$B$1:$B$49,0)</f>
        <v>Rob</v>
      </c>
      <c r="J316" t="str">
        <f>_xlfn.XLOOKUP('data cleaned'!D316,products!$A$1:$A$49,products!$C$1:$C$49,0)</f>
        <v>D</v>
      </c>
      <c r="K316" s="5">
        <f>_xlfn.XLOOKUP('data cleaned'!D316,products!$A$1:$A$49,products!$D$1:$D$49,0)</f>
        <v>1</v>
      </c>
      <c r="L316" s="6">
        <f>_xlfn.XLOOKUP('data cleaned'!D316,products!$A$1:$A$49,products!$E$1:$E$49,0)</f>
        <v>8.9499999999999993</v>
      </c>
      <c r="M316" s="6">
        <f>'data cleaned'!E316*'data cleaned'!L316</f>
        <v>44.75</v>
      </c>
      <c r="N316" t="str">
        <f t="shared" si="8"/>
        <v>Robusta</v>
      </c>
      <c r="O316" t="str">
        <f t="shared" si="9"/>
        <v>Dark</v>
      </c>
      <c r="P316" t="str">
        <f>_xlfn.XLOOKUP(worksheet[[#This Row],[Customer ID]],customers!$A$1:$A$1001,customers!$I$1:$I$1001,0)</f>
        <v>No</v>
      </c>
    </row>
    <row r="317" spans="1:16" x14ac:dyDescent="0.25">
      <c r="A317" s="2" t="s">
        <v>2267</v>
      </c>
      <c r="B317" s="4">
        <v>43826</v>
      </c>
      <c r="C317" s="2" t="s">
        <v>2268</v>
      </c>
      <c r="D317" t="s">
        <v>6148</v>
      </c>
      <c r="E317" s="2">
        <v>1</v>
      </c>
      <c r="F317" s="2" t="str">
        <f>_xlfn.XLOOKUP(C317,customers!$A$1:$A$1001,customers!$B$1:$B$1001,0)</f>
        <v>Melli Brockway</v>
      </c>
      <c r="G317" s="2" t="s">
        <v>2270</v>
      </c>
      <c r="H317" s="2" t="str">
        <f>_xlfn.XLOOKUP(C317,customers!$A$1:$A$1001,customers!$G$1:$G$1001,0)</f>
        <v>United States</v>
      </c>
      <c r="I317" t="str">
        <f>_xlfn.XLOOKUP(D317,products!$A$1:$A$49,products!$B$1:$B$49,0)</f>
        <v>Exc</v>
      </c>
      <c r="J317" t="str">
        <f>_xlfn.XLOOKUP('data cleaned'!D317,products!$A$1:$A$49,products!$C$1:$C$49,0)</f>
        <v>L</v>
      </c>
      <c r="K317" s="5">
        <f>_xlfn.XLOOKUP('data cleaned'!D317,products!$A$1:$A$49,products!$D$1:$D$49,0)</f>
        <v>2.5</v>
      </c>
      <c r="L317" s="6">
        <f>_xlfn.XLOOKUP('data cleaned'!D317,products!$A$1:$A$49,products!$E$1:$E$49,0)</f>
        <v>34.154999999999994</v>
      </c>
      <c r="M317" s="6">
        <f>'data cleaned'!E317*'data cleaned'!L317</f>
        <v>34.154999999999994</v>
      </c>
      <c r="N317" t="str">
        <f t="shared" si="8"/>
        <v>Excelsa</v>
      </c>
      <c r="O317" t="str">
        <f t="shared" si="9"/>
        <v>Light</v>
      </c>
      <c r="P317" t="str">
        <f>_xlfn.XLOOKUP(worksheet[[#This Row],[Customer ID]],customers!$A$1:$A$1001,customers!$I$1:$I$1001,0)</f>
        <v>Yes</v>
      </c>
    </row>
    <row r="318" spans="1:16" x14ac:dyDescent="0.25">
      <c r="A318" s="2" t="s">
        <v>2273</v>
      </c>
      <c r="B318" s="4">
        <v>43641</v>
      </c>
      <c r="C318" s="2" t="s">
        <v>2274</v>
      </c>
      <c r="D318" t="s">
        <v>6148</v>
      </c>
      <c r="E318" s="2">
        <v>6</v>
      </c>
      <c r="F318" s="2" t="str">
        <f>_xlfn.XLOOKUP(C318,customers!$A$1:$A$1001,customers!$B$1:$B$1001,0)</f>
        <v>Nanny Lush</v>
      </c>
      <c r="G318" s="2" t="s">
        <v>2276</v>
      </c>
      <c r="H318" s="2" t="str">
        <f>_xlfn.XLOOKUP(C318,customers!$A$1:$A$1001,customers!$G$1:$G$1001,0)</f>
        <v>Ireland</v>
      </c>
      <c r="I318" t="str">
        <f>_xlfn.XLOOKUP(D318,products!$A$1:$A$49,products!$B$1:$B$49,0)</f>
        <v>Exc</v>
      </c>
      <c r="J318" t="str">
        <f>_xlfn.XLOOKUP('data cleaned'!D318,products!$A$1:$A$49,products!$C$1:$C$49,0)</f>
        <v>L</v>
      </c>
      <c r="K318" s="5">
        <f>_xlfn.XLOOKUP('data cleaned'!D318,products!$A$1:$A$49,products!$D$1:$D$49,0)</f>
        <v>2.5</v>
      </c>
      <c r="L318" s="6">
        <f>_xlfn.XLOOKUP('data cleaned'!D318,products!$A$1:$A$49,products!$E$1:$E$49,0)</f>
        <v>34.154999999999994</v>
      </c>
      <c r="M318" s="6">
        <f>'data cleaned'!E318*'data cleaned'!L318</f>
        <v>204.92999999999995</v>
      </c>
      <c r="N318" t="str">
        <f t="shared" si="8"/>
        <v>Excelsa</v>
      </c>
      <c r="O318" t="str">
        <f t="shared" si="9"/>
        <v>Light</v>
      </c>
      <c r="P318" t="str">
        <f>_xlfn.XLOOKUP(worksheet[[#This Row],[Customer ID]],customers!$A$1:$A$1001,customers!$I$1:$I$1001,0)</f>
        <v>No</v>
      </c>
    </row>
    <row r="319" spans="1:16" x14ac:dyDescent="0.25">
      <c r="A319" s="2" t="s">
        <v>2279</v>
      </c>
      <c r="B319" s="4">
        <v>43526</v>
      </c>
      <c r="C319" s="2" t="s">
        <v>2280</v>
      </c>
      <c r="D319" t="s">
        <v>6144</v>
      </c>
      <c r="E319" s="2">
        <v>3</v>
      </c>
      <c r="F319" s="2" t="str">
        <f>_xlfn.XLOOKUP(C319,customers!$A$1:$A$1001,customers!$B$1:$B$1001,0)</f>
        <v>Selma McMillian</v>
      </c>
      <c r="G319" s="2" t="s">
        <v>2282</v>
      </c>
      <c r="H319" s="2" t="str">
        <f>_xlfn.XLOOKUP(C319,customers!$A$1:$A$1001,customers!$G$1:$G$1001,0)</f>
        <v>United States</v>
      </c>
      <c r="I319" t="str">
        <f>_xlfn.XLOOKUP(D319,products!$A$1:$A$49,products!$B$1:$B$49,0)</f>
        <v>Exc</v>
      </c>
      <c r="J319" t="str">
        <f>_xlfn.XLOOKUP('data cleaned'!D319,products!$A$1:$A$49,products!$C$1:$C$49,0)</f>
        <v>D</v>
      </c>
      <c r="K319" s="5">
        <f>_xlfn.XLOOKUP('data cleaned'!D319,products!$A$1:$A$49,products!$D$1:$D$49,0)</f>
        <v>0.5</v>
      </c>
      <c r="L319" s="6">
        <f>_xlfn.XLOOKUP('data cleaned'!D319,products!$A$1:$A$49,products!$E$1:$E$49,0)</f>
        <v>7.29</v>
      </c>
      <c r="M319" s="6">
        <f>'data cleaned'!E319*'data cleaned'!L319</f>
        <v>21.87</v>
      </c>
      <c r="N319" t="str">
        <f t="shared" si="8"/>
        <v>Excelsa</v>
      </c>
      <c r="O319" t="str">
        <f t="shared" si="9"/>
        <v>Dark</v>
      </c>
      <c r="P319" t="str">
        <f>_xlfn.XLOOKUP(worksheet[[#This Row],[Customer ID]],customers!$A$1:$A$1001,customers!$I$1:$I$1001,0)</f>
        <v>No</v>
      </c>
    </row>
    <row r="320" spans="1:16" x14ac:dyDescent="0.25">
      <c r="A320" s="2" t="s">
        <v>2285</v>
      </c>
      <c r="B320" s="4">
        <v>44563</v>
      </c>
      <c r="C320" s="2" t="s">
        <v>2286</v>
      </c>
      <c r="D320" t="s">
        <v>6175</v>
      </c>
      <c r="E320" s="2">
        <v>2</v>
      </c>
      <c r="F320" s="2" t="str">
        <f>_xlfn.XLOOKUP(C320,customers!$A$1:$A$1001,customers!$B$1:$B$1001,0)</f>
        <v>Tess Bennison</v>
      </c>
      <c r="G320" s="2" t="s">
        <v>2288</v>
      </c>
      <c r="H320" s="2" t="str">
        <f>_xlfn.XLOOKUP(C320,customers!$A$1:$A$1001,customers!$G$1:$G$1001,0)</f>
        <v>United States</v>
      </c>
      <c r="I320" t="str">
        <f>_xlfn.XLOOKUP(D320,products!$A$1:$A$49,products!$B$1:$B$49,0)</f>
        <v>Ara</v>
      </c>
      <c r="J320" t="str">
        <f>_xlfn.XLOOKUP('data cleaned'!D320,products!$A$1:$A$49,products!$C$1:$C$49,0)</f>
        <v>M</v>
      </c>
      <c r="K320" s="5">
        <f>_xlfn.XLOOKUP('data cleaned'!D320,products!$A$1:$A$49,products!$D$1:$D$49,0)</f>
        <v>2.5</v>
      </c>
      <c r="L320" s="6">
        <f>_xlfn.XLOOKUP('data cleaned'!D320,products!$A$1:$A$49,products!$E$1:$E$49,0)</f>
        <v>25.874999999999996</v>
      </c>
      <c r="M320" s="6">
        <f>'data cleaned'!E320*'data cleaned'!L320</f>
        <v>51.749999999999993</v>
      </c>
      <c r="N320" t="str">
        <f t="shared" si="8"/>
        <v>Arabica</v>
      </c>
      <c r="O320" t="str">
        <f t="shared" si="9"/>
        <v>Medium</v>
      </c>
      <c r="P320" t="str">
        <f>_xlfn.XLOOKUP(worksheet[[#This Row],[Customer ID]],customers!$A$1:$A$1001,customers!$I$1:$I$1001,0)</f>
        <v>Yes</v>
      </c>
    </row>
    <row r="321" spans="1:16" x14ac:dyDescent="0.25">
      <c r="A321" s="2" t="s">
        <v>2291</v>
      </c>
      <c r="B321" s="4">
        <v>43676</v>
      </c>
      <c r="C321" s="2" t="s">
        <v>2292</v>
      </c>
      <c r="D321" t="s">
        <v>6156</v>
      </c>
      <c r="E321" s="2">
        <v>2</v>
      </c>
      <c r="F321" s="2" t="str">
        <f>_xlfn.XLOOKUP(C321,customers!$A$1:$A$1001,customers!$B$1:$B$1001,0)</f>
        <v>Gabie Tweed</v>
      </c>
      <c r="G321" s="2" t="s">
        <v>2294</v>
      </c>
      <c r="H321" s="2" t="str">
        <f>_xlfn.XLOOKUP(C321,customers!$A$1:$A$1001,customers!$G$1:$G$1001,0)</f>
        <v>United States</v>
      </c>
      <c r="I321" t="str">
        <f>_xlfn.XLOOKUP(D321,products!$A$1:$A$49,products!$B$1:$B$49,0)</f>
        <v>Exc</v>
      </c>
      <c r="J321" t="str">
        <f>_xlfn.XLOOKUP('data cleaned'!D321,products!$A$1:$A$49,products!$C$1:$C$49,0)</f>
        <v>M</v>
      </c>
      <c r="K321" s="5">
        <f>_xlfn.XLOOKUP('data cleaned'!D321,products!$A$1:$A$49,products!$D$1:$D$49,0)</f>
        <v>0.2</v>
      </c>
      <c r="L321" s="6">
        <f>_xlfn.XLOOKUP('data cleaned'!D321,products!$A$1:$A$49,products!$E$1:$E$49,0)</f>
        <v>4.125</v>
      </c>
      <c r="M321" s="6">
        <f>'data cleaned'!E321*'data cleaned'!L321</f>
        <v>8.25</v>
      </c>
      <c r="N321" t="str">
        <f t="shared" si="8"/>
        <v>Excelsa</v>
      </c>
      <c r="O321" t="str">
        <f t="shared" si="9"/>
        <v>Medium</v>
      </c>
      <c r="P321" t="str">
        <f>_xlfn.XLOOKUP(worksheet[[#This Row],[Customer ID]],customers!$A$1:$A$1001,customers!$I$1:$I$1001,0)</f>
        <v>Yes</v>
      </c>
    </row>
    <row r="322" spans="1:16" x14ac:dyDescent="0.25">
      <c r="A322" s="2" t="s">
        <v>2291</v>
      </c>
      <c r="B322" s="4">
        <v>43676</v>
      </c>
      <c r="C322" s="2" t="s">
        <v>2292</v>
      </c>
      <c r="D322" t="s">
        <v>6167</v>
      </c>
      <c r="E322" s="2">
        <v>5</v>
      </c>
      <c r="F322" s="2" t="str">
        <f>_xlfn.XLOOKUP(C322,customers!$A$1:$A$1001,customers!$B$1:$B$1001,0)</f>
        <v>Gabie Tweed</v>
      </c>
      <c r="G322" s="2" t="s">
        <v>2294</v>
      </c>
      <c r="H322" s="2" t="str">
        <f>_xlfn.XLOOKUP(C322,customers!$A$1:$A$1001,customers!$G$1:$G$1001,0)</f>
        <v>United States</v>
      </c>
      <c r="I322" t="str">
        <f>_xlfn.XLOOKUP(D322,products!$A$1:$A$49,products!$B$1:$B$49,0)</f>
        <v>Ara</v>
      </c>
      <c r="J322" t="str">
        <f>_xlfn.XLOOKUP('data cleaned'!D322,products!$A$1:$A$49,products!$C$1:$C$49,0)</f>
        <v>L</v>
      </c>
      <c r="K322" s="5">
        <f>_xlfn.XLOOKUP('data cleaned'!D322,products!$A$1:$A$49,products!$D$1:$D$49,0)</f>
        <v>0.2</v>
      </c>
      <c r="L322" s="6">
        <f>_xlfn.XLOOKUP('data cleaned'!D322,products!$A$1:$A$49,products!$E$1:$E$49,0)</f>
        <v>3.8849999999999998</v>
      </c>
      <c r="M322" s="6">
        <f>'data cleaned'!E322*'data cleaned'!L322</f>
        <v>19.424999999999997</v>
      </c>
      <c r="N322" t="str">
        <f t="shared" si="8"/>
        <v>Arabica</v>
      </c>
      <c r="O322" t="str">
        <f t="shared" si="9"/>
        <v>Light</v>
      </c>
      <c r="P322" t="str">
        <f>_xlfn.XLOOKUP(worksheet[[#This Row],[Customer ID]],customers!$A$1:$A$1001,customers!$I$1:$I$1001,0)</f>
        <v>Yes</v>
      </c>
    </row>
    <row r="323" spans="1:16" x14ac:dyDescent="0.25">
      <c r="A323" s="2" t="s">
        <v>2301</v>
      </c>
      <c r="B323" s="4">
        <v>44170</v>
      </c>
      <c r="C323" s="2" t="s">
        <v>2302</v>
      </c>
      <c r="D323" t="s">
        <v>6152</v>
      </c>
      <c r="E323" s="2">
        <v>6</v>
      </c>
      <c r="F323" s="2" t="str">
        <f>_xlfn.XLOOKUP(C323,customers!$A$1:$A$1001,customers!$B$1:$B$1001,0)</f>
        <v>Gaile Goggin</v>
      </c>
      <c r="G323" s="2" t="s">
        <v>2304</v>
      </c>
      <c r="H323" s="2" t="str">
        <f>_xlfn.XLOOKUP(C323,customers!$A$1:$A$1001,customers!$G$1:$G$1001,0)</f>
        <v>Ireland</v>
      </c>
      <c r="I323" t="str">
        <f>_xlfn.XLOOKUP(D323,products!$A$1:$A$49,products!$B$1:$B$49,0)</f>
        <v>Ara</v>
      </c>
      <c r="J323" t="str">
        <f>_xlfn.XLOOKUP('data cleaned'!D323,products!$A$1:$A$49,products!$C$1:$C$49,0)</f>
        <v>M</v>
      </c>
      <c r="K323" s="5">
        <f>_xlfn.XLOOKUP('data cleaned'!D323,products!$A$1:$A$49,products!$D$1:$D$49,0)</f>
        <v>0.2</v>
      </c>
      <c r="L323" s="6">
        <f>_xlfn.XLOOKUP('data cleaned'!D323,products!$A$1:$A$49,products!$E$1:$E$49,0)</f>
        <v>3.375</v>
      </c>
      <c r="M323" s="6">
        <f>'data cleaned'!E323*'data cleaned'!L323</f>
        <v>20.25</v>
      </c>
      <c r="N323" t="str">
        <f t="shared" ref="N323:N386" si="10">IF(I323="Rob","Robusta",IF(I323="Exc","Excelsa",IF(I323="Ara","Arabica",IF(I323="Lib","Liberica",""))))</f>
        <v>Arabica</v>
      </c>
      <c r="O323" t="str">
        <f t="shared" ref="O323:O386" si="11">IF(J323="M","Medium",IF(J323="L","Light",IF(J323="D","Dark","")))</f>
        <v>Medium</v>
      </c>
      <c r="P323" t="str">
        <f>_xlfn.XLOOKUP(worksheet[[#This Row],[Customer ID]],customers!$A$1:$A$1001,customers!$I$1:$I$1001,0)</f>
        <v>Yes</v>
      </c>
    </row>
    <row r="324" spans="1:16" x14ac:dyDescent="0.25">
      <c r="A324" s="2" t="s">
        <v>2307</v>
      </c>
      <c r="B324" s="4">
        <v>44182</v>
      </c>
      <c r="C324" s="2" t="s">
        <v>2308</v>
      </c>
      <c r="D324" t="s">
        <v>6169</v>
      </c>
      <c r="E324" s="2">
        <v>3</v>
      </c>
      <c r="F324" s="2" t="str">
        <f>_xlfn.XLOOKUP(C324,customers!$A$1:$A$1001,customers!$B$1:$B$1001,0)</f>
        <v>Skylar Jeyness</v>
      </c>
      <c r="G324" s="2" t="s">
        <v>2310</v>
      </c>
      <c r="H324" s="2" t="str">
        <f>_xlfn.XLOOKUP(C324,customers!$A$1:$A$1001,customers!$G$1:$G$1001,0)</f>
        <v>Ireland</v>
      </c>
      <c r="I324" t="str">
        <f>_xlfn.XLOOKUP(D324,products!$A$1:$A$49,products!$B$1:$B$49,0)</f>
        <v>Lib</v>
      </c>
      <c r="J324" t="str">
        <f>_xlfn.XLOOKUP('data cleaned'!D324,products!$A$1:$A$49,products!$C$1:$C$49,0)</f>
        <v>D</v>
      </c>
      <c r="K324" s="5">
        <f>_xlfn.XLOOKUP('data cleaned'!D324,products!$A$1:$A$49,products!$D$1:$D$49,0)</f>
        <v>0.5</v>
      </c>
      <c r="L324" s="6">
        <f>_xlfn.XLOOKUP('data cleaned'!D324,products!$A$1:$A$49,products!$E$1:$E$49,0)</f>
        <v>7.77</v>
      </c>
      <c r="M324" s="6">
        <f>'data cleaned'!E324*'data cleaned'!L324</f>
        <v>23.31</v>
      </c>
      <c r="N324" t="str">
        <f t="shared" si="10"/>
        <v>Liberica</v>
      </c>
      <c r="O324" t="str">
        <f t="shared" si="11"/>
        <v>Dark</v>
      </c>
      <c r="P324" t="str">
        <f>_xlfn.XLOOKUP(worksheet[[#This Row],[Customer ID]],customers!$A$1:$A$1001,customers!$I$1:$I$1001,0)</f>
        <v>No</v>
      </c>
    </row>
    <row r="325" spans="1:16" x14ac:dyDescent="0.25">
      <c r="A325" s="2" t="s">
        <v>2313</v>
      </c>
      <c r="B325" s="4">
        <v>44373</v>
      </c>
      <c r="C325" s="2" t="s">
        <v>2314</v>
      </c>
      <c r="D325" t="s">
        <v>6153</v>
      </c>
      <c r="E325" s="2">
        <v>5</v>
      </c>
      <c r="F325" s="2" t="str">
        <f>_xlfn.XLOOKUP(C325,customers!$A$1:$A$1001,customers!$B$1:$B$1001,0)</f>
        <v>Donica Bonhome</v>
      </c>
      <c r="G325" s="2" t="s">
        <v>2316</v>
      </c>
      <c r="H325" s="2" t="str">
        <f>_xlfn.XLOOKUP(C325,customers!$A$1:$A$1001,customers!$G$1:$G$1001,0)</f>
        <v>United States</v>
      </c>
      <c r="I325" t="str">
        <f>_xlfn.XLOOKUP(D325,products!$A$1:$A$49,products!$B$1:$B$49,0)</f>
        <v>Exc</v>
      </c>
      <c r="J325" t="str">
        <f>_xlfn.XLOOKUP('data cleaned'!D325,products!$A$1:$A$49,products!$C$1:$C$49,0)</f>
        <v>D</v>
      </c>
      <c r="K325" s="5">
        <f>_xlfn.XLOOKUP('data cleaned'!D325,products!$A$1:$A$49,products!$D$1:$D$49,0)</f>
        <v>0.2</v>
      </c>
      <c r="L325" s="6">
        <f>_xlfn.XLOOKUP('data cleaned'!D325,products!$A$1:$A$49,products!$E$1:$E$49,0)</f>
        <v>3.645</v>
      </c>
      <c r="M325" s="6">
        <f>'data cleaned'!E325*'data cleaned'!L325</f>
        <v>18.225000000000001</v>
      </c>
      <c r="N325" t="str">
        <f t="shared" si="10"/>
        <v>Excelsa</v>
      </c>
      <c r="O325" t="str">
        <f t="shared" si="11"/>
        <v>Dark</v>
      </c>
      <c r="P325" t="str">
        <f>_xlfn.XLOOKUP(worksheet[[#This Row],[Customer ID]],customers!$A$1:$A$1001,customers!$I$1:$I$1001,0)</f>
        <v>Yes</v>
      </c>
    </row>
    <row r="326" spans="1:16" x14ac:dyDescent="0.25">
      <c r="A326" s="2" t="s">
        <v>2319</v>
      </c>
      <c r="B326" s="4">
        <v>43666</v>
      </c>
      <c r="C326" s="2" t="s">
        <v>2320</v>
      </c>
      <c r="D326" t="s">
        <v>6141</v>
      </c>
      <c r="E326" s="2">
        <v>1</v>
      </c>
      <c r="F326" s="2" t="str">
        <f>_xlfn.XLOOKUP(C326,customers!$A$1:$A$1001,customers!$B$1:$B$1001,0)</f>
        <v>Diena Peetermann</v>
      </c>
      <c r="G326" s="2" t="s">
        <v>6222</v>
      </c>
      <c r="H326" s="2" t="str">
        <f>_xlfn.XLOOKUP(C326,customers!$A$1:$A$1001,customers!$G$1:$G$1001,0)</f>
        <v>United States</v>
      </c>
      <c r="I326" t="str">
        <f>_xlfn.XLOOKUP(D326,products!$A$1:$A$49,products!$B$1:$B$49,0)</f>
        <v>Exc</v>
      </c>
      <c r="J326" t="str">
        <f>_xlfn.XLOOKUP('data cleaned'!D326,products!$A$1:$A$49,products!$C$1:$C$49,0)</f>
        <v>M</v>
      </c>
      <c r="K326" s="5">
        <f>_xlfn.XLOOKUP('data cleaned'!D326,products!$A$1:$A$49,products!$D$1:$D$49,0)</f>
        <v>1</v>
      </c>
      <c r="L326" s="6">
        <f>_xlfn.XLOOKUP('data cleaned'!D326,products!$A$1:$A$49,products!$E$1:$E$49,0)</f>
        <v>13.75</v>
      </c>
      <c r="M326" s="6">
        <f>'data cleaned'!E326*'data cleaned'!L326</f>
        <v>13.75</v>
      </c>
      <c r="N326" t="str">
        <f t="shared" si="10"/>
        <v>Excelsa</v>
      </c>
      <c r="O326" t="str">
        <f t="shared" si="11"/>
        <v>Medium</v>
      </c>
      <c r="P326" t="str">
        <f>_xlfn.XLOOKUP(worksheet[[#This Row],[Customer ID]],customers!$A$1:$A$1001,customers!$I$1:$I$1001,0)</f>
        <v>No</v>
      </c>
    </row>
    <row r="327" spans="1:16" x14ac:dyDescent="0.25">
      <c r="A327" s="2" t="s">
        <v>2324</v>
      </c>
      <c r="B327" s="4">
        <v>44756</v>
      </c>
      <c r="C327" s="2" t="s">
        <v>2325</v>
      </c>
      <c r="D327" t="s">
        <v>6182</v>
      </c>
      <c r="E327" s="2">
        <v>1</v>
      </c>
      <c r="F327" s="2" t="str">
        <f>_xlfn.XLOOKUP(C327,customers!$A$1:$A$1001,customers!$B$1:$B$1001,0)</f>
        <v>Trina Le Sarr</v>
      </c>
      <c r="G327" s="2" t="s">
        <v>2327</v>
      </c>
      <c r="H327" s="2" t="str">
        <f>_xlfn.XLOOKUP(C327,customers!$A$1:$A$1001,customers!$G$1:$G$1001,0)</f>
        <v>United States</v>
      </c>
      <c r="I327" t="str">
        <f>_xlfn.XLOOKUP(D327,products!$A$1:$A$49,products!$B$1:$B$49,0)</f>
        <v>Ara</v>
      </c>
      <c r="J327" t="str">
        <f>_xlfn.XLOOKUP('data cleaned'!D327,products!$A$1:$A$49,products!$C$1:$C$49,0)</f>
        <v>L</v>
      </c>
      <c r="K327" s="5">
        <f>_xlfn.XLOOKUP('data cleaned'!D327,products!$A$1:$A$49,products!$D$1:$D$49,0)</f>
        <v>2.5</v>
      </c>
      <c r="L327" s="6">
        <f>_xlfn.XLOOKUP('data cleaned'!D327,products!$A$1:$A$49,products!$E$1:$E$49,0)</f>
        <v>29.784999999999997</v>
      </c>
      <c r="M327" s="6">
        <f>'data cleaned'!E327*'data cleaned'!L327</f>
        <v>29.784999999999997</v>
      </c>
      <c r="N327" t="str">
        <f t="shared" si="10"/>
        <v>Arabica</v>
      </c>
      <c r="O327" t="str">
        <f t="shared" si="11"/>
        <v>Light</v>
      </c>
      <c r="P327" t="str">
        <f>_xlfn.XLOOKUP(worksheet[[#This Row],[Customer ID]],customers!$A$1:$A$1001,customers!$I$1:$I$1001,0)</f>
        <v>Yes</v>
      </c>
    </row>
    <row r="328" spans="1:16" x14ac:dyDescent="0.25">
      <c r="A328" s="2" t="s">
        <v>2330</v>
      </c>
      <c r="B328" s="4">
        <v>44057</v>
      </c>
      <c r="C328" s="2" t="s">
        <v>2331</v>
      </c>
      <c r="D328" t="s">
        <v>6177</v>
      </c>
      <c r="E328" s="2">
        <v>5</v>
      </c>
      <c r="F328" s="2" t="str">
        <f>_xlfn.XLOOKUP(C328,customers!$A$1:$A$1001,customers!$B$1:$B$1001,0)</f>
        <v>Flynn Antony</v>
      </c>
      <c r="G328" s="2" t="s">
        <v>6222</v>
      </c>
      <c r="H328" s="2" t="str">
        <f>_xlfn.XLOOKUP(C328,customers!$A$1:$A$1001,customers!$G$1:$G$1001,0)</f>
        <v>United States</v>
      </c>
      <c r="I328" t="str">
        <f>_xlfn.XLOOKUP(D328,products!$A$1:$A$49,products!$B$1:$B$49,0)</f>
        <v>Rob</v>
      </c>
      <c r="J328" t="str">
        <f>_xlfn.XLOOKUP('data cleaned'!D328,products!$A$1:$A$49,products!$C$1:$C$49,0)</f>
        <v>D</v>
      </c>
      <c r="K328" s="5">
        <f>_xlfn.XLOOKUP('data cleaned'!D328,products!$A$1:$A$49,products!$D$1:$D$49,0)</f>
        <v>1</v>
      </c>
      <c r="L328" s="6">
        <f>_xlfn.XLOOKUP('data cleaned'!D328,products!$A$1:$A$49,products!$E$1:$E$49,0)</f>
        <v>8.9499999999999993</v>
      </c>
      <c r="M328" s="6">
        <f>'data cleaned'!E328*'data cleaned'!L328</f>
        <v>44.75</v>
      </c>
      <c r="N328" t="str">
        <f t="shared" si="10"/>
        <v>Robusta</v>
      </c>
      <c r="O328" t="str">
        <f t="shared" si="11"/>
        <v>Dark</v>
      </c>
      <c r="P328" t="str">
        <f>_xlfn.XLOOKUP(worksheet[[#This Row],[Customer ID]],customers!$A$1:$A$1001,customers!$I$1:$I$1001,0)</f>
        <v>No</v>
      </c>
    </row>
    <row r="329" spans="1:16" x14ac:dyDescent="0.25">
      <c r="A329" s="2" t="s">
        <v>2335</v>
      </c>
      <c r="B329" s="4">
        <v>43579</v>
      </c>
      <c r="C329" s="2" t="s">
        <v>2336</v>
      </c>
      <c r="D329" t="s">
        <v>6177</v>
      </c>
      <c r="E329" s="2">
        <v>5</v>
      </c>
      <c r="F329" s="2" t="str">
        <f>_xlfn.XLOOKUP(C329,customers!$A$1:$A$1001,customers!$B$1:$B$1001,0)</f>
        <v>Baudoin Alldridge</v>
      </c>
      <c r="G329" s="2" t="s">
        <v>2338</v>
      </c>
      <c r="H329" s="2" t="str">
        <f>_xlfn.XLOOKUP(C329,customers!$A$1:$A$1001,customers!$G$1:$G$1001,0)</f>
        <v>United States</v>
      </c>
      <c r="I329" t="str">
        <f>_xlfn.XLOOKUP(D329,products!$A$1:$A$49,products!$B$1:$B$49,0)</f>
        <v>Rob</v>
      </c>
      <c r="J329" t="str">
        <f>_xlfn.XLOOKUP('data cleaned'!D329,products!$A$1:$A$49,products!$C$1:$C$49,0)</f>
        <v>D</v>
      </c>
      <c r="K329" s="5">
        <f>_xlfn.XLOOKUP('data cleaned'!D329,products!$A$1:$A$49,products!$D$1:$D$49,0)</f>
        <v>1</v>
      </c>
      <c r="L329" s="6">
        <f>_xlfn.XLOOKUP('data cleaned'!D329,products!$A$1:$A$49,products!$E$1:$E$49,0)</f>
        <v>8.9499999999999993</v>
      </c>
      <c r="M329" s="6">
        <f>'data cleaned'!E329*'data cleaned'!L329</f>
        <v>44.75</v>
      </c>
      <c r="N329" t="str">
        <f t="shared" si="10"/>
        <v>Robusta</v>
      </c>
      <c r="O329" t="str">
        <f t="shared" si="11"/>
        <v>Dark</v>
      </c>
      <c r="P329" t="str">
        <f>_xlfn.XLOOKUP(worksheet[[#This Row],[Customer ID]],customers!$A$1:$A$1001,customers!$I$1:$I$1001,0)</f>
        <v>Yes</v>
      </c>
    </row>
    <row r="330" spans="1:16" x14ac:dyDescent="0.25">
      <c r="A330" s="2" t="s">
        <v>2341</v>
      </c>
      <c r="B330" s="4">
        <v>43620</v>
      </c>
      <c r="C330" s="2" t="s">
        <v>2342</v>
      </c>
      <c r="D330" t="s">
        <v>6161</v>
      </c>
      <c r="E330" s="2">
        <v>4</v>
      </c>
      <c r="F330" s="2" t="str">
        <f>_xlfn.XLOOKUP(C330,customers!$A$1:$A$1001,customers!$B$1:$B$1001,0)</f>
        <v>Homer Dulany</v>
      </c>
      <c r="G330" s="2" t="s">
        <v>6222</v>
      </c>
      <c r="H330" s="2" t="str">
        <f>_xlfn.XLOOKUP(C330,customers!$A$1:$A$1001,customers!$G$1:$G$1001,0)</f>
        <v>United States</v>
      </c>
      <c r="I330" t="str">
        <f>_xlfn.XLOOKUP(D330,products!$A$1:$A$49,products!$B$1:$B$49,0)</f>
        <v>Lib</v>
      </c>
      <c r="J330" t="str">
        <f>_xlfn.XLOOKUP('data cleaned'!D330,products!$A$1:$A$49,products!$C$1:$C$49,0)</f>
        <v>L</v>
      </c>
      <c r="K330" s="5">
        <f>_xlfn.XLOOKUP('data cleaned'!D330,products!$A$1:$A$49,products!$D$1:$D$49,0)</f>
        <v>0.5</v>
      </c>
      <c r="L330" s="6">
        <f>_xlfn.XLOOKUP('data cleaned'!D330,products!$A$1:$A$49,products!$E$1:$E$49,0)</f>
        <v>9.51</v>
      </c>
      <c r="M330" s="6">
        <f>'data cleaned'!E330*'data cleaned'!L330</f>
        <v>38.04</v>
      </c>
      <c r="N330" t="str">
        <f t="shared" si="10"/>
        <v>Liberica</v>
      </c>
      <c r="O330" t="str">
        <f t="shared" si="11"/>
        <v>Light</v>
      </c>
      <c r="P330" t="str">
        <f>_xlfn.XLOOKUP(worksheet[[#This Row],[Customer ID]],customers!$A$1:$A$1001,customers!$I$1:$I$1001,0)</f>
        <v>Yes</v>
      </c>
    </row>
    <row r="331" spans="1:16" x14ac:dyDescent="0.25">
      <c r="A331" s="2" t="s">
        <v>2346</v>
      </c>
      <c r="B331" s="4">
        <v>44781</v>
      </c>
      <c r="C331" s="2" t="s">
        <v>2347</v>
      </c>
      <c r="D331" t="s">
        <v>6172</v>
      </c>
      <c r="E331" s="2">
        <v>4</v>
      </c>
      <c r="F331" s="2" t="str">
        <f>_xlfn.XLOOKUP(C331,customers!$A$1:$A$1001,customers!$B$1:$B$1001,0)</f>
        <v>Lisa Goodger</v>
      </c>
      <c r="G331" s="2" t="s">
        <v>2349</v>
      </c>
      <c r="H331" s="2" t="str">
        <f>_xlfn.XLOOKUP(C331,customers!$A$1:$A$1001,customers!$G$1:$G$1001,0)</f>
        <v>United States</v>
      </c>
      <c r="I331" t="str">
        <f>_xlfn.XLOOKUP(D331,products!$A$1:$A$49,products!$B$1:$B$49,0)</f>
        <v>Rob</v>
      </c>
      <c r="J331" t="str">
        <f>_xlfn.XLOOKUP('data cleaned'!D331,products!$A$1:$A$49,products!$C$1:$C$49,0)</f>
        <v>D</v>
      </c>
      <c r="K331" s="5">
        <f>_xlfn.XLOOKUP('data cleaned'!D331,products!$A$1:$A$49,products!$D$1:$D$49,0)</f>
        <v>0.5</v>
      </c>
      <c r="L331" s="6">
        <f>_xlfn.XLOOKUP('data cleaned'!D331,products!$A$1:$A$49,products!$E$1:$E$49,0)</f>
        <v>5.3699999999999992</v>
      </c>
      <c r="M331" s="6">
        <f>'data cleaned'!E331*'data cleaned'!L331</f>
        <v>21.479999999999997</v>
      </c>
      <c r="N331" t="str">
        <f t="shared" si="10"/>
        <v>Robusta</v>
      </c>
      <c r="O331" t="str">
        <f t="shared" si="11"/>
        <v>Dark</v>
      </c>
      <c r="P331" t="str">
        <f>_xlfn.XLOOKUP(worksheet[[#This Row],[Customer ID]],customers!$A$1:$A$1001,customers!$I$1:$I$1001,0)</f>
        <v>Yes</v>
      </c>
    </row>
    <row r="332" spans="1:16" x14ac:dyDescent="0.25">
      <c r="A332" s="2" t="s">
        <v>2351</v>
      </c>
      <c r="B332" s="4">
        <v>43782</v>
      </c>
      <c r="C332" s="2" t="s">
        <v>2280</v>
      </c>
      <c r="D332" t="s">
        <v>6172</v>
      </c>
      <c r="E332" s="2">
        <v>3</v>
      </c>
      <c r="F332" s="2" t="str">
        <f>_xlfn.XLOOKUP(C332,customers!$A$1:$A$1001,customers!$B$1:$B$1001,0)</f>
        <v>Selma McMillian</v>
      </c>
      <c r="G332" s="2" t="s">
        <v>2282</v>
      </c>
      <c r="H332" s="2" t="str">
        <f>_xlfn.XLOOKUP(C332,customers!$A$1:$A$1001,customers!$G$1:$G$1001,0)</f>
        <v>United States</v>
      </c>
      <c r="I332" t="str">
        <f>_xlfn.XLOOKUP(D332,products!$A$1:$A$49,products!$B$1:$B$49,0)</f>
        <v>Rob</v>
      </c>
      <c r="J332" t="str">
        <f>_xlfn.XLOOKUP('data cleaned'!D332,products!$A$1:$A$49,products!$C$1:$C$49,0)</f>
        <v>D</v>
      </c>
      <c r="K332" s="5">
        <f>_xlfn.XLOOKUP('data cleaned'!D332,products!$A$1:$A$49,products!$D$1:$D$49,0)</f>
        <v>0.5</v>
      </c>
      <c r="L332" s="6">
        <f>_xlfn.XLOOKUP('data cleaned'!D332,products!$A$1:$A$49,products!$E$1:$E$49,0)</f>
        <v>5.3699999999999992</v>
      </c>
      <c r="M332" s="6">
        <f>'data cleaned'!E332*'data cleaned'!L332</f>
        <v>16.11</v>
      </c>
      <c r="N332" t="str">
        <f t="shared" si="10"/>
        <v>Robusta</v>
      </c>
      <c r="O332" t="str">
        <f t="shared" si="11"/>
        <v>Dark</v>
      </c>
      <c r="P332" t="str">
        <f>_xlfn.XLOOKUP(worksheet[[#This Row],[Customer ID]],customers!$A$1:$A$1001,customers!$I$1:$I$1001,0)</f>
        <v>No</v>
      </c>
    </row>
    <row r="333" spans="1:16" x14ac:dyDescent="0.25">
      <c r="A333" s="2" t="s">
        <v>2357</v>
      </c>
      <c r="B333" s="4">
        <v>43989</v>
      </c>
      <c r="C333" s="2" t="s">
        <v>2358</v>
      </c>
      <c r="D333" t="s">
        <v>6151</v>
      </c>
      <c r="E333" s="2">
        <v>1</v>
      </c>
      <c r="F333" s="2" t="str">
        <f>_xlfn.XLOOKUP(C333,customers!$A$1:$A$1001,customers!$B$1:$B$1001,0)</f>
        <v>Corine Drewett</v>
      </c>
      <c r="G333" s="2" t="s">
        <v>2360</v>
      </c>
      <c r="H333" s="2" t="str">
        <f>_xlfn.XLOOKUP(C333,customers!$A$1:$A$1001,customers!$G$1:$G$1001,0)</f>
        <v>United States</v>
      </c>
      <c r="I333" t="str">
        <f>_xlfn.XLOOKUP(D333,products!$A$1:$A$49,products!$B$1:$B$49,0)</f>
        <v>Rob</v>
      </c>
      <c r="J333" t="str">
        <f>_xlfn.XLOOKUP('data cleaned'!D333,products!$A$1:$A$49,products!$C$1:$C$49,0)</f>
        <v>M</v>
      </c>
      <c r="K333" s="5">
        <f>_xlfn.XLOOKUP('data cleaned'!D333,products!$A$1:$A$49,products!$D$1:$D$49,0)</f>
        <v>2.5</v>
      </c>
      <c r="L333" s="6">
        <f>_xlfn.XLOOKUP('data cleaned'!D333,products!$A$1:$A$49,products!$E$1:$E$49,0)</f>
        <v>22.884999999999998</v>
      </c>
      <c r="M333" s="6">
        <f>'data cleaned'!E333*'data cleaned'!L333</f>
        <v>22.884999999999998</v>
      </c>
      <c r="N333" t="str">
        <f t="shared" si="10"/>
        <v>Robusta</v>
      </c>
      <c r="O333" t="str">
        <f t="shared" si="11"/>
        <v>Medium</v>
      </c>
      <c r="P333" t="str">
        <f>_xlfn.XLOOKUP(worksheet[[#This Row],[Customer ID]],customers!$A$1:$A$1001,customers!$I$1:$I$1001,0)</f>
        <v>Yes</v>
      </c>
    </row>
    <row r="334" spans="1:16" x14ac:dyDescent="0.25">
      <c r="A334" s="2" t="s">
        <v>2363</v>
      </c>
      <c r="B334" s="4">
        <v>43689</v>
      </c>
      <c r="C334" s="2" t="s">
        <v>2364</v>
      </c>
      <c r="D334" t="s">
        <v>6158</v>
      </c>
      <c r="E334" s="2">
        <v>3</v>
      </c>
      <c r="F334" s="2" t="str">
        <f>_xlfn.XLOOKUP(C334,customers!$A$1:$A$1001,customers!$B$1:$B$1001,0)</f>
        <v>Quinn Parsons</v>
      </c>
      <c r="G334" s="2" t="s">
        <v>2366</v>
      </c>
      <c r="H334" s="2" t="str">
        <f>_xlfn.XLOOKUP(C334,customers!$A$1:$A$1001,customers!$G$1:$G$1001,0)</f>
        <v>United States</v>
      </c>
      <c r="I334" t="str">
        <f>_xlfn.XLOOKUP(D334,products!$A$1:$A$49,products!$B$1:$B$49,0)</f>
        <v>Ara</v>
      </c>
      <c r="J334" t="str">
        <f>_xlfn.XLOOKUP('data cleaned'!D334,products!$A$1:$A$49,products!$C$1:$C$49,0)</f>
        <v>D</v>
      </c>
      <c r="K334" s="5">
        <f>_xlfn.XLOOKUP('data cleaned'!D334,products!$A$1:$A$49,products!$D$1:$D$49,0)</f>
        <v>0.5</v>
      </c>
      <c r="L334" s="6">
        <f>_xlfn.XLOOKUP('data cleaned'!D334,products!$A$1:$A$49,products!$E$1:$E$49,0)</f>
        <v>5.97</v>
      </c>
      <c r="M334" s="6">
        <f>'data cleaned'!E334*'data cleaned'!L334</f>
        <v>17.91</v>
      </c>
      <c r="N334" t="str">
        <f t="shared" si="10"/>
        <v>Arabica</v>
      </c>
      <c r="O334" t="str">
        <f t="shared" si="11"/>
        <v>Dark</v>
      </c>
      <c r="P334" t="str">
        <f>_xlfn.XLOOKUP(worksheet[[#This Row],[Customer ID]],customers!$A$1:$A$1001,customers!$I$1:$I$1001,0)</f>
        <v>Yes</v>
      </c>
    </row>
    <row r="335" spans="1:16" x14ac:dyDescent="0.25">
      <c r="A335" s="2" t="s">
        <v>2369</v>
      </c>
      <c r="B335" s="4">
        <v>43712</v>
      </c>
      <c r="C335" s="2" t="s">
        <v>2370</v>
      </c>
      <c r="D335" t="s">
        <v>6146</v>
      </c>
      <c r="E335" s="2">
        <v>4</v>
      </c>
      <c r="F335" s="2" t="str">
        <f>_xlfn.XLOOKUP(C335,customers!$A$1:$A$1001,customers!$B$1:$B$1001,0)</f>
        <v>Vivyan Ceely</v>
      </c>
      <c r="G335" s="2" t="s">
        <v>2372</v>
      </c>
      <c r="H335" s="2" t="str">
        <f>_xlfn.XLOOKUP(C335,customers!$A$1:$A$1001,customers!$G$1:$G$1001,0)</f>
        <v>United States</v>
      </c>
      <c r="I335" t="str">
        <f>_xlfn.XLOOKUP(D335,products!$A$1:$A$49,products!$B$1:$B$49,0)</f>
        <v>Rob</v>
      </c>
      <c r="J335" t="str">
        <f>_xlfn.XLOOKUP('data cleaned'!D335,products!$A$1:$A$49,products!$C$1:$C$49,0)</f>
        <v>M</v>
      </c>
      <c r="K335" s="5">
        <f>_xlfn.XLOOKUP('data cleaned'!D335,products!$A$1:$A$49,products!$D$1:$D$49,0)</f>
        <v>0.5</v>
      </c>
      <c r="L335" s="6">
        <f>_xlfn.XLOOKUP('data cleaned'!D335,products!$A$1:$A$49,products!$E$1:$E$49,0)</f>
        <v>5.97</v>
      </c>
      <c r="M335" s="6">
        <f>'data cleaned'!E335*'data cleaned'!L335</f>
        <v>23.88</v>
      </c>
      <c r="N335" t="str">
        <f t="shared" si="10"/>
        <v>Robusta</v>
      </c>
      <c r="O335" t="str">
        <f t="shared" si="11"/>
        <v>Medium</v>
      </c>
      <c r="P335" t="str">
        <f>_xlfn.XLOOKUP(worksheet[[#This Row],[Customer ID]],customers!$A$1:$A$1001,customers!$I$1:$I$1001,0)</f>
        <v>Yes</v>
      </c>
    </row>
    <row r="336" spans="1:16" x14ac:dyDescent="0.25">
      <c r="A336" s="2" t="s">
        <v>2375</v>
      </c>
      <c r="B336" s="4">
        <v>43742</v>
      </c>
      <c r="C336" s="2" t="s">
        <v>2376</v>
      </c>
      <c r="D336" t="s">
        <v>6179</v>
      </c>
      <c r="E336" s="2">
        <v>5</v>
      </c>
      <c r="F336" s="2" t="str">
        <f>_xlfn.XLOOKUP(C336,customers!$A$1:$A$1001,customers!$B$1:$B$1001,0)</f>
        <v>Elonore Goodings</v>
      </c>
      <c r="G336" s="2" t="s">
        <v>6222</v>
      </c>
      <c r="H336" s="2" t="str">
        <f>_xlfn.XLOOKUP(C336,customers!$A$1:$A$1001,customers!$G$1:$G$1001,0)</f>
        <v>United States</v>
      </c>
      <c r="I336" t="str">
        <f>_xlfn.XLOOKUP(D336,products!$A$1:$A$49,products!$B$1:$B$49,0)</f>
        <v>Rob</v>
      </c>
      <c r="J336" t="str">
        <f>_xlfn.XLOOKUP('data cleaned'!D336,products!$A$1:$A$49,products!$C$1:$C$49,0)</f>
        <v>L</v>
      </c>
      <c r="K336" s="5">
        <f>_xlfn.XLOOKUP('data cleaned'!D336,products!$A$1:$A$49,products!$D$1:$D$49,0)</f>
        <v>1</v>
      </c>
      <c r="L336" s="6">
        <f>_xlfn.XLOOKUP('data cleaned'!D336,products!$A$1:$A$49,products!$E$1:$E$49,0)</f>
        <v>11.95</v>
      </c>
      <c r="M336" s="6">
        <f>'data cleaned'!E336*'data cleaned'!L336</f>
        <v>59.75</v>
      </c>
      <c r="N336" t="str">
        <f t="shared" si="10"/>
        <v>Robusta</v>
      </c>
      <c r="O336" t="str">
        <f t="shared" si="11"/>
        <v>Light</v>
      </c>
      <c r="P336" t="str">
        <f>_xlfn.XLOOKUP(worksheet[[#This Row],[Customer ID]],customers!$A$1:$A$1001,customers!$I$1:$I$1001,0)</f>
        <v>No</v>
      </c>
    </row>
    <row r="337" spans="1:16" x14ac:dyDescent="0.25">
      <c r="A337" s="2" t="s">
        <v>2379</v>
      </c>
      <c r="B337" s="4">
        <v>43885</v>
      </c>
      <c r="C337" s="2" t="s">
        <v>2380</v>
      </c>
      <c r="D337" t="s">
        <v>6145</v>
      </c>
      <c r="E337" s="2">
        <v>6</v>
      </c>
      <c r="F337" s="2" t="str">
        <f>_xlfn.XLOOKUP(C337,customers!$A$1:$A$1001,customers!$B$1:$B$1001,0)</f>
        <v>Clement Vasiliev</v>
      </c>
      <c r="G337" s="2" t="s">
        <v>2382</v>
      </c>
      <c r="H337" s="2" t="str">
        <f>_xlfn.XLOOKUP(C337,customers!$A$1:$A$1001,customers!$G$1:$G$1001,0)</f>
        <v>United States</v>
      </c>
      <c r="I337" t="str">
        <f>_xlfn.XLOOKUP(D337,products!$A$1:$A$49,products!$B$1:$B$49,0)</f>
        <v>Lib</v>
      </c>
      <c r="J337" t="str">
        <f>_xlfn.XLOOKUP('data cleaned'!D337,products!$A$1:$A$49,products!$C$1:$C$49,0)</f>
        <v>L</v>
      </c>
      <c r="K337" s="5">
        <f>_xlfn.XLOOKUP('data cleaned'!D337,products!$A$1:$A$49,products!$D$1:$D$49,0)</f>
        <v>0.2</v>
      </c>
      <c r="L337" s="6">
        <f>_xlfn.XLOOKUP('data cleaned'!D337,products!$A$1:$A$49,products!$E$1:$E$49,0)</f>
        <v>4.7549999999999999</v>
      </c>
      <c r="M337" s="6">
        <f>'data cleaned'!E337*'data cleaned'!L337</f>
        <v>28.53</v>
      </c>
      <c r="N337" t="str">
        <f t="shared" si="10"/>
        <v>Liberica</v>
      </c>
      <c r="O337" t="str">
        <f t="shared" si="11"/>
        <v>Light</v>
      </c>
      <c r="P337" t="str">
        <f>_xlfn.XLOOKUP(worksheet[[#This Row],[Customer ID]],customers!$A$1:$A$1001,customers!$I$1:$I$1001,0)</f>
        <v>Yes</v>
      </c>
    </row>
    <row r="338" spans="1:16" x14ac:dyDescent="0.25">
      <c r="A338" s="2" t="s">
        <v>2385</v>
      </c>
      <c r="B338" s="4">
        <v>44434</v>
      </c>
      <c r="C338" s="2" t="s">
        <v>2386</v>
      </c>
      <c r="D338" t="s">
        <v>6155</v>
      </c>
      <c r="E338" s="2">
        <v>4</v>
      </c>
      <c r="F338" s="2" t="str">
        <f>_xlfn.XLOOKUP(C338,customers!$A$1:$A$1001,customers!$B$1:$B$1001,0)</f>
        <v>Terencio O'Moylan</v>
      </c>
      <c r="G338" s="2" t="s">
        <v>2388</v>
      </c>
      <c r="H338" s="2" t="str">
        <f>_xlfn.XLOOKUP(C338,customers!$A$1:$A$1001,customers!$G$1:$G$1001,0)</f>
        <v>United Kingdom</v>
      </c>
      <c r="I338" t="str">
        <f>_xlfn.XLOOKUP(D338,products!$A$1:$A$49,products!$B$1:$B$49,0)</f>
        <v>Ara</v>
      </c>
      <c r="J338" t="str">
        <f>_xlfn.XLOOKUP('data cleaned'!D338,products!$A$1:$A$49,products!$C$1:$C$49,0)</f>
        <v>M</v>
      </c>
      <c r="K338" s="5">
        <f>_xlfn.XLOOKUP('data cleaned'!D338,products!$A$1:$A$49,products!$D$1:$D$49,0)</f>
        <v>1</v>
      </c>
      <c r="L338" s="6">
        <f>_xlfn.XLOOKUP('data cleaned'!D338,products!$A$1:$A$49,products!$E$1:$E$49,0)</f>
        <v>11.25</v>
      </c>
      <c r="M338" s="6">
        <f>'data cleaned'!E338*'data cleaned'!L338</f>
        <v>45</v>
      </c>
      <c r="N338" t="str">
        <f t="shared" si="10"/>
        <v>Arabica</v>
      </c>
      <c r="O338" t="str">
        <f t="shared" si="11"/>
        <v>Medium</v>
      </c>
      <c r="P338" t="str">
        <f>_xlfn.XLOOKUP(worksheet[[#This Row],[Customer ID]],customers!$A$1:$A$1001,customers!$I$1:$I$1001,0)</f>
        <v>No</v>
      </c>
    </row>
    <row r="339" spans="1:16" x14ac:dyDescent="0.25">
      <c r="A339" s="2" t="s">
        <v>2391</v>
      </c>
      <c r="B339" s="4">
        <v>44472</v>
      </c>
      <c r="C339" s="2" t="s">
        <v>2331</v>
      </c>
      <c r="D339" t="s">
        <v>6185</v>
      </c>
      <c r="E339" s="2">
        <v>2</v>
      </c>
      <c r="F339" s="2" t="str">
        <f>_xlfn.XLOOKUP(C339,customers!$A$1:$A$1001,customers!$B$1:$B$1001,0)</f>
        <v>Flynn Antony</v>
      </c>
      <c r="G339" s="2" t="s">
        <v>6222</v>
      </c>
      <c r="H339" s="2" t="str">
        <f>_xlfn.XLOOKUP(C339,customers!$A$1:$A$1001,customers!$G$1:$G$1001,0)</f>
        <v>United States</v>
      </c>
      <c r="I339" t="str">
        <f>_xlfn.XLOOKUP(D339,products!$A$1:$A$49,products!$B$1:$B$49,0)</f>
        <v>Exc</v>
      </c>
      <c r="J339" t="str">
        <f>_xlfn.XLOOKUP('data cleaned'!D339,products!$A$1:$A$49,products!$C$1:$C$49,0)</f>
        <v>D</v>
      </c>
      <c r="K339" s="5">
        <f>_xlfn.XLOOKUP('data cleaned'!D339,products!$A$1:$A$49,products!$D$1:$D$49,0)</f>
        <v>2.5</v>
      </c>
      <c r="L339" s="6">
        <f>_xlfn.XLOOKUP('data cleaned'!D339,products!$A$1:$A$49,products!$E$1:$E$49,0)</f>
        <v>27.945</v>
      </c>
      <c r="M339" s="6">
        <f>'data cleaned'!E339*'data cleaned'!L339</f>
        <v>55.89</v>
      </c>
      <c r="N339" t="str">
        <f t="shared" si="10"/>
        <v>Excelsa</v>
      </c>
      <c r="O339" t="str">
        <f t="shared" si="11"/>
        <v>Dark</v>
      </c>
      <c r="P339" t="str">
        <f>_xlfn.XLOOKUP(worksheet[[#This Row],[Customer ID]],customers!$A$1:$A$1001,customers!$I$1:$I$1001,0)</f>
        <v>No</v>
      </c>
    </row>
    <row r="340" spans="1:16" x14ac:dyDescent="0.25">
      <c r="A340" s="2" t="s">
        <v>2396</v>
      </c>
      <c r="B340" s="4">
        <v>43995</v>
      </c>
      <c r="C340" s="2" t="s">
        <v>2397</v>
      </c>
      <c r="D340" t="s">
        <v>6171</v>
      </c>
      <c r="E340" s="2">
        <v>4</v>
      </c>
      <c r="F340" s="2" t="str">
        <f>_xlfn.XLOOKUP(C340,customers!$A$1:$A$1001,customers!$B$1:$B$1001,0)</f>
        <v>Wyatan Fetherston</v>
      </c>
      <c r="G340" s="2" t="s">
        <v>2399</v>
      </c>
      <c r="H340" s="2" t="str">
        <f>_xlfn.XLOOKUP(C340,customers!$A$1:$A$1001,customers!$G$1:$G$1001,0)</f>
        <v>United States</v>
      </c>
      <c r="I340" t="str">
        <f>_xlfn.XLOOKUP(D340,products!$A$1:$A$49,products!$B$1:$B$49,0)</f>
        <v>Exc</v>
      </c>
      <c r="J340" t="str">
        <f>_xlfn.XLOOKUP('data cleaned'!D340,products!$A$1:$A$49,products!$C$1:$C$49,0)</f>
        <v>L</v>
      </c>
      <c r="K340" s="5">
        <f>_xlfn.XLOOKUP('data cleaned'!D340,products!$A$1:$A$49,products!$D$1:$D$49,0)</f>
        <v>1</v>
      </c>
      <c r="L340" s="6">
        <f>_xlfn.XLOOKUP('data cleaned'!D340,products!$A$1:$A$49,products!$E$1:$E$49,0)</f>
        <v>14.85</v>
      </c>
      <c r="M340" s="6">
        <f>'data cleaned'!E340*'data cleaned'!L340</f>
        <v>59.4</v>
      </c>
      <c r="N340" t="str">
        <f t="shared" si="10"/>
        <v>Excelsa</v>
      </c>
      <c r="O340" t="str">
        <f t="shared" si="11"/>
        <v>Light</v>
      </c>
      <c r="P340" t="str">
        <f>_xlfn.XLOOKUP(worksheet[[#This Row],[Customer ID]],customers!$A$1:$A$1001,customers!$I$1:$I$1001,0)</f>
        <v>No</v>
      </c>
    </row>
    <row r="341" spans="1:16" x14ac:dyDescent="0.25">
      <c r="A341" s="2" t="s">
        <v>2402</v>
      </c>
      <c r="B341" s="4">
        <v>44256</v>
      </c>
      <c r="C341" s="2" t="s">
        <v>2403</v>
      </c>
      <c r="D341" t="s">
        <v>6153</v>
      </c>
      <c r="E341" s="2">
        <v>2</v>
      </c>
      <c r="F341" s="2" t="str">
        <f>_xlfn.XLOOKUP(C341,customers!$A$1:$A$1001,customers!$B$1:$B$1001,0)</f>
        <v>Emmaline Rasmus</v>
      </c>
      <c r="G341" s="2" t="s">
        <v>2405</v>
      </c>
      <c r="H341" s="2" t="str">
        <f>_xlfn.XLOOKUP(C341,customers!$A$1:$A$1001,customers!$G$1:$G$1001,0)</f>
        <v>United States</v>
      </c>
      <c r="I341" t="str">
        <f>_xlfn.XLOOKUP(D341,products!$A$1:$A$49,products!$B$1:$B$49,0)</f>
        <v>Exc</v>
      </c>
      <c r="J341" t="str">
        <f>_xlfn.XLOOKUP('data cleaned'!D341,products!$A$1:$A$49,products!$C$1:$C$49,0)</f>
        <v>D</v>
      </c>
      <c r="K341" s="5">
        <f>_xlfn.XLOOKUP('data cleaned'!D341,products!$A$1:$A$49,products!$D$1:$D$49,0)</f>
        <v>0.2</v>
      </c>
      <c r="L341" s="6">
        <f>_xlfn.XLOOKUP('data cleaned'!D341,products!$A$1:$A$49,products!$E$1:$E$49,0)</f>
        <v>3.645</v>
      </c>
      <c r="M341" s="6">
        <f>'data cleaned'!E341*'data cleaned'!L341</f>
        <v>7.29</v>
      </c>
      <c r="N341" t="str">
        <f t="shared" si="10"/>
        <v>Excelsa</v>
      </c>
      <c r="O341" t="str">
        <f t="shared" si="11"/>
        <v>Dark</v>
      </c>
      <c r="P341" t="str">
        <f>_xlfn.XLOOKUP(worksheet[[#This Row],[Customer ID]],customers!$A$1:$A$1001,customers!$I$1:$I$1001,0)</f>
        <v>Yes</v>
      </c>
    </row>
    <row r="342" spans="1:16" x14ac:dyDescent="0.25">
      <c r="A342" s="2" t="s">
        <v>2408</v>
      </c>
      <c r="B342" s="4">
        <v>43528</v>
      </c>
      <c r="C342" s="2" t="s">
        <v>2409</v>
      </c>
      <c r="D342" t="s">
        <v>6144</v>
      </c>
      <c r="E342" s="2">
        <v>1</v>
      </c>
      <c r="F342" s="2" t="str">
        <f>_xlfn.XLOOKUP(C342,customers!$A$1:$A$1001,customers!$B$1:$B$1001,0)</f>
        <v>Wesley Giorgioni</v>
      </c>
      <c r="G342" s="2" t="s">
        <v>2411</v>
      </c>
      <c r="H342" s="2" t="str">
        <f>_xlfn.XLOOKUP(C342,customers!$A$1:$A$1001,customers!$G$1:$G$1001,0)</f>
        <v>United States</v>
      </c>
      <c r="I342" t="str">
        <f>_xlfn.XLOOKUP(D342,products!$A$1:$A$49,products!$B$1:$B$49,0)</f>
        <v>Exc</v>
      </c>
      <c r="J342" t="str">
        <f>_xlfn.XLOOKUP('data cleaned'!D342,products!$A$1:$A$49,products!$C$1:$C$49,0)</f>
        <v>D</v>
      </c>
      <c r="K342" s="5">
        <f>_xlfn.XLOOKUP('data cleaned'!D342,products!$A$1:$A$49,products!$D$1:$D$49,0)</f>
        <v>0.5</v>
      </c>
      <c r="L342" s="6">
        <f>_xlfn.XLOOKUP('data cleaned'!D342,products!$A$1:$A$49,products!$E$1:$E$49,0)</f>
        <v>7.29</v>
      </c>
      <c r="M342" s="6">
        <f>'data cleaned'!E342*'data cleaned'!L342</f>
        <v>7.29</v>
      </c>
      <c r="N342" t="str">
        <f t="shared" si="10"/>
        <v>Excelsa</v>
      </c>
      <c r="O342" t="str">
        <f t="shared" si="11"/>
        <v>Dark</v>
      </c>
      <c r="P342" t="str">
        <f>_xlfn.XLOOKUP(worksheet[[#This Row],[Customer ID]],customers!$A$1:$A$1001,customers!$I$1:$I$1001,0)</f>
        <v>Yes</v>
      </c>
    </row>
    <row r="343" spans="1:16" x14ac:dyDescent="0.25">
      <c r="A343" s="2" t="s">
        <v>2414</v>
      </c>
      <c r="B343" s="4">
        <v>43751</v>
      </c>
      <c r="C343" s="2" t="s">
        <v>2415</v>
      </c>
      <c r="D343" t="s">
        <v>6176</v>
      </c>
      <c r="E343" s="2">
        <v>2</v>
      </c>
      <c r="F343" s="2" t="str">
        <f>_xlfn.XLOOKUP(C343,customers!$A$1:$A$1001,customers!$B$1:$B$1001,0)</f>
        <v>Lucienne Scargle</v>
      </c>
      <c r="G343" s="2" t="s">
        <v>2417</v>
      </c>
      <c r="H343" s="2" t="str">
        <f>_xlfn.XLOOKUP(C343,customers!$A$1:$A$1001,customers!$G$1:$G$1001,0)</f>
        <v>United States</v>
      </c>
      <c r="I343" t="str">
        <f>_xlfn.XLOOKUP(D343,products!$A$1:$A$49,products!$B$1:$B$49,0)</f>
        <v>Exc</v>
      </c>
      <c r="J343" t="str">
        <f>_xlfn.XLOOKUP('data cleaned'!D343,products!$A$1:$A$49,products!$C$1:$C$49,0)</f>
        <v>L</v>
      </c>
      <c r="K343" s="5">
        <f>_xlfn.XLOOKUP('data cleaned'!D343,products!$A$1:$A$49,products!$D$1:$D$49,0)</f>
        <v>0.5</v>
      </c>
      <c r="L343" s="6">
        <f>_xlfn.XLOOKUP('data cleaned'!D343,products!$A$1:$A$49,products!$E$1:$E$49,0)</f>
        <v>8.91</v>
      </c>
      <c r="M343" s="6">
        <f>'data cleaned'!E343*'data cleaned'!L343</f>
        <v>17.82</v>
      </c>
      <c r="N343" t="str">
        <f t="shared" si="10"/>
        <v>Excelsa</v>
      </c>
      <c r="O343" t="str">
        <f t="shared" si="11"/>
        <v>Light</v>
      </c>
      <c r="P343" t="str">
        <f>_xlfn.XLOOKUP(worksheet[[#This Row],[Customer ID]],customers!$A$1:$A$1001,customers!$I$1:$I$1001,0)</f>
        <v>No</v>
      </c>
    </row>
    <row r="344" spans="1:16" x14ac:dyDescent="0.25">
      <c r="A344" s="2" t="s">
        <v>2414</v>
      </c>
      <c r="B344" s="4">
        <v>43751</v>
      </c>
      <c r="C344" s="2" t="s">
        <v>2415</v>
      </c>
      <c r="D344" t="s">
        <v>6169</v>
      </c>
      <c r="E344" s="2">
        <v>5</v>
      </c>
      <c r="F344" s="2" t="str">
        <f>_xlfn.XLOOKUP(C344,customers!$A$1:$A$1001,customers!$B$1:$B$1001,0)</f>
        <v>Lucienne Scargle</v>
      </c>
      <c r="G344" s="2" t="s">
        <v>2417</v>
      </c>
      <c r="H344" s="2" t="str">
        <f>_xlfn.XLOOKUP(C344,customers!$A$1:$A$1001,customers!$G$1:$G$1001,0)</f>
        <v>United States</v>
      </c>
      <c r="I344" t="str">
        <f>_xlfn.XLOOKUP(D344,products!$A$1:$A$49,products!$B$1:$B$49,0)</f>
        <v>Lib</v>
      </c>
      <c r="J344" t="str">
        <f>_xlfn.XLOOKUP('data cleaned'!D344,products!$A$1:$A$49,products!$C$1:$C$49,0)</f>
        <v>D</v>
      </c>
      <c r="K344" s="5">
        <f>_xlfn.XLOOKUP('data cleaned'!D344,products!$A$1:$A$49,products!$D$1:$D$49,0)</f>
        <v>0.5</v>
      </c>
      <c r="L344" s="6">
        <f>_xlfn.XLOOKUP('data cleaned'!D344,products!$A$1:$A$49,products!$E$1:$E$49,0)</f>
        <v>7.77</v>
      </c>
      <c r="M344" s="6">
        <f>'data cleaned'!E344*'data cleaned'!L344</f>
        <v>38.849999999999994</v>
      </c>
      <c r="N344" t="str">
        <f t="shared" si="10"/>
        <v>Liberica</v>
      </c>
      <c r="O344" t="str">
        <f t="shared" si="11"/>
        <v>Dark</v>
      </c>
      <c r="P344" t="str">
        <f>_xlfn.XLOOKUP(worksheet[[#This Row],[Customer ID]],customers!$A$1:$A$1001,customers!$I$1:$I$1001,0)</f>
        <v>No</v>
      </c>
    </row>
    <row r="345" spans="1:16" x14ac:dyDescent="0.25">
      <c r="A345" s="2" t="s">
        <v>2424</v>
      </c>
      <c r="B345" s="4">
        <v>43692</v>
      </c>
      <c r="C345" s="2" t="s">
        <v>2425</v>
      </c>
      <c r="D345" t="s">
        <v>6172</v>
      </c>
      <c r="E345" s="2">
        <v>6</v>
      </c>
      <c r="F345" s="2" t="str">
        <f>_xlfn.XLOOKUP(C345,customers!$A$1:$A$1001,customers!$B$1:$B$1001,0)</f>
        <v>Noam Climance</v>
      </c>
      <c r="G345" s="2" t="s">
        <v>2427</v>
      </c>
      <c r="H345" s="2" t="str">
        <f>_xlfn.XLOOKUP(C345,customers!$A$1:$A$1001,customers!$G$1:$G$1001,0)</f>
        <v>United States</v>
      </c>
      <c r="I345" t="str">
        <f>_xlfn.XLOOKUP(D345,products!$A$1:$A$49,products!$B$1:$B$49,0)</f>
        <v>Rob</v>
      </c>
      <c r="J345" t="str">
        <f>_xlfn.XLOOKUP('data cleaned'!D345,products!$A$1:$A$49,products!$C$1:$C$49,0)</f>
        <v>D</v>
      </c>
      <c r="K345" s="5">
        <f>_xlfn.XLOOKUP('data cleaned'!D345,products!$A$1:$A$49,products!$D$1:$D$49,0)</f>
        <v>0.5</v>
      </c>
      <c r="L345" s="6">
        <f>_xlfn.XLOOKUP('data cleaned'!D345,products!$A$1:$A$49,products!$E$1:$E$49,0)</f>
        <v>5.3699999999999992</v>
      </c>
      <c r="M345" s="6">
        <f>'data cleaned'!E345*'data cleaned'!L345</f>
        <v>32.22</v>
      </c>
      <c r="N345" t="str">
        <f t="shared" si="10"/>
        <v>Robusta</v>
      </c>
      <c r="O345" t="str">
        <f t="shared" si="11"/>
        <v>Dark</v>
      </c>
      <c r="P345" t="str">
        <f>_xlfn.XLOOKUP(worksheet[[#This Row],[Customer ID]],customers!$A$1:$A$1001,customers!$I$1:$I$1001,0)</f>
        <v>No</v>
      </c>
    </row>
    <row r="346" spans="1:16" x14ac:dyDescent="0.25">
      <c r="A346" s="2" t="s">
        <v>2429</v>
      </c>
      <c r="B346" s="4">
        <v>44529</v>
      </c>
      <c r="C346" s="2" t="s">
        <v>2430</v>
      </c>
      <c r="D346" t="s">
        <v>6138</v>
      </c>
      <c r="E346" s="2">
        <v>2</v>
      </c>
      <c r="F346" s="2" t="str">
        <f>_xlfn.XLOOKUP(C346,customers!$A$1:$A$1001,customers!$B$1:$B$1001,0)</f>
        <v>Catarina Donn</v>
      </c>
      <c r="G346" s="2" t="s">
        <v>6222</v>
      </c>
      <c r="H346" s="2" t="str">
        <f>_xlfn.XLOOKUP(C346,customers!$A$1:$A$1001,customers!$G$1:$G$1001,0)</f>
        <v>Ireland</v>
      </c>
      <c r="I346" t="str">
        <f>_xlfn.XLOOKUP(D346,products!$A$1:$A$49,products!$B$1:$B$49,0)</f>
        <v>Rob</v>
      </c>
      <c r="J346" t="str">
        <f>_xlfn.XLOOKUP('data cleaned'!D346,products!$A$1:$A$49,products!$C$1:$C$49,0)</f>
        <v>M</v>
      </c>
      <c r="K346" s="5">
        <f>_xlfn.XLOOKUP('data cleaned'!D346,products!$A$1:$A$49,products!$D$1:$D$49,0)</f>
        <v>1</v>
      </c>
      <c r="L346" s="6">
        <f>_xlfn.XLOOKUP('data cleaned'!D346,products!$A$1:$A$49,products!$E$1:$E$49,0)</f>
        <v>9.9499999999999993</v>
      </c>
      <c r="M346" s="6">
        <f>'data cleaned'!E346*'data cleaned'!L346</f>
        <v>19.899999999999999</v>
      </c>
      <c r="N346" t="str">
        <f t="shared" si="10"/>
        <v>Robusta</v>
      </c>
      <c r="O346" t="str">
        <f t="shared" si="11"/>
        <v>Medium</v>
      </c>
      <c r="P346" t="str">
        <f>_xlfn.XLOOKUP(worksheet[[#This Row],[Customer ID]],customers!$A$1:$A$1001,customers!$I$1:$I$1001,0)</f>
        <v>Yes</v>
      </c>
    </row>
    <row r="347" spans="1:16" x14ac:dyDescent="0.25">
      <c r="A347" s="2" t="s">
        <v>2434</v>
      </c>
      <c r="B347" s="4">
        <v>43849</v>
      </c>
      <c r="C347" s="2" t="s">
        <v>2435</v>
      </c>
      <c r="D347" t="s">
        <v>6179</v>
      </c>
      <c r="E347" s="2">
        <v>5</v>
      </c>
      <c r="F347" s="2" t="str">
        <f>_xlfn.XLOOKUP(C347,customers!$A$1:$A$1001,customers!$B$1:$B$1001,0)</f>
        <v>Ameline Snazle</v>
      </c>
      <c r="G347" s="2" t="s">
        <v>2437</v>
      </c>
      <c r="H347" s="2" t="str">
        <f>_xlfn.XLOOKUP(C347,customers!$A$1:$A$1001,customers!$G$1:$G$1001,0)</f>
        <v>United States</v>
      </c>
      <c r="I347" t="str">
        <f>_xlfn.XLOOKUP(D347,products!$A$1:$A$49,products!$B$1:$B$49,0)</f>
        <v>Rob</v>
      </c>
      <c r="J347" t="str">
        <f>_xlfn.XLOOKUP('data cleaned'!D347,products!$A$1:$A$49,products!$C$1:$C$49,0)</f>
        <v>L</v>
      </c>
      <c r="K347" s="5">
        <f>_xlfn.XLOOKUP('data cleaned'!D347,products!$A$1:$A$49,products!$D$1:$D$49,0)</f>
        <v>1</v>
      </c>
      <c r="L347" s="6">
        <f>_xlfn.XLOOKUP('data cleaned'!D347,products!$A$1:$A$49,products!$E$1:$E$49,0)</f>
        <v>11.95</v>
      </c>
      <c r="M347" s="6">
        <f>'data cleaned'!E347*'data cleaned'!L347</f>
        <v>59.75</v>
      </c>
      <c r="N347" t="str">
        <f t="shared" si="10"/>
        <v>Robusta</v>
      </c>
      <c r="O347" t="str">
        <f t="shared" si="11"/>
        <v>Light</v>
      </c>
      <c r="P347" t="str">
        <f>_xlfn.XLOOKUP(worksheet[[#This Row],[Customer ID]],customers!$A$1:$A$1001,customers!$I$1:$I$1001,0)</f>
        <v>No</v>
      </c>
    </row>
    <row r="348" spans="1:16" x14ac:dyDescent="0.25">
      <c r="A348" s="2" t="s">
        <v>2440</v>
      </c>
      <c r="B348" s="4">
        <v>44344</v>
      </c>
      <c r="C348" s="2" t="s">
        <v>2441</v>
      </c>
      <c r="D348" t="s">
        <v>6180</v>
      </c>
      <c r="E348" s="2">
        <v>3</v>
      </c>
      <c r="F348" s="2" t="str">
        <f>_xlfn.XLOOKUP(C348,customers!$A$1:$A$1001,customers!$B$1:$B$1001,0)</f>
        <v>Rebeka Worg</v>
      </c>
      <c r="G348" s="2" t="s">
        <v>2443</v>
      </c>
      <c r="H348" s="2" t="str">
        <f>_xlfn.XLOOKUP(C348,customers!$A$1:$A$1001,customers!$G$1:$G$1001,0)</f>
        <v>United States</v>
      </c>
      <c r="I348" t="str">
        <f>_xlfn.XLOOKUP(D348,products!$A$1:$A$49,products!$B$1:$B$49,0)</f>
        <v>Ara</v>
      </c>
      <c r="J348" t="str">
        <f>_xlfn.XLOOKUP('data cleaned'!D348,products!$A$1:$A$49,products!$C$1:$C$49,0)</f>
        <v>L</v>
      </c>
      <c r="K348" s="5">
        <f>_xlfn.XLOOKUP('data cleaned'!D348,products!$A$1:$A$49,products!$D$1:$D$49,0)</f>
        <v>0.5</v>
      </c>
      <c r="L348" s="6">
        <f>_xlfn.XLOOKUP('data cleaned'!D348,products!$A$1:$A$49,products!$E$1:$E$49,0)</f>
        <v>7.77</v>
      </c>
      <c r="M348" s="6">
        <f>'data cleaned'!E348*'data cleaned'!L348</f>
        <v>23.31</v>
      </c>
      <c r="N348" t="str">
        <f t="shared" si="10"/>
        <v>Arabica</v>
      </c>
      <c r="O348" t="str">
        <f t="shared" si="11"/>
        <v>Light</v>
      </c>
      <c r="P348" t="str">
        <f>_xlfn.XLOOKUP(worksheet[[#This Row],[Customer ID]],customers!$A$1:$A$1001,customers!$I$1:$I$1001,0)</f>
        <v>Yes</v>
      </c>
    </row>
    <row r="349" spans="1:16" x14ac:dyDescent="0.25">
      <c r="A349" s="2" t="s">
        <v>2446</v>
      </c>
      <c r="B349" s="4">
        <v>44576</v>
      </c>
      <c r="C349" s="2" t="s">
        <v>2447</v>
      </c>
      <c r="D349" t="s">
        <v>6162</v>
      </c>
      <c r="E349" s="2">
        <v>3</v>
      </c>
      <c r="F349" s="2" t="str">
        <f>_xlfn.XLOOKUP(C349,customers!$A$1:$A$1001,customers!$B$1:$B$1001,0)</f>
        <v>Lewes Danes</v>
      </c>
      <c r="G349" s="2" t="s">
        <v>2449</v>
      </c>
      <c r="H349" s="2" t="str">
        <f>_xlfn.XLOOKUP(C349,customers!$A$1:$A$1001,customers!$G$1:$G$1001,0)</f>
        <v>United States</v>
      </c>
      <c r="I349" t="str">
        <f>_xlfn.XLOOKUP(D349,products!$A$1:$A$49,products!$B$1:$B$49,0)</f>
        <v>Lib</v>
      </c>
      <c r="J349" t="str">
        <f>_xlfn.XLOOKUP('data cleaned'!D349,products!$A$1:$A$49,products!$C$1:$C$49,0)</f>
        <v>M</v>
      </c>
      <c r="K349" s="5">
        <f>_xlfn.XLOOKUP('data cleaned'!D349,products!$A$1:$A$49,products!$D$1:$D$49,0)</f>
        <v>1</v>
      </c>
      <c r="L349" s="6">
        <f>_xlfn.XLOOKUP('data cleaned'!D349,products!$A$1:$A$49,products!$E$1:$E$49,0)</f>
        <v>14.55</v>
      </c>
      <c r="M349" s="6">
        <f>'data cleaned'!E349*'data cleaned'!L349</f>
        <v>43.650000000000006</v>
      </c>
      <c r="N349" t="str">
        <f t="shared" si="10"/>
        <v>Liberica</v>
      </c>
      <c r="O349" t="str">
        <f t="shared" si="11"/>
        <v>Medium</v>
      </c>
      <c r="P349" t="str">
        <f>_xlfn.XLOOKUP(worksheet[[#This Row],[Customer ID]],customers!$A$1:$A$1001,customers!$I$1:$I$1001,0)</f>
        <v>No</v>
      </c>
    </row>
    <row r="350" spans="1:16" x14ac:dyDescent="0.25">
      <c r="A350" s="2" t="s">
        <v>2452</v>
      </c>
      <c r="B350" s="4">
        <v>43803</v>
      </c>
      <c r="C350" s="2" t="s">
        <v>2453</v>
      </c>
      <c r="D350" t="s">
        <v>6148</v>
      </c>
      <c r="E350" s="2">
        <v>6</v>
      </c>
      <c r="F350" s="2" t="str">
        <f>_xlfn.XLOOKUP(C350,customers!$A$1:$A$1001,customers!$B$1:$B$1001,0)</f>
        <v>Shelli Keynd</v>
      </c>
      <c r="G350" s="2" t="s">
        <v>2455</v>
      </c>
      <c r="H350" s="2" t="str">
        <f>_xlfn.XLOOKUP(C350,customers!$A$1:$A$1001,customers!$G$1:$G$1001,0)</f>
        <v>United States</v>
      </c>
      <c r="I350" t="str">
        <f>_xlfn.XLOOKUP(D350,products!$A$1:$A$49,products!$B$1:$B$49,0)</f>
        <v>Exc</v>
      </c>
      <c r="J350" t="str">
        <f>_xlfn.XLOOKUP('data cleaned'!D350,products!$A$1:$A$49,products!$C$1:$C$49,0)</f>
        <v>L</v>
      </c>
      <c r="K350" s="5">
        <f>_xlfn.XLOOKUP('data cleaned'!D350,products!$A$1:$A$49,products!$D$1:$D$49,0)</f>
        <v>2.5</v>
      </c>
      <c r="L350" s="6">
        <f>_xlfn.XLOOKUP('data cleaned'!D350,products!$A$1:$A$49,products!$E$1:$E$49,0)</f>
        <v>34.154999999999994</v>
      </c>
      <c r="M350" s="6">
        <f>'data cleaned'!E350*'data cleaned'!L350</f>
        <v>204.92999999999995</v>
      </c>
      <c r="N350" t="str">
        <f t="shared" si="10"/>
        <v>Excelsa</v>
      </c>
      <c r="O350" t="str">
        <f t="shared" si="11"/>
        <v>Light</v>
      </c>
      <c r="P350" t="str">
        <f>_xlfn.XLOOKUP(worksheet[[#This Row],[Customer ID]],customers!$A$1:$A$1001,customers!$I$1:$I$1001,0)</f>
        <v>No</v>
      </c>
    </row>
    <row r="351" spans="1:16" x14ac:dyDescent="0.25">
      <c r="A351" s="2" t="s">
        <v>2458</v>
      </c>
      <c r="B351" s="4">
        <v>44743</v>
      </c>
      <c r="C351" s="2" t="s">
        <v>2459</v>
      </c>
      <c r="D351" t="s">
        <v>6178</v>
      </c>
      <c r="E351" s="2">
        <v>4</v>
      </c>
      <c r="F351" s="2" t="str">
        <f>_xlfn.XLOOKUP(C351,customers!$A$1:$A$1001,customers!$B$1:$B$1001,0)</f>
        <v>Dell Daveridge</v>
      </c>
      <c r="G351" s="2" t="s">
        <v>2461</v>
      </c>
      <c r="H351" s="2" t="str">
        <f>_xlfn.XLOOKUP(C351,customers!$A$1:$A$1001,customers!$G$1:$G$1001,0)</f>
        <v>United States</v>
      </c>
      <c r="I351" t="str">
        <f>_xlfn.XLOOKUP(D351,products!$A$1:$A$49,products!$B$1:$B$49,0)</f>
        <v>Rob</v>
      </c>
      <c r="J351" t="str">
        <f>_xlfn.XLOOKUP('data cleaned'!D351,products!$A$1:$A$49,products!$C$1:$C$49,0)</f>
        <v>L</v>
      </c>
      <c r="K351" s="5">
        <f>_xlfn.XLOOKUP('data cleaned'!D351,products!$A$1:$A$49,products!$D$1:$D$49,0)</f>
        <v>0.2</v>
      </c>
      <c r="L351" s="6">
        <f>_xlfn.XLOOKUP('data cleaned'!D351,products!$A$1:$A$49,products!$E$1:$E$49,0)</f>
        <v>3.5849999999999995</v>
      </c>
      <c r="M351" s="6">
        <f>'data cleaned'!E351*'data cleaned'!L351</f>
        <v>14.339999999999998</v>
      </c>
      <c r="N351" t="str">
        <f t="shared" si="10"/>
        <v>Robusta</v>
      </c>
      <c r="O351" t="str">
        <f t="shared" si="11"/>
        <v>Light</v>
      </c>
      <c r="P351" t="str">
        <f>_xlfn.XLOOKUP(worksheet[[#This Row],[Customer ID]],customers!$A$1:$A$1001,customers!$I$1:$I$1001,0)</f>
        <v>No</v>
      </c>
    </row>
    <row r="352" spans="1:16" x14ac:dyDescent="0.25">
      <c r="A352" s="2" t="s">
        <v>2464</v>
      </c>
      <c r="B352" s="4">
        <v>43592</v>
      </c>
      <c r="C352" s="2" t="s">
        <v>2465</v>
      </c>
      <c r="D352" t="s">
        <v>6158</v>
      </c>
      <c r="E352" s="2">
        <v>4</v>
      </c>
      <c r="F352" s="2" t="str">
        <f>_xlfn.XLOOKUP(C352,customers!$A$1:$A$1001,customers!$B$1:$B$1001,0)</f>
        <v>Joshuah Awdry</v>
      </c>
      <c r="G352" s="2" t="s">
        <v>2467</v>
      </c>
      <c r="H352" s="2" t="str">
        <f>_xlfn.XLOOKUP(C352,customers!$A$1:$A$1001,customers!$G$1:$G$1001,0)</f>
        <v>United States</v>
      </c>
      <c r="I352" t="str">
        <f>_xlfn.XLOOKUP(D352,products!$A$1:$A$49,products!$B$1:$B$49,0)</f>
        <v>Ara</v>
      </c>
      <c r="J352" t="str">
        <f>_xlfn.XLOOKUP('data cleaned'!D352,products!$A$1:$A$49,products!$C$1:$C$49,0)</f>
        <v>D</v>
      </c>
      <c r="K352" s="5">
        <f>_xlfn.XLOOKUP('data cleaned'!D352,products!$A$1:$A$49,products!$D$1:$D$49,0)</f>
        <v>0.5</v>
      </c>
      <c r="L352" s="6">
        <f>_xlfn.XLOOKUP('data cleaned'!D352,products!$A$1:$A$49,products!$E$1:$E$49,0)</f>
        <v>5.97</v>
      </c>
      <c r="M352" s="6">
        <f>'data cleaned'!E352*'data cleaned'!L352</f>
        <v>23.88</v>
      </c>
      <c r="N352" t="str">
        <f t="shared" si="10"/>
        <v>Arabica</v>
      </c>
      <c r="O352" t="str">
        <f t="shared" si="11"/>
        <v>Dark</v>
      </c>
      <c r="P352" t="str">
        <f>_xlfn.XLOOKUP(worksheet[[#This Row],[Customer ID]],customers!$A$1:$A$1001,customers!$I$1:$I$1001,0)</f>
        <v>No</v>
      </c>
    </row>
    <row r="353" spans="1:16" x14ac:dyDescent="0.25">
      <c r="A353" s="2" t="s">
        <v>2470</v>
      </c>
      <c r="B353" s="4">
        <v>44066</v>
      </c>
      <c r="C353" s="2" t="s">
        <v>2471</v>
      </c>
      <c r="D353" t="s">
        <v>6155</v>
      </c>
      <c r="E353" s="2">
        <v>2</v>
      </c>
      <c r="F353" s="2" t="str">
        <f>_xlfn.XLOOKUP(C353,customers!$A$1:$A$1001,customers!$B$1:$B$1001,0)</f>
        <v>Ethel Ryles</v>
      </c>
      <c r="G353" s="2" t="s">
        <v>2473</v>
      </c>
      <c r="H353" s="2" t="str">
        <f>_xlfn.XLOOKUP(C353,customers!$A$1:$A$1001,customers!$G$1:$G$1001,0)</f>
        <v>United States</v>
      </c>
      <c r="I353" t="str">
        <f>_xlfn.XLOOKUP(D353,products!$A$1:$A$49,products!$B$1:$B$49,0)</f>
        <v>Ara</v>
      </c>
      <c r="J353" t="str">
        <f>_xlfn.XLOOKUP('data cleaned'!D353,products!$A$1:$A$49,products!$C$1:$C$49,0)</f>
        <v>M</v>
      </c>
      <c r="K353" s="5">
        <f>_xlfn.XLOOKUP('data cleaned'!D353,products!$A$1:$A$49,products!$D$1:$D$49,0)</f>
        <v>1</v>
      </c>
      <c r="L353" s="6">
        <f>_xlfn.XLOOKUP('data cleaned'!D353,products!$A$1:$A$49,products!$E$1:$E$49,0)</f>
        <v>11.25</v>
      </c>
      <c r="M353" s="6">
        <f>'data cleaned'!E353*'data cleaned'!L353</f>
        <v>22.5</v>
      </c>
      <c r="N353" t="str">
        <f t="shared" si="10"/>
        <v>Arabica</v>
      </c>
      <c r="O353" t="str">
        <f t="shared" si="11"/>
        <v>Medium</v>
      </c>
      <c r="P353" t="str">
        <f>_xlfn.XLOOKUP(worksheet[[#This Row],[Customer ID]],customers!$A$1:$A$1001,customers!$I$1:$I$1001,0)</f>
        <v>No</v>
      </c>
    </row>
    <row r="354" spans="1:16" x14ac:dyDescent="0.25">
      <c r="A354" s="2" t="s">
        <v>2476</v>
      </c>
      <c r="B354" s="4">
        <v>43984</v>
      </c>
      <c r="C354" s="2" t="s">
        <v>2331</v>
      </c>
      <c r="D354" t="s">
        <v>6144</v>
      </c>
      <c r="E354" s="2">
        <v>5</v>
      </c>
      <c r="F354" s="2" t="str">
        <f>_xlfn.XLOOKUP(C354,customers!$A$1:$A$1001,customers!$B$1:$B$1001,0)</f>
        <v>Flynn Antony</v>
      </c>
      <c r="G354" s="2" t="s">
        <v>6222</v>
      </c>
      <c r="H354" s="2" t="str">
        <f>_xlfn.XLOOKUP(C354,customers!$A$1:$A$1001,customers!$G$1:$G$1001,0)</f>
        <v>United States</v>
      </c>
      <c r="I354" t="str">
        <f>_xlfn.XLOOKUP(D354,products!$A$1:$A$49,products!$B$1:$B$49,0)</f>
        <v>Exc</v>
      </c>
      <c r="J354" t="str">
        <f>_xlfn.XLOOKUP('data cleaned'!D354,products!$A$1:$A$49,products!$C$1:$C$49,0)</f>
        <v>D</v>
      </c>
      <c r="K354" s="5">
        <f>_xlfn.XLOOKUP('data cleaned'!D354,products!$A$1:$A$49,products!$D$1:$D$49,0)</f>
        <v>0.5</v>
      </c>
      <c r="L354" s="6">
        <f>_xlfn.XLOOKUP('data cleaned'!D354,products!$A$1:$A$49,products!$E$1:$E$49,0)</f>
        <v>7.29</v>
      </c>
      <c r="M354" s="6">
        <f>'data cleaned'!E354*'data cleaned'!L354</f>
        <v>36.450000000000003</v>
      </c>
      <c r="N354" t="str">
        <f t="shared" si="10"/>
        <v>Excelsa</v>
      </c>
      <c r="O354" t="str">
        <f t="shared" si="11"/>
        <v>Dark</v>
      </c>
      <c r="P354" t="str">
        <f>_xlfn.XLOOKUP(worksheet[[#This Row],[Customer ID]],customers!$A$1:$A$1001,customers!$I$1:$I$1001,0)</f>
        <v>No</v>
      </c>
    </row>
    <row r="355" spans="1:16" x14ac:dyDescent="0.25">
      <c r="A355" s="2" t="s">
        <v>2482</v>
      </c>
      <c r="B355" s="4">
        <v>43860</v>
      </c>
      <c r="C355" s="2" t="s">
        <v>2483</v>
      </c>
      <c r="D355" t="s">
        <v>6157</v>
      </c>
      <c r="E355" s="2">
        <v>4</v>
      </c>
      <c r="F355" s="2" t="str">
        <f>_xlfn.XLOOKUP(C355,customers!$A$1:$A$1001,customers!$B$1:$B$1001,0)</f>
        <v>Maitilde Boxill</v>
      </c>
      <c r="G355" s="2" t="s">
        <v>6222</v>
      </c>
      <c r="H355" s="2" t="str">
        <f>_xlfn.XLOOKUP(C355,customers!$A$1:$A$1001,customers!$G$1:$G$1001,0)</f>
        <v>United States</v>
      </c>
      <c r="I355" t="str">
        <f>_xlfn.XLOOKUP(D355,products!$A$1:$A$49,products!$B$1:$B$49,0)</f>
        <v>Ara</v>
      </c>
      <c r="J355" t="str">
        <f>_xlfn.XLOOKUP('data cleaned'!D355,products!$A$1:$A$49,products!$C$1:$C$49,0)</f>
        <v>M</v>
      </c>
      <c r="K355" s="5">
        <f>_xlfn.XLOOKUP('data cleaned'!D355,products!$A$1:$A$49,products!$D$1:$D$49,0)</f>
        <v>0.5</v>
      </c>
      <c r="L355" s="6">
        <f>_xlfn.XLOOKUP('data cleaned'!D355,products!$A$1:$A$49,products!$E$1:$E$49,0)</f>
        <v>6.75</v>
      </c>
      <c r="M355" s="6">
        <f>'data cleaned'!E355*'data cleaned'!L355</f>
        <v>27</v>
      </c>
      <c r="N355" t="str">
        <f t="shared" si="10"/>
        <v>Arabica</v>
      </c>
      <c r="O355" t="str">
        <f t="shared" si="11"/>
        <v>Medium</v>
      </c>
      <c r="P355" t="str">
        <f>_xlfn.XLOOKUP(worksheet[[#This Row],[Customer ID]],customers!$A$1:$A$1001,customers!$I$1:$I$1001,0)</f>
        <v>Yes</v>
      </c>
    </row>
    <row r="356" spans="1:16" x14ac:dyDescent="0.25">
      <c r="A356" s="2" t="s">
        <v>2487</v>
      </c>
      <c r="B356" s="4">
        <v>43876</v>
      </c>
      <c r="C356" s="2" t="s">
        <v>2488</v>
      </c>
      <c r="D356" t="s">
        <v>6175</v>
      </c>
      <c r="E356" s="2">
        <v>6</v>
      </c>
      <c r="F356" s="2" t="str">
        <f>_xlfn.XLOOKUP(C356,customers!$A$1:$A$1001,customers!$B$1:$B$1001,0)</f>
        <v>Jodee Caldicott</v>
      </c>
      <c r="G356" s="2" t="s">
        <v>2490</v>
      </c>
      <c r="H356" s="2" t="str">
        <f>_xlfn.XLOOKUP(C356,customers!$A$1:$A$1001,customers!$G$1:$G$1001,0)</f>
        <v>United States</v>
      </c>
      <c r="I356" t="str">
        <f>_xlfn.XLOOKUP(D356,products!$A$1:$A$49,products!$B$1:$B$49,0)</f>
        <v>Ara</v>
      </c>
      <c r="J356" t="str">
        <f>_xlfn.XLOOKUP('data cleaned'!D356,products!$A$1:$A$49,products!$C$1:$C$49,0)</f>
        <v>M</v>
      </c>
      <c r="K356" s="5">
        <f>_xlfn.XLOOKUP('data cleaned'!D356,products!$A$1:$A$49,products!$D$1:$D$49,0)</f>
        <v>2.5</v>
      </c>
      <c r="L356" s="6">
        <f>_xlfn.XLOOKUP('data cleaned'!D356,products!$A$1:$A$49,products!$E$1:$E$49,0)</f>
        <v>25.874999999999996</v>
      </c>
      <c r="M356" s="6">
        <f>'data cleaned'!E356*'data cleaned'!L356</f>
        <v>155.24999999999997</v>
      </c>
      <c r="N356" t="str">
        <f t="shared" si="10"/>
        <v>Arabica</v>
      </c>
      <c r="O356" t="str">
        <f t="shared" si="11"/>
        <v>Medium</v>
      </c>
      <c r="P356" t="str">
        <f>_xlfn.XLOOKUP(worksheet[[#This Row],[Customer ID]],customers!$A$1:$A$1001,customers!$I$1:$I$1001,0)</f>
        <v>No</v>
      </c>
    </row>
    <row r="357" spans="1:16" x14ac:dyDescent="0.25">
      <c r="A357" s="2" t="s">
        <v>2492</v>
      </c>
      <c r="B357" s="4">
        <v>44358</v>
      </c>
      <c r="C357" s="2" t="s">
        <v>2493</v>
      </c>
      <c r="D357" t="s">
        <v>6168</v>
      </c>
      <c r="E357" s="2">
        <v>5</v>
      </c>
      <c r="F357" s="2" t="str">
        <f>_xlfn.XLOOKUP(C357,customers!$A$1:$A$1001,customers!$B$1:$B$1001,0)</f>
        <v>Marianna Vedmore</v>
      </c>
      <c r="G357" s="2" t="s">
        <v>2495</v>
      </c>
      <c r="H357" s="2" t="str">
        <f>_xlfn.XLOOKUP(C357,customers!$A$1:$A$1001,customers!$G$1:$G$1001,0)</f>
        <v>United States</v>
      </c>
      <c r="I357" t="str">
        <f>_xlfn.XLOOKUP(D357,products!$A$1:$A$49,products!$B$1:$B$49,0)</f>
        <v>Ara</v>
      </c>
      <c r="J357" t="str">
        <f>_xlfn.XLOOKUP('data cleaned'!D357,products!$A$1:$A$49,products!$C$1:$C$49,0)</f>
        <v>D</v>
      </c>
      <c r="K357" s="5">
        <f>_xlfn.XLOOKUP('data cleaned'!D357,products!$A$1:$A$49,products!$D$1:$D$49,0)</f>
        <v>2.5</v>
      </c>
      <c r="L357" s="6">
        <f>_xlfn.XLOOKUP('data cleaned'!D357,products!$A$1:$A$49,products!$E$1:$E$49,0)</f>
        <v>22.884999999999998</v>
      </c>
      <c r="M357" s="6">
        <f>'data cleaned'!E357*'data cleaned'!L357</f>
        <v>114.42499999999998</v>
      </c>
      <c r="N357" t="str">
        <f t="shared" si="10"/>
        <v>Arabica</v>
      </c>
      <c r="O357" t="str">
        <f t="shared" si="11"/>
        <v>Dark</v>
      </c>
      <c r="P357" t="str">
        <f>_xlfn.XLOOKUP(worksheet[[#This Row],[Customer ID]],customers!$A$1:$A$1001,customers!$I$1:$I$1001,0)</f>
        <v>Yes</v>
      </c>
    </row>
    <row r="358" spans="1:16" x14ac:dyDescent="0.25">
      <c r="A358" s="2" t="s">
        <v>2498</v>
      </c>
      <c r="B358" s="4">
        <v>44631</v>
      </c>
      <c r="C358" s="2" t="s">
        <v>2499</v>
      </c>
      <c r="D358" t="s">
        <v>6143</v>
      </c>
      <c r="E358" s="2">
        <v>4</v>
      </c>
      <c r="F358" s="2" t="str">
        <f>_xlfn.XLOOKUP(C358,customers!$A$1:$A$1001,customers!$B$1:$B$1001,0)</f>
        <v>Willey Romao</v>
      </c>
      <c r="G358" s="2" t="s">
        <v>2501</v>
      </c>
      <c r="H358" s="2" t="str">
        <f>_xlfn.XLOOKUP(C358,customers!$A$1:$A$1001,customers!$G$1:$G$1001,0)</f>
        <v>United States</v>
      </c>
      <c r="I358" t="str">
        <f>_xlfn.XLOOKUP(D358,products!$A$1:$A$49,products!$B$1:$B$49,0)</f>
        <v>Lib</v>
      </c>
      <c r="J358" t="str">
        <f>_xlfn.XLOOKUP('data cleaned'!D358,products!$A$1:$A$49,products!$C$1:$C$49,0)</f>
        <v>D</v>
      </c>
      <c r="K358" s="5">
        <f>_xlfn.XLOOKUP('data cleaned'!D358,products!$A$1:$A$49,products!$D$1:$D$49,0)</f>
        <v>1</v>
      </c>
      <c r="L358" s="6">
        <f>_xlfn.XLOOKUP('data cleaned'!D358,products!$A$1:$A$49,products!$E$1:$E$49,0)</f>
        <v>12.95</v>
      </c>
      <c r="M358" s="6">
        <f>'data cleaned'!E358*'data cleaned'!L358</f>
        <v>51.8</v>
      </c>
      <c r="N358" t="str">
        <f t="shared" si="10"/>
        <v>Liberica</v>
      </c>
      <c r="O358" t="str">
        <f t="shared" si="11"/>
        <v>Dark</v>
      </c>
      <c r="P358" t="str">
        <f>_xlfn.XLOOKUP(worksheet[[#This Row],[Customer ID]],customers!$A$1:$A$1001,customers!$I$1:$I$1001,0)</f>
        <v>Yes</v>
      </c>
    </row>
    <row r="359" spans="1:16" x14ac:dyDescent="0.25">
      <c r="A359" s="2" t="s">
        <v>2504</v>
      </c>
      <c r="B359" s="4">
        <v>44448</v>
      </c>
      <c r="C359" s="2" t="s">
        <v>2505</v>
      </c>
      <c r="D359" t="s">
        <v>6175</v>
      </c>
      <c r="E359" s="2">
        <v>6</v>
      </c>
      <c r="F359" s="2" t="str">
        <f>_xlfn.XLOOKUP(C359,customers!$A$1:$A$1001,customers!$B$1:$B$1001,0)</f>
        <v>Enriqueta Ixor</v>
      </c>
      <c r="G359" s="2" t="s">
        <v>6222</v>
      </c>
      <c r="H359" s="2" t="str">
        <f>_xlfn.XLOOKUP(C359,customers!$A$1:$A$1001,customers!$G$1:$G$1001,0)</f>
        <v>United States</v>
      </c>
      <c r="I359" t="str">
        <f>_xlfn.XLOOKUP(D359,products!$A$1:$A$49,products!$B$1:$B$49,0)</f>
        <v>Ara</v>
      </c>
      <c r="J359" t="str">
        <f>_xlfn.XLOOKUP('data cleaned'!D359,products!$A$1:$A$49,products!$C$1:$C$49,0)</f>
        <v>M</v>
      </c>
      <c r="K359" s="5">
        <f>_xlfn.XLOOKUP('data cleaned'!D359,products!$A$1:$A$49,products!$D$1:$D$49,0)</f>
        <v>2.5</v>
      </c>
      <c r="L359" s="6">
        <f>_xlfn.XLOOKUP('data cleaned'!D359,products!$A$1:$A$49,products!$E$1:$E$49,0)</f>
        <v>25.874999999999996</v>
      </c>
      <c r="M359" s="6">
        <f>'data cleaned'!E359*'data cleaned'!L359</f>
        <v>155.24999999999997</v>
      </c>
      <c r="N359" t="str">
        <f t="shared" si="10"/>
        <v>Arabica</v>
      </c>
      <c r="O359" t="str">
        <f t="shared" si="11"/>
        <v>Medium</v>
      </c>
      <c r="P359" t="str">
        <f>_xlfn.XLOOKUP(worksheet[[#This Row],[Customer ID]],customers!$A$1:$A$1001,customers!$I$1:$I$1001,0)</f>
        <v>No</v>
      </c>
    </row>
    <row r="360" spans="1:16" x14ac:dyDescent="0.25">
      <c r="A360" s="2" t="s">
        <v>2509</v>
      </c>
      <c r="B360" s="4">
        <v>43599</v>
      </c>
      <c r="C360" s="2" t="s">
        <v>2510</v>
      </c>
      <c r="D360" t="s">
        <v>6182</v>
      </c>
      <c r="E360" s="2">
        <v>1</v>
      </c>
      <c r="F360" s="2" t="str">
        <f>_xlfn.XLOOKUP(C360,customers!$A$1:$A$1001,customers!$B$1:$B$1001,0)</f>
        <v>Tomasina Cotmore</v>
      </c>
      <c r="G360" s="2" t="s">
        <v>2512</v>
      </c>
      <c r="H360" s="2" t="str">
        <f>_xlfn.XLOOKUP(C360,customers!$A$1:$A$1001,customers!$G$1:$G$1001,0)</f>
        <v>United States</v>
      </c>
      <c r="I360" t="str">
        <f>_xlfn.XLOOKUP(D360,products!$A$1:$A$49,products!$B$1:$B$49,0)</f>
        <v>Ara</v>
      </c>
      <c r="J360" t="str">
        <f>_xlfn.XLOOKUP('data cleaned'!D360,products!$A$1:$A$49,products!$C$1:$C$49,0)</f>
        <v>L</v>
      </c>
      <c r="K360" s="5">
        <f>_xlfn.XLOOKUP('data cleaned'!D360,products!$A$1:$A$49,products!$D$1:$D$49,0)</f>
        <v>2.5</v>
      </c>
      <c r="L360" s="6">
        <f>_xlfn.XLOOKUP('data cleaned'!D360,products!$A$1:$A$49,products!$E$1:$E$49,0)</f>
        <v>29.784999999999997</v>
      </c>
      <c r="M360" s="6">
        <f>'data cleaned'!E360*'data cleaned'!L360</f>
        <v>29.784999999999997</v>
      </c>
      <c r="N360" t="str">
        <f t="shared" si="10"/>
        <v>Arabica</v>
      </c>
      <c r="O360" t="str">
        <f t="shared" si="11"/>
        <v>Light</v>
      </c>
      <c r="P360" t="str">
        <f>_xlfn.XLOOKUP(worksheet[[#This Row],[Customer ID]],customers!$A$1:$A$1001,customers!$I$1:$I$1001,0)</f>
        <v>No</v>
      </c>
    </row>
    <row r="361" spans="1:16" x14ac:dyDescent="0.25">
      <c r="A361" s="2" t="s">
        <v>2515</v>
      </c>
      <c r="B361" s="4">
        <v>43563</v>
      </c>
      <c r="C361" s="2" t="s">
        <v>2516</v>
      </c>
      <c r="D361" t="s">
        <v>6178</v>
      </c>
      <c r="E361" s="2">
        <v>6</v>
      </c>
      <c r="F361" s="2" t="str">
        <f>_xlfn.XLOOKUP(C361,customers!$A$1:$A$1001,customers!$B$1:$B$1001,0)</f>
        <v>Yuma Skipsey</v>
      </c>
      <c r="G361" s="2" t="s">
        <v>2518</v>
      </c>
      <c r="H361" s="2" t="str">
        <f>_xlfn.XLOOKUP(C361,customers!$A$1:$A$1001,customers!$G$1:$G$1001,0)</f>
        <v>United Kingdom</v>
      </c>
      <c r="I361" t="str">
        <f>_xlfn.XLOOKUP(D361,products!$A$1:$A$49,products!$B$1:$B$49,0)</f>
        <v>Rob</v>
      </c>
      <c r="J361" t="str">
        <f>_xlfn.XLOOKUP('data cleaned'!D361,products!$A$1:$A$49,products!$C$1:$C$49,0)</f>
        <v>L</v>
      </c>
      <c r="K361" s="5">
        <f>_xlfn.XLOOKUP('data cleaned'!D361,products!$A$1:$A$49,products!$D$1:$D$49,0)</f>
        <v>0.2</v>
      </c>
      <c r="L361" s="6">
        <f>_xlfn.XLOOKUP('data cleaned'!D361,products!$A$1:$A$49,products!$E$1:$E$49,0)</f>
        <v>3.5849999999999995</v>
      </c>
      <c r="M361" s="6">
        <f>'data cleaned'!E361*'data cleaned'!L361</f>
        <v>21.509999999999998</v>
      </c>
      <c r="N361" t="str">
        <f t="shared" si="10"/>
        <v>Robusta</v>
      </c>
      <c r="O361" t="str">
        <f t="shared" si="11"/>
        <v>Light</v>
      </c>
      <c r="P361" t="str">
        <f>_xlfn.XLOOKUP(worksheet[[#This Row],[Customer ID]],customers!$A$1:$A$1001,customers!$I$1:$I$1001,0)</f>
        <v>No</v>
      </c>
    </row>
    <row r="362" spans="1:16" x14ac:dyDescent="0.25">
      <c r="A362" s="2" t="s">
        <v>2521</v>
      </c>
      <c r="B362" s="4">
        <v>44058</v>
      </c>
      <c r="C362" s="2" t="s">
        <v>2522</v>
      </c>
      <c r="D362" t="s">
        <v>6149</v>
      </c>
      <c r="E362" s="2">
        <v>2</v>
      </c>
      <c r="F362" s="2" t="str">
        <f>_xlfn.XLOOKUP(C362,customers!$A$1:$A$1001,customers!$B$1:$B$1001,0)</f>
        <v>Nicko Corps</v>
      </c>
      <c r="G362" s="2" t="s">
        <v>2524</v>
      </c>
      <c r="H362" s="2" t="str">
        <f>_xlfn.XLOOKUP(C362,customers!$A$1:$A$1001,customers!$G$1:$G$1001,0)</f>
        <v>United States</v>
      </c>
      <c r="I362" t="str">
        <f>_xlfn.XLOOKUP(D362,products!$A$1:$A$49,products!$B$1:$B$49,0)</f>
        <v>Rob</v>
      </c>
      <c r="J362" t="str">
        <f>_xlfn.XLOOKUP('data cleaned'!D362,products!$A$1:$A$49,products!$C$1:$C$49,0)</f>
        <v>D</v>
      </c>
      <c r="K362" s="5">
        <f>_xlfn.XLOOKUP('data cleaned'!D362,products!$A$1:$A$49,products!$D$1:$D$49,0)</f>
        <v>2.5</v>
      </c>
      <c r="L362" s="6">
        <f>_xlfn.XLOOKUP('data cleaned'!D362,products!$A$1:$A$49,products!$E$1:$E$49,0)</f>
        <v>20.584999999999997</v>
      </c>
      <c r="M362" s="6">
        <f>'data cleaned'!E362*'data cleaned'!L362</f>
        <v>41.169999999999995</v>
      </c>
      <c r="N362" t="str">
        <f t="shared" si="10"/>
        <v>Robusta</v>
      </c>
      <c r="O362" t="str">
        <f t="shared" si="11"/>
        <v>Dark</v>
      </c>
      <c r="P362" t="str">
        <f>_xlfn.XLOOKUP(worksheet[[#This Row],[Customer ID]],customers!$A$1:$A$1001,customers!$I$1:$I$1001,0)</f>
        <v>No</v>
      </c>
    </row>
    <row r="363" spans="1:16" x14ac:dyDescent="0.25">
      <c r="A363" s="2" t="s">
        <v>2521</v>
      </c>
      <c r="B363" s="4">
        <v>44058</v>
      </c>
      <c r="C363" s="2" t="s">
        <v>2522</v>
      </c>
      <c r="D363" t="s">
        <v>6146</v>
      </c>
      <c r="E363" s="2">
        <v>1</v>
      </c>
      <c r="F363" s="2" t="str">
        <f>_xlfn.XLOOKUP(C363,customers!$A$1:$A$1001,customers!$B$1:$B$1001,0)</f>
        <v>Nicko Corps</v>
      </c>
      <c r="G363" s="2" t="s">
        <v>2524</v>
      </c>
      <c r="H363" s="2" t="str">
        <f>_xlfn.XLOOKUP(C363,customers!$A$1:$A$1001,customers!$G$1:$G$1001,0)</f>
        <v>United States</v>
      </c>
      <c r="I363" t="str">
        <f>_xlfn.XLOOKUP(D363,products!$A$1:$A$49,products!$B$1:$B$49,0)</f>
        <v>Rob</v>
      </c>
      <c r="J363" t="str">
        <f>_xlfn.XLOOKUP('data cleaned'!D363,products!$A$1:$A$49,products!$C$1:$C$49,0)</f>
        <v>M</v>
      </c>
      <c r="K363" s="5">
        <f>_xlfn.XLOOKUP('data cleaned'!D363,products!$A$1:$A$49,products!$D$1:$D$49,0)</f>
        <v>0.5</v>
      </c>
      <c r="L363" s="6">
        <f>_xlfn.XLOOKUP('data cleaned'!D363,products!$A$1:$A$49,products!$E$1:$E$49,0)</f>
        <v>5.97</v>
      </c>
      <c r="M363" s="6">
        <f>'data cleaned'!E363*'data cleaned'!L363</f>
        <v>5.97</v>
      </c>
      <c r="N363" t="str">
        <f t="shared" si="10"/>
        <v>Robusta</v>
      </c>
      <c r="O363" t="str">
        <f t="shared" si="11"/>
        <v>Medium</v>
      </c>
      <c r="P363" t="str">
        <f>_xlfn.XLOOKUP(worksheet[[#This Row],[Customer ID]],customers!$A$1:$A$1001,customers!$I$1:$I$1001,0)</f>
        <v>No</v>
      </c>
    </row>
    <row r="364" spans="1:16" x14ac:dyDescent="0.25">
      <c r="A364" s="2" t="s">
        <v>2532</v>
      </c>
      <c r="B364" s="4">
        <v>44686</v>
      </c>
      <c r="C364" s="2" t="s">
        <v>2533</v>
      </c>
      <c r="D364" t="s">
        <v>6171</v>
      </c>
      <c r="E364" s="2">
        <v>5</v>
      </c>
      <c r="F364" s="2" t="str">
        <f>_xlfn.XLOOKUP(C364,customers!$A$1:$A$1001,customers!$B$1:$B$1001,0)</f>
        <v>Feliks Babber</v>
      </c>
      <c r="G364" s="2" t="s">
        <v>2535</v>
      </c>
      <c r="H364" s="2" t="str">
        <f>_xlfn.XLOOKUP(C364,customers!$A$1:$A$1001,customers!$G$1:$G$1001,0)</f>
        <v>United States</v>
      </c>
      <c r="I364" t="str">
        <f>_xlfn.XLOOKUP(D364,products!$A$1:$A$49,products!$B$1:$B$49,0)</f>
        <v>Exc</v>
      </c>
      <c r="J364" t="str">
        <f>_xlfn.XLOOKUP('data cleaned'!D364,products!$A$1:$A$49,products!$C$1:$C$49,0)</f>
        <v>L</v>
      </c>
      <c r="K364" s="5">
        <f>_xlfn.XLOOKUP('data cleaned'!D364,products!$A$1:$A$49,products!$D$1:$D$49,0)</f>
        <v>1</v>
      </c>
      <c r="L364" s="6">
        <f>_xlfn.XLOOKUP('data cleaned'!D364,products!$A$1:$A$49,products!$E$1:$E$49,0)</f>
        <v>14.85</v>
      </c>
      <c r="M364" s="6">
        <f>'data cleaned'!E364*'data cleaned'!L364</f>
        <v>74.25</v>
      </c>
      <c r="N364" t="str">
        <f t="shared" si="10"/>
        <v>Excelsa</v>
      </c>
      <c r="O364" t="str">
        <f t="shared" si="11"/>
        <v>Light</v>
      </c>
      <c r="P364" t="str">
        <f>_xlfn.XLOOKUP(worksheet[[#This Row],[Customer ID]],customers!$A$1:$A$1001,customers!$I$1:$I$1001,0)</f>
        <v>Yes</v>
      </c>
    </row>
    <row r="365" spans="1:16" x14ac:dyDescent="0.25">
      <c r="A365" s="2" t="s">
        <v>2538</v>
      </c>
      <c r="B365" s="4">
        <v>44282</v>
      </c>
      <c r="C365" s="2" t="s">
        <v>2539</v>
      </c>
      <c r="D365" t="s">
        <v>6162</v>
      </c>
      <c r="E365" s="2">
        <v>6</v>
      </c>
      <c r="F365" s="2" t="str">
        <f>_xlfn.XLOOKUP(C365,customers!$A$1:$A$1001,customers!$B$1:$B$1001,0)</f>
        <v>Kaja Loxton</v>
      </c>
      <c r="G365" s="2" t="s">
        <v>2541</v>
      </c>
      <c r="H365" s="2" t="str">
        <f>_xlfn.XLOOKUP(C365,customers!$A$1:$A$1001,customers!$G$1:$G$1001,0)</f>
        <v>United States</v>
      </c>
      <c r="I365" t="str">
        <f>_xlfn.XLOOKUP(D365,products!$A$1:$A$49,products!$B$1:$B$49,0)</f>
        <v>Lib</v>
      </c>
      <c r="J365" t="str">
        <f>_xlfn.XLOOKUP('data cleaned'!D365,products!$A$1:$A$49,products!$C$1:$C$49,0)</f>
        <v>M</v>
      </c>
      <c r="K365" s="5">
        <f>_xlfn.XLOOKUP('data cleaned'!D365,products!$A$1:$A$49,products!$D$1:$D$49,0)</f>
        <v>1</v>
      </c>
      <c r="L365" s="6">
        <f>_xlfn.XLOOKUP('data cleaned'!D365,products!$A$1:$A$49,products!$E$1:$E$49,0)</f>
        <v>14.55</v>
      </c>
      <c r="M365" s="6">
        <f>'data cleaned'!E365*'data cleaned'!L365</f>
        <v>87.300000000000011</v>
      </c>
      <c r="N365" t="str">
        <f t="shared" si="10"/>
        <v>Liberica</v>
      </c>
      <c r="O365" t="str">
        <f t="shared" si="11"/>
        <v>Medium</v>
      </c>
      <c r="P365" t="str">
        <f>_xlfn.XLOOKUP(worksheet[[#This Row],[Customer ID]],customers!$A$1:$A$1001,customers!$I$1:$I$1001,0)</f>
        <v>No</v>
      </c>
    </row>
    <row r="366" spans="1:16" x14ac:dyDescent="0.25">
      <c r="A366" s="2" t="s">
        <v>2543</v>
      </c>
      <c r="B366" s="4">
        <v>43582</v>
      </c>
      <c r="C366" s="2" t="s">
        <v>2544</v>
      </c>
      <c r="D366" t="s">
        <v>6183</v>
      </c>
      <c r="E366" s="2">
        <v>6</v>
      </c>
      <c r="F366" s="2" t="str">
        <f>_xlfn.XLOOKUP(C366,customers!$A$1:$A$1001,customers!$B$1:$B$1001,0)</f>
        <v>Parker Tofful</v>
      </c>
      <c r="G366" s="2" t="s">
        <v>2546</v>
      </c>
      <c r="H366" s="2" t="str">
        <f>_xlfn.XLOOKUP(C366,customers!$A$1:$A$1001,customers!$G$1:$G$1001,0)</f>
        <v>United States</v>
      </c>
      <c r="I366" t="str">
        <f>_xlfn.XLOOKUP(D366,products!$A$1:$A$49,products!$B$1:$B$49,0)</f>
        <v>Exc</v>
      </c>
      <c r="J366" t="str">
        <f>_xlfn.XLOOKUP('data cleaned'!D366,products!$A$1:$A$49,products!$C$1:$C$49,0)</f>
        <v>D</v>
      </c>
      <c r="K366" s="5">
        <f>_xlfn.XLOOKUP('data cleaned'!D366,products!$A$1:$A$49,products!$D$1:$D$49,0)</f>
        <v>1</v>
      </c>
      <c r="L366" s="6">
        <f>_xlfn.XLOOKUP('data cleaned'!D366,products!$A$1:$A$49,products!$E$1:$E$49,0)</f>
        <v>12.15</v>
      </c>
      <c r="M366" s="6">
        <f>'data cleaned'!E366*'data cleaned'!L366</f>
        <v>72.900000000000006</v>
      </c>
      <c r="N366" t="str">
        <f t="shared" si="10"/>
        <v>Excelsa</v>
      </c>
      <c r="O366" t="str">
        <f t="shared" si="11"/>
        <v>Dark</v>
      </c>
      <c r="P366" t="str">
        <f>_xlfn.XLOOKUP(worksheet[[#This Row],[Customer ID]],customers!$A$1:$A$1001,customers!$I$1:$I$1001,0)</f>
        <v>Yes</v>
      </c>
    </row>
    <row r="367" spans="1:16" x14ac:dyDescent="0.25">
      <c r="A367" s="2" t="s">
        <v>2549</v>
      </c>
      <c r="B367" s="4">
        <v>44464</v>
      </c>
      <c r="C367" s="2" t="s">
        <v>2550</v>
      </c>
      <c r="D367" t="s">
        <v>6169</v>
      </c>
      <c r="E367" s="2">
        <v>1</v>
      </c>
      <c r="F367" s="2" t="str">
        <f>_xlfn.XLOOKUP(C367,customers!$A$1:$A$1001,customers!$B$1:$B$1001,0)</f>
        <v>Casi Gwinnett</v>
      </c>
      <c r="G367" s="2" t="s">
        <v>2552</v>
      </c>
      <c r="H367" s="2" t="str">
        <f>_xlfn.XLOOKUP(C367,customers!$A$1:$A$1001,customers!$G$1:$G$1001,0)</f>
        <v>United States</v>
      </c>
      <c r="I367" t="str">
        <f>_xlfn.XLOOKUP(D367,products!$A$1:$A$49,products!$B$1:$B$49,0)</f>
        <v>Lib</v>
      </c>
      <c r="J367" t="str">
        <f>_xlfn.XLOOKUP('data cleaned'!D367,products!$A$1:$A$49,products!$C$1:$C$49,0)</f>
        <v>D</v>
      </c>
      <c r="K367" s="5">
        <f>_xlfn.XLOOKUP('data cleaned'!D367,products!$A$1:$A$49,products!$D$1:$D$49,0)</f>
        <v>0.5</v>
      </c>
      <c r="L367" s="6">
        <f>_xlfn.XLOOKUP('data cleaned'!D367,products!$A$1:$A$49,products!$E$1:$E$49,0)</f>
        <v>7.77</v>
      </c>
      <c r="M367" s="6">
        <f>'data cleaned'!E367*'data cleaned'!L367</f>
        <v>7.77</v>
      </c>
      <c r="N367" t="str">
        <f t="shared" si="10"/>
        <v>Liberica</v>
      </c>
      <c r="O367" t="str">
        <f t="shared" si="11"/>
        <v>Dark</v>
      </c>
      <c r="P367" t="str">
        <f>_xlfn.XLOOKUP(worksheet[[#This Row],[Customer ID]],customers!$A$1:$A$1001,customers!$I$1:$I$1001,0)</f>
        <v>No</v>
      </c>
    </row>
    <row r="368" spans="1:16" x14ac:dyDescent="0.25">
      <c r="A368" s="2" t="s">
        <v>2554</v>
      </c>
      <c r="B368" s="4">
        <v>43874</v>
      </c>
      <c r="C368" s="2" t="s">
        <v>2555</v>
      </c>
      <c r="D368" t="s">
        <v>6144</v>
      </c>
      <c r="E368" s="2">
        <v>6</v>
      </c>
      <c r="F368" s="2" t="str">
        <f>_xlfn.XLOOKUP(C368,customers!$A$1:$A$1001,customers!$B$1:$B$1001,0)</f>
        <v>Saree Ellesworth</v>
      </c>
      <c r="G368" s="2" t="s">
        <v>6222</v>
      </c>
      <c r="H368" s="2" t="str">
        <f>_xlfn.XLOOKUP(C368,customers!$A$1:$A$1001,customers!$G$1:$G$1001,0)</f>
        <v>United States</v>
      </c>
      <c r="I368" t="str">
        <f>_xlfn.XLOOKUP(D368,products!$A$1:$A$49,products!$B$1:$B$49,0)</f>
        <v>Exc</v>
      </c>
      <c r="J368" t="str">
        <f>_xlfn.XLOOKUP('data cleaned'!D368,products!$A$1:$A$49,products!$C$1:$C$49,0)</f>
        <v>D</v>
      </c>
      <c r="K368" s="5">
        <f>_xlfn.XLOOKUP('data cleaned'!D368,products!$A$1:$A$49,products!$D$1:$D$49,0)</f>
        <v>0.5</v>
      </c>
      <c r="L368" s="6">
        <f>_xlfn.XLOOKUP('data cleaned'!D368,products!$A$1:$A$49,products!$E$1:$E$49,0)</f>
        <v>7.29</v>
      </c>
      <c r="M368" s="6">
        <f>'data cleaned'!E368*'data cleaned'!L368</f>
        <v>43.74</v>
      </c>
      <c r="N368" t="str">
        <f t="shared" si="10"/>
        <v>Excelsa</v>
      </c>
      <c r="O368" t="str">
        <f t="shared" si="11"/>
        <v>Dark</v>
      </c>
      <c r="P368" t="str">
        <f>_xlfn.XLOOKUP(worksheet[[#This Row],[Customer ID]],customers!$A$1:$A$1001,customers!$I$1:$I$1001,0)</f>
        <v>No</v>
      </c>
    </row>
    <row r="369" spans="1:16" x14ac:dyDescent="0.25">
      <c r="A369" s="2" t="s">
        <v>2559</v>
      </c>
      <c r="B369" s="4">
        <v>44393</v>
      </c>
      <c r="C369" s="2" t="s">
        <v>2560</v>
      </c>
      <c r="D369" t="s">
        <v>6159</v>
      </c>
      <c r="E369" s="2">
        <v>2</v>
      </c>
      <c r="F369" s="2" t="str">
        <f>_xlfn.XLOOKUP(C369,customers!$A$1:$A$1001,customers!$B$1:$B$1001,0)</f>
        <v>Silvio Iorizzi</v>
      </c>
      <c r="G369" s="2" t="s">
        <v>6222</v>
      </c>
      <c r="H369" s="2" t="str">
        <f>_xlfn.XLOOKUP(C369,customers!$A$1:$A$1001,customers!$G$1:$G$1001,0)</f>
        <v>United States</v>
      </c>
      <c r="I369" t="str">
        <f>_xlfn.XLOOKUP(D369,products!$A$1:$A$49,products!$B$1:$B$49,0)</f>
        <v>Lib</v>
      </c>
      <c r="J369" t="str">
        <f>_xlfn.XLOOKUP('data cleaned'!D369,products!$A$1:$A$49,products!$C$1:$C$49,0)</f>
        <v>M</v>
      </c>
      <c r="K369" s="5">
        <f>_xlfn.XLOOKUP('data cleaned'!D369,products!$A$1:$A$49,products!$D$1:$D$49,0)</f>
        <v>0.2</v>
      </c>
      <c r="L369" s="6">
        <f>_xlfn.XLOOKUP('data cleaned'!D369,products!$A$1:$A$49,products!$E$1:$E$49,0)</f>
        <v>4.3650000000000002</v>
      </c>
      <c r="M369" s="6">
        <f>'data cleaned'!E369*'data cleaned'!L369</f>
        <v>8.73</v>
      </c>
      <c r="N369" t="str">
        <f t="shared" si="10"/>
        <v>Liberica</v>
      </c>
      <c r="O369" t="str">
        <f t="shared" si="11"/>
        <v>Medium</v>
      </c>
      <c r="P369" t="str">
        <f>_xlfn.XLOOKUP(worksheet[[#This Row],[Customer ID]],customers!$A$1:$A$1001,customers!$I$1:$I$1001,0)</f>
        <v>Yes</v>
      </c>
    </row>
    <row r="370" spans="1:16" x14ac:dyDescent="0.25">
      <c r="A370" s="2" t="s">
        <v>2563</v>
      </c>
      <c r="B370" s="4">
        <v>44692</v>
      </c>
      <c r="C370" s="2" t="s">
        <v>2564</v>
      </c>
      <c r="D370" t="s">
        <v>6166</v>
      </c>
      <c r="E370" s="2">
        <v>2</v>
      </c>
      <c r="F370" s="2" t="str">
        <f>_xlfn.XLOOKUP(C370,customers!$A$1:$A$1001,customers!$B$1:$B$1001,0)</f>
        <v>Leesa Flaonier</v>
      </c>
      <c r="G370" s="2" t="s">
        <v>2566</v>
      </c>
      <c r="H370" s="2" t="str">
        <f>_xlfn.XLOOKUP(C370,customers!$A$1:$A$1001,customers!$G$1:$G$1001,0)</f>
        <v>United States</v>
      </c>
      <c r="I370" t="str">
        <f>_xlfn.XLOOKUP(D370,products!$A$1:$A$49,products!$B$1:$B$49,0)</f>
        <v>Exc</v>
      </c>
      <c r="J370" t="str">
        <f>_xlfn.XLOOKUP('data cleaned'!D370,products!$A$1:$A$49,products!$C$1:$C$49,0)</f>
        <v>M</v>
      </c>
      <c r="K370" s="5">
        <f>_xlfn.XLOOKUP('data cleaned'!D370,products!$A$1:$A$49,products!$D$1:$D$49,0)</f>
        <v>2.5</v>
      </c>
      <c r="L370" s="6">
        <f>_xlfn.XLOOKUP('data cleaned'!D370,products!$A$1:$A$49,products!$E$1:$E$49,0)</f>
        <v>31.624999999999996</v>
      </c>
      <c r="M370" s="6">
        <f>'data cleaned'!E370*'data cleaned'!L370</f>
        <v>63.249999999999993</v>
      </c>
      <c r="N370" t="str">
        <f t="shared" si="10"/>
        <v>Excelsa</v>
      </c>
      <c r="O370" t="str">
        <f t="shared" si="11"/>
        <v>Medium</v>
      </c>
      <c r="P370" t="str">
        <f>_xlfn.XLOOKUP(worksheet[[#This Row],[Customer ID]],customers!$A$1:$A$1001,customers!$I$1:$I$1001,0)</f>
        <v>No</v>
      </c>
    </row>
    <row r="371" spans="1:16" x14ac:dyDescent="0.25">
      <c r="A371" s="2" t="s">
        <v>2569</v>
      </c>
      <c r="B371" s="4">
        <v>43500</v>
      </c>
      <c r="C371" s="2" t="s">
        <v>2570</v>
      </c>
      <c r="D371" t="s">
        <v>6176</v>
      </c>
      <c r="E371" s="2">
        <v>1</v>
      </c>
      <c r="F371" s="2" t="str">
        <f>_xlfn.XLOOKUP(C371,customers!$A$1:$A$1001,customers!$B$1:$B$1001,0)</f>
        <v>Abba Pummell</v>
      </c>
      <c r="G371" s="2" t="s">
        <v>6222</v>
      </c>
      <c r="H371" s="2" t="str">
        <f>_xlfn.XLOOKUP(C371,customers!$A$1:$A$1001,customers!$G$1:$G$1001,0)</f>
        <v>United States</v>
      </c>
      <c r="I371" t="str">
        <f>_xlfn.XLOOKUP(D371,products!$A$1:$A$49,products!$B$1:$B$49,0)</f>
        <v>Exc</v>
      </c>
      <c r="J371" t="str">
        <f>_xlfn.XLOOKUP('data cleaned'!D371,products!$A$1:$A$49,products!$C$1:$C$49,0)</f>
        <v>L</v>
      </c>
      <c r="K371" s="5">
        <f>_xlfn.XLOOKUP('data cleaned'!D371,products!$A$1:$A$49,products!$D$1:$D$49,0)</f>
        <v>0.5</v>
      </c>
      <c r="L371" s="6">
        <f>_xlfn.XLOOKUP('data cleaned'!D371,products!$A$1:$A$49,products!$E$1:$E$49,0)</f>
        <v>8.91</v>
      </c>
      <c r="M371" s="6">
        <f>'data cleaned'!E371*'data cleaned'!L371</f>
        <v>8.91</v>
      </c>
      <c r="N371" t="str">
        <f t="shared" si="10"/>
        <v>Excelsa</v>
      </c>
      <c r="O371" t="str">
        <f t="shared" si="11"/>
        <v>Light</v>
      </c>
      <c r="P371" t="str">
        <f>_xlfn.XLOOKUP(worksheet[[#This Row],[Customer ID]],customers!$A$1:$A$1001,customers!$I$1:$I$1001,0)</f>
        <v>Yes</v>
      </c>
    </row>
    <row r="372" spans="1:16" x14ac:dyDescent="0.25">
      <c r="A372" s="2" t="s">
        <v>2573</v>
      </c>
      <c r="B372" s="4">
        <v>43501</v>
      </c>
      <c r="C372" s="2" t="s">
        <v>2574</v>
      </c>
      <c r="D372" t="s">
        <v>6183</v>
      </c>
      <c r="E372" s="2">
        <v>2</v>
      </c>
      <c r="F372" s="2" t="str">
        <f>_xlfn.XLOOKUP(C372,customers!$A$1:$A$1001,customers!$B$1:$B$1001,0)</f>
        <v>Corinna Catcheside</v>
      </c>
      <c r="G372" s="2" t="s">
        <v>2576</v>
      </c>
      <c r="H372" s="2" t="str">
        <f>_xlfn.XLOOKUP(C372,customers!$A$1:$A$1001,customers!$G$1:$G$1001,0)</f>
        <v>United States</v>
      </c>
      <c r="I372" t="str">
        <f>_xlfn.XLOOKUP(D372,products!$A$1:$A$49,products!$B$1:$B$49,0)</f>
        <v>Exc</v>
      </c>
      <c r="J372" t="str">
        <f>_xlfn.XLOOKUP('data cleaned'!D372,products!$A$1:$A$49,products!$C$1:$C$49,0)</f>
        <v>D</v>
      </c>
      <c r="K372" s="5">
        <f>_xlfn.XLOOKUP('data cleaned'!D372,products!$A$1:$A$49,products!$D$1:$D$49,0)</f>
        <v>1</v>
      </c>
      <c r="L372" s="6">
        <f>_xlfn.XLOOKUP('data cleaned'!D372,products!$A$1:$A$49,products!$E$1:$E$49,0)</f>
        <v>12.15</v>
      </c>
      <c r="M372" s="6">
        <f>'data cleaned'!E372*'data cleaned'!L372</f>
        <v>24.3</v>
      </c>
      <c r="N372" t="str">
        <f t="shared" si="10"/>
        <v>Excelsa</v>
      </c>
      <c r="O372" t="str">
        <f t="shared" si="11"/>
        <v>Dark</v>
      </c>
      <c r="P372" t="str">
        <f>_xlfn.XLOOKUP(worksheet[[#This Row],[Customer ID]],customers!$A$1:$A$1001,customers!$I$1:$I$1001,0)</f>
        <v>Yes</v>
      </c>
    </row>
    <row r="373" spans="1:16" x14ac:dyDescent="0.25">
      <c r="A373" s="2" t="s">
        <v>2579</v>
      </c>
      <c r="B373" s="4">
        <v>44705</v>
      </c>
      <c r="C373" s="2" t="s">
        <v>2580</v>
      </c>
      <c r="D373" t="s">
        <v>6180</v>
      </c>
      <c r="E373" s="2">
        <v>6</v>
      </c>
      <c r="F373" s="2" t="str">
        <f>_xlfn.XLOOKUP(C373,customers!$A$1:$A$1001,customers!$B$1:$B$1001,0)</f>
        <v>Cortney Gibbonson</v>
      </c>
      <c r="G373" s="2" t="s">
        <v>2582</v>
      </c>
      <c r="H373" s="2" t="str">
        <f>_xlfn.XLOOKUP(C373,customers!$A$1:$A$1001,customers!$G$1:$G$1001,0)</f>
        <v>United States</v>
      </c>
      <c r="I373" t="str">
        <f>_xlfn.XLOOKUP(D373,products!$A$1:$A$49,products!$B$1:$B$49,0)</f>
        <v>Ara</v>
      </c>
      <c r="J373" t="str">
        <f>_xlfn.XLOOKUP('data cleaned'!D373,products!$A$1:$A$49,products!$C$1:$C$49,0)</f>
        <v>L</v>
      </c>
      <c r="K373" s="5">
        <f>_xlfn.XLOOKUP('data cleaned'!D373,products!$A$1:$A$49,products!$D$1:$D$49,0)</f>
        <v>0.5</v>
      </c>
      <c r="L373" s="6">
        <f>_xlfn.XLOOKUP('data cleaned'!D373,products!$A$1:$A$49,products!$E$1:$E$49,0)</f>
        <v>7.77</v>
      </c>
      <c r="M373" s="6">
        <f>'data cleaned'!E373*'data cleaned'!L373</f>
        <v>46.62</v>
      </c>
      <c r="N373" t="str">
        <f t="shared" si="10"/>
        <v>Arabica</v>
      </c>
      <c r="O373" t="str">
        <f t="shared" si="11"/>
        <v>Light</v>
      </c>
      <c r="P373" t="str">
        <f>_xlfn.XLOOKUP(worksheet[[#This Row],[Customer ID]],customers!$A$1:$A$1001,customers!$I$1:$I$1001,0)</f>
        <v>Yes</v>
      </c>
    </row>
    <row r="374" spans="1:16" x14ac:dyDescent="0.25">
      <c r="A374" s="2" t="s">
        <v>2585</v>
      </c>
      <c r="B374" s="4">
        <v>44108</v>
      </c>
      <c r="C374" s="2" t="s">
        <v>2586</v>
      </c>
      <c r="D374" t="s">
        <v>6173</v>
      </c>
      <c r="E374" s="2">
        <v>6</v>
      </c>
      <c r="F374" s="2" t="str">
        <f>_xlfn.XLOOKUP(C374,customers!$A$1:$A$1001,customers!$B$1:$B$1001,0)</f>
        <v>Terri Farra</v>
      </c>
      <c r="G374" s="2" t="s">
        <v>2588</v>
      </c>
      <c r="H374" s="2" t="str">
        <f>_xlfn.XLOOKUP(C374,customers!$A$1:$A$1001,customers!$G$1:$G$1001,0)</f>
        <v>United States</v>
      </c>
      <c r="I374" t="str">
        <f>_xlfn.XLOOKUP(D374,products!$A$1:$A$49,products!$B$1:$B$49,0)</f>
        <v>Rob</v>
      </c>
      <c r="J374" t="str">
        <f>_xlfn.XLOOKUP('data cleaned'!D374,products!$A$1:$A$49,products!$C$1:$C$49,0)</f>
        <v>L</v>
      </c>
      <c r="K374" s="5">
        <f>_xlfn.XLOOKUP('data cleaned'!D374,products!$A$1:$A$49,products!$D$1:$D$49,0)</f>
        <v>0.5</v>
      </c>
      <c r="L374" s="6">
        <f>_xlfn.XLOOKUP('data cleaned'!D374,products!$A$1:$A$49,products!$E$1:$E$49,0)</f>
        <v>7.169999999999999</v>
      </c>
      <c r="M374" s="6">
        <f>'data cleaned'!E374*'data cleaned'!L374</f>
        <v>43.019999999999996</v>
      </c>
      <c r="N374" t="str">
        <f t="shared" si="10"/>
        <v>Robusta</v>
      </c>
      <c r="O374" t="str">
        <f t="shared" si="11"/>
        <v>Light</v>
      </c>
      <c r="P374" t="str">
        <f>_xlfn.XLOOKUP(worksheet[[#This Row],[Customer ID]],customers!$A$1:$A$1001,customers!$I$1:$I$1001,0)</f>
        <v>No</v>
      </c>
    </row>
    <row r="375" spans="1:16" x14ac:dyDescent="0.25">
      <c r="A375" s="2" t="s">
        <v>2591</v>
      </c>
      <c r="B375" s="4">
        <v>44742</v>
      </c>
      <c r="C375" s="2" t="s">
        <v>2592</v>
      </c>
      <c r="D375" t="s">
        <v>6158</v>
      </c>
      <c r="E375" s="2">
        <v>3</v>
      </c>
      <c r="F375" s="2" t="str">
        <f>_xlfn.XLOOKUP(C375,customers!$A$1:$A$1001,customers!$B$1:$B$1001,0)</f>
        <v>Corney Curme</v>
      </c>
      <c r="G375" s="2" t="s">
        <v>6222</v>
      </c>
      <c r="H375" s="2" t="str">
        <f>_xlfn.XLOOKUP(C375,customers!$A$1:$A$1001,customers!$G$1:$G$1001,0)</f>
        <v>Ireland</v>
      </c>
      <c r="I375" t="str">
        <f>_xlfn.XLOOKUP(D375,products!$A$1:$A$49,products!$B$1:$B$49,0)</f>
        <v>Ara</v>
      </c>
      <c r="J375" t="str">
        <f>_xlfn.XLOOKUP('data cleaned'!D375,products!$A$1:$A$49,products!$C$1:$C$49,0)</f>
        <v>D</v>
      </c>
      <c r="K375" s="5">
        <f>_xlfn.XLOOKUP('data cleaned'!D375,products!$A$1:$A$49,products!$D$1:$D$49,0)</f>
        <v>0.5</v>
      </c>
      <c r="L375" s="6">
        <f>_xlfn.XLOOKUP('data cleaned'!D375,products!$A$1:$A$49,products!$E$1:$E$49,0)</f>
        <v>5.97</v>
      </c>
      <c r="M375" s="6">
        <f>'data cleaned'!E375*'data cleaned'!L375</f>
        <v>17.91</v>
      </c>
      <c r="N375" t="str">
        <f t="shared" si="10"/>
        <v>Arabica</v>
      </c>
      <c r="O375" t="str">
        <f t="shared" si="11"/>
        <v>Dark</v>
      </c>
      <c r="P375" t="str">
        <f>_xlfn.XLOOKUP(worksheet[[#This Row],[Customer ID]],customers!$A$1:$A$1001,customers!$I$1:$I$1001,0)</f>
        <v>Yes</v>
      </c>
    </row>
    <row r="376" spans="1:16" x14ac:dyDescent="0.25">
      <c r="A376" s="2" t="s">
        <v>2597</v>
      </c>
      <c r="B376" s="4">
        <v>44125</v>
      </c>
      <c r="C376" s="2" t="s">
        <v>2598</v>
      </c>
      <c r="D376" t="s">
        <v>6161</v>
      </c>
      <c r="E376" s="2">
        <v>4</v>
      </c>
      <c r="F376" s="2" t="str">
        <f>_xlfn.XLOOKUP(C376,customers!$A$1:$A$1001,customers!$B$1:$B$1001,0)</f>
        <v>Gothart Bamfield</v>
      </c>
      <c r="G376" s="2" t="s">
        <v>2600</v>
      </c>
      <c r="H376" s="2" t="str">
        <f>_xlfn.XLOOKUP(C376,customers!$A$1:$A$1001,customers!$G$1:$G$1001,0)</f>
        <v>United States</v>
      </c>
      <c r="I376" t="str">
        <f>_xlfn.XLOOKUP(D376,products!$A$1:$A$49,products!$B$1:$B$49,0)</f>
        <v>Lib</v>
      </c>
      <c r="J376" t="str">
        <f>_xlfn.XLOOKUP('data cleaned'!D376,products!$A$1:$A$49,products!$C$1:$C$49,0)</f>
        <v>L</v>
      </c>
      <c r="K376" s="5">
        <f>_xlfn.XLOOKUP('data cleaned'!D376,products!$A$1:$A$49,products!$D$1:$D$49,0)</f>
        <v>0.5</v>
      </c>
      <c r="L376" s="6">
        <f>_xlfn.XLOOKUP('data cleaned'!D376,products!$A$1:$A$49,products!$E$1:$E$49,0)</f>
        <v>9.51</v>
      </c>
      <c r="M376" s="6">
        <f>'data cleaned'!E376*'data cleaned'!L376</f>
        <v>38.04</v>
      </c>
      <c r="N376" t="str">
        <f t="shared" si="10"/>
        <v>Liberica</v>
      </c>
      <c r="O376" t="str">
        <f t="shared" si="11"/>
        <v>Light</v>
      </c>
      <c r="P376" t="str">
        <f>_xlfn.XLOOKUP(worksheet[[#This Row],[Customer ID]],customers!$A$1:$A$1001,customers!$I$1:$I$1001,0)</f>
        <v>Yes</v>
      </c>
    </row>
    <row r="377" spans="1:16" x14ac:dyDescent="0.25">
      <c r="A377" s="2" t="s">
        <v>2603</v>
      </c>
      <c r="B377" s="4">
        <v>44120</v>
      </c>
      <c r="C377" s="2" t="s">
        <v>2604</v>
      </c>
      <c r="D377" t="s">
        <v>6152</v>
      </c>
      <c r="E377" s="2">
        <v>2</v>
      </c>
      <c r="F377" s="2" t="str">
        <f>_xlfn.XLOOKUP(C377,customers!$A$1:$A$1001,customers!$B$1:$B$1001,0)</f>
        <v>Waylin Hollingdale</v>
      </c>
      <c r="G377" s="2" t="s">
        <v>2606</v>
      </c>
      <c r="H377" s="2" t="str">
        <f>_xlfn.XLOOKUP(C377,customers!$A$1:$A$1001,customers!$G$1:$G$1001,0)</f>
        <v>United States</v>
      </c>
      <c r="I377" t="str">
        <f>_xlfn.XLOOKUP(D377,products!$A$1:$A$49,products!$B$1:$B$49,0)</f>
        <v>Ara</v>
      </c>
      <c r="J377" t="str">
        <f>_xlfn.XLOOKUP('data cleaned'!D377,products!$A$1:$A$49,products!$C$1:$C$49,0)</f>
        <v>M</v>
      </c>
      <c r="K377" s="5">
        <f>_xlfn.XLOOKUP('data cleaned'!D377,products!$A$1:$A$49,products!$D$1:$D$49,0)</f>
        <v>0.2</v>
      </c>
      <c r="L377" s="6">
        <f>_xlfn.XLOOKUP('data cleaned'!D377,products!$A$1:$A$49,products!$E$1:$E$49,0)</f>
        <v>3.375</v>
      </c>
      <c r="M377" s="6">
        <f>'data cleaned'!E377*'data cleaned'!L377</f>
        <v>6.75</v>
      </c>
      <c r="N377" t="str">
        <f t="shared" si="10"/>
        <v>Arabica</v>
      </c>
      <c r="O377" t="str">
        <f t="shared" si="11"/>
        <v>Medium</v>
      </c>
      <c r="P377" t="str">
        <f>_xlfn.XLOOKUP(worksheet[[#This Row],[Customer ID]],customers!$A$1:$A$1001,customers!$I$1:$I$1001,0)</f>
        <v>Yes</v>
      </c>
    </row>
    <row r="378" spans="1:16" x14ac:dyDescent="0.25">
      <c r="A378" s="2" t="s">
        <v>2609</v>
      </c>
      <c r="B378" s="4">
        <v>44097</v>
      </c>
      <c r="C378" s="2" t="s">
        <v>2610</v>
      </c>
      <c r="D378" t="s">
        <v>6146</v>
      </c>
      <c r="E378" s="2">
        <v>1</v>
      </c>
      <c r="F378" s="2" t="str">
        <f>_xlfn.XLOOKUP(C378,customers!$A$1:$A$1001,customers!$B$1:$B$1001,0)</f>
        <v>Judd De Leek</v>
      </c>
      <c r="G378" s="2" t="s">
        <v>2612</v>
      </c>
      <c r="H378" s="2" t="str">
        <f>_xlfn.XLOOKUP(C378,customers!$A$1:$A$1001,customers!$G$1:$G$1001,0)</f>
        <v>United States</v>
      </c>
      <c r="I378" t="str">
        <f>_xlfn.XLOOKUP(D378,products!$A$1:$A$49,products!$B$1:$B$49,0)</f>
        <v>Rob</v>
      </c>
      <c r="J378" t="str">
        <f>_xlfn.XLOOKUP('data cleaned'!D378,products!$A$1:$A$49,products!$C$1:$C$49,0)</f>
        <v>M</v>
      </c>
      <c r="K378" s="5">
        <f>_xlfn.XLOOKUP('data cleaned'!D378,products!$A$1:$A$49,products!$D$1:$D$49,0)</f>
        <v>0.5</v>
      </c>
      <c r="L378" s="6">
        <f>_xlfn.XLOOKUP('data cleaned'!D378,products!$A$1:$A$49,products!$E$1:$E$49,0)</f>
        <v>5.97</v>
      </c>
      <c r="M378" s="6">
        <f>'data cleaned'!E378*'data cleaned'!L378</f>
        <v>5.97</v>
      </c>
      <c r="N378" t="str">
        <f t="shared" si="10"/>
        <v>Robusta</v>
      </c>
      <c r="O378" t="str">
        <f t="shared" si="11"/>
        <v>Medium</v>
      </c>
      <c r="P378" t="str">
        <f>_xlfn.XLOOKUP(worksheet[[#This Row],[Customer ID]],customers!$A$1:$A$1001,customers!$I$1:$I$1001,0)</f>
        <v>Yes</v>
      </c>
    </row>
    <row r="379" spans="1:16" x14ac:dyDescent="0.25">
      <c r="A379" s="2" t="s">
        <v>2615</v>
      </c>
      <c r="B379" s="4">
        <v>43532</v>
      </c>
      <c r="C379" s="2" t="s">
        <v>2616</v>
      </c>
      <c r="D379" t="s">
        <v>6163</v>
      </c>
      <c r="E379" s="2">
        <v>3</v>
      </c>
      <c r="F379" s="2" t="str">
        <f>_xlfn.XLOOKUP(C379,customers!$A$1:$A$1001,customers!$B$1:$B$1001,0)</f>
        <v>Vanya Skullet</v>
      </c>
      <c r="G379" s="2" t="s">
        <v>2618</v>
      </c>
      <c r="H379" s="2" t="str">
        <f>_xlfn.XLOOKUP(C379,customers!$A$1:$A$1001,customers!$G$1:$G$1001,0)</f>
        <v>Ireland</v>
      </c>
      <c r="I379" t="str">
        <f>_xlfn.XLOOKUP(D379,products!$A$1:$A$49,products!$B$1:$B$49,0)</f>
        <v>Rob</v>
      </c>
      <c r="J379" t="str">
        <f>_xlfn.XLOOKUP('data cleaned'!D379,products!$A$1:$A$49,products!$C$1:$C$49,0)</f>
        <v>D</v>
      </c>
      <c r="K379" s="5">
        <f>_xlfn.XLOOKUP('data cleaned'!D379,products!$A$1:$A$49,products!$D$1:$D$49,0)</f>
        <v>0.2</v>
      </c>
      <c r="L379" s="6">
        <f>_xlfn.XLOOKUP('data cleaned'!D379,products!$A$1:$A$49,products!$E$1:$E$49,0)</f>
        <v>2.6849999999999996</v>
      </c>
      <c r="M379" s="6">
        <f>'data cleaned'!E379*'data cleaned'!L379</f>
        <v>8.0549999999999997</v>
      </c>
      <c r="N379" t="str">
        <f t="shared" si="10"/>
        <v>Robusta</v>
      </c>
      <c r="O379" t="str">
        <f t="shared" si="11"/>
        <v>Dark</v>
      </c>
      <c r="P379" t="str">
        <f>_xlfn.XLOOKUP(worksheet[[#This Row],[Customer ID]],customers!$A$1:$A$1001,customers!$I$1:$I$1001,0)</f>
        <v>No</v>
      </c>
    </row>
    <row r="380" spans="1:16" x14ac:dyDescent="0.25">
      <c r="A380" s="2" t="s">
        <v>2621</v>
      </c>
      <c r="B380" s="4">
        <v>44377</v>
      </c>
      <c r="C380" s="2" t="s">
        <v>2622</v>
      </c>
      <c r="D380" t="s">
        <v>6180</v>
      </c>
      <c r="E380" s="2">
        <v>3</v>
      </c>
      <c r="F380" s="2" t="str">
        <f>_xlfn.XLOOKUP(C380,customers!$A$1:$A$1001,customers!$B$1:$B$1001,0)</f>
        <v>Jany Rudeforth</v>
      </c>
      <c r="G380" s="2" t="s">
        <v>2624</v>
      </c>
      <c r="H380" s="2" t="str">
        <f>_xlfn.XLOOKUP(C380,customers!$A$1:$A$1001,customers!$G$1:$G$1001,0)</f>
        <v>Ireland</v>
      </c>
      <c r="I380" t="str">
        <f>_xlfn.XLOOKUP(D380,products!$A$1:$A$49,products!$B$1:$B$49,0)</f>
        <v>Ara</v>
      </c>
      <c r="J380" t="str">
        <f>_xlfn.XLOOKUP('data cleaned'!D380,products!$A$1:$A$49,products!$C$1:$C$49,0)</f>
        <v>L</v>
      </c>
      <c r="K380" s="5">
        <f>_xlfn.XLOOKUP('data cleaned'!D380,products!$A$1:$A$49,products!$D$1:$D$49,0)</f>
        <v>0.5</v>
      </c>
      <c r="L380" s="6">
        <f>_xlfn.XLOOKUP('data cleaned'!D380,products!$A$1:$A$49,products!$E$1:$E$49,0)</f>
        <v>7.77</v>
      </c>
      <c r="M380" s="6">
        <f>'data cleaned'!E380*'data cleaned'!L380</f>
        <v>23.31</v>
      </c>
      <c r="N380" t="str">
        <f t="shared" si="10"/>
        <v>Arabica</v>
      </c>
      <c r="O380" t="str">
        <f t="shared" si="11"/>
        <v>Light</v>
      </c>
      <c r="P380" t="str">
        <f>_xlfn.XLOOKUP(worksheet[[#This Row],[Customer ID]],customers!$A$1:$A$1001,customers!$I$1:$I$1001,0)</f>
        <v>Yes</v>
      </c>
    </row>
    <row r="381" spans="1:16" x14ac:dyDescent="0.25">
      <c r="A381" s="2" t="s">
        <v>2627</v>
      </c>
      <c r="B381" s="4">
        <v>43690</v>
      </c>
      <c r="C381" s="2" t="s">
        <v>2628</v>
      </c>
      <c r="D381" t="s">
        <v>6173</v>
      </c>
      <c r="E381" s="2">
        <v>6</v>
      </c>
      <c r="F381" s="2" t="str">
        <f>_xlfn.XLOOKUP(C381,customers!$A$1:$A$1001,customers!$B$1:$B$1001,0)</f>
        <v>Ashbey Tomaszewski</v>
      </c>
      <c r="G381" s="2" t="s">
        <v>2630</v>
      </c>
      <c r="H381" s="2" t="str">
        <f>_xlfn.XLOOKUP(C381,customers!$A$1:$A$1001,customers!$G$1:$G$1001,0)</f>
        <v>United Kingdom</v>
      </c>
      <c r="I381" t="str">
        <f>_xlfn.XLOOKUP(D381,products!$A$1:$A$49,products!$B$1:$B$49,0)</f>
        <v>Rob</v>
      </c>
      <c r="J381" t="str">
        <f>_xlfn.XLOOKUP('data cleaned'!D381,products!$A$1:$A$49,products!$C$1:$C$49,0)</f>
        <v>L</v>
      </c>
      <c r="K381" s="5">
        <f>_xlfn.XLOOKUP('data cleaned'!D381,products!$A$1:$A$49,products!$D$1:$D$49,0)</f>
        <v>0.5</v>
      </c>
      <c r="L381" s="6">
        <f>_xlfn.XLOOKUP('data cleaned'!D381,products!$A$1:$A$49,products!$E$1:$E$49,0)</f>
        <v>7.169999999999999</v>
      </c>
      <c r="M381" s="6">
        <f>'data cleaned'!E381*'data cleaned'!L381</f>
        <v>43.019999999999996</v>
      </c>
      <c r="N381" t="str">
        <f t="shared" si="10"/>
        <v>Robusta</v>
      </c>
      <c r="O381" t="str">
        <f t="shared" si="11"/>
        <v>Light</v>
      </c>
      <c r="P381" t="str">
        <f>_xlfn.XLOOKUP(worksheet[[#This Row],[Customer ID]],customers!$A$1:$A$1001,customers!$I$1:$I$1001,0)</f>
        <v>Yes</v>
      </c>
    </row>
    <row r="382" spans="1:16" x14ac:dyDescent="0.25">
      <c r="A382" s="2" t="s">
        <v>2632</v>
      </c>
      <c r="B382" s="4">
        <v>44249</v>
      </c>
      <c r="C382" s="2" t="s">
        <v>2331</v>
      </c>
      <c r="D382" t="s">
        <v>6169</v>
      </c>
      <c r="E382" s="2">
        <v>3</v>
      </c>
      <c r="F382" s="2" t="str">
        <f>_xlfn.XLOOKUP(C382,customers!$A$1:$A$1001,customers!$B$1:$B$1001,0)</f>
        <v>Flynn Antony</v>
      </c>
      <c r="G382" s="2" t="s">
        <v>6222</v>
      </c>
      <c r="H382" s="2" t="str">
        <f>_xlfn.XLOOKUP(C382,customers!$A$1:$A$1001,customers!$G$1:$G$1001,0)</f>
        <v>United States</v>
      </c>
      <c r="I382" t="str">
        <f>_xlfn.XLOOKUP(D382,products!$A$1:$A$49,products!$B$1:$B$49,0)</f>
        <v>Lib</v>
      </c>
      <c r="J382" t="str">
        <f>_xlfn.XLOOKUP('data cleaned'!D382,products!$A$1:$A$49,products!$C$1:$C$49,0)</f>
        <v>D</v>
      </c>
      <c r="K382" s="5">
        <f>_xlfn.XLOOKUP('data cleaned'!D382,products!$A$1:$A$49,products!$D$1:$D$49,0)</f>
        <v>0.5</v>
      </c>
      <c r="L382" s="6">
        <f>_xlfn.XLOOKUP('data cleaned'!D382,products!$A$1:$A$49,products!$E$1:$E$49,0)</f>
        <v>7.77</v>
      </c>
      <c r="M382" s="6">
        <f>'data cleaned'!E382*'data cleaned'!L382</f>
        <v>23.31</v>
      </c>
      <c r="N382" t="str">
        <f t="shared" si="10"/>
        <v>Liberica</v>
      </c>
      <c r="O382" t="str">
        <f t="shared" si="11"/>
        <v>Dark</v>
      </c>
      <c r="P382" t="str">
        <f>_xlfn.XLOOKUP(worksheet[[#This Row],[Customer ID]],customers!$A$1:$A$1001,customers!$I$1:$I$1001,0)</f>
        <v>No</v>
      </c>
    </row>
    <row r="383" spans="1:16" x14ac:dyDescent="0.25">
      <c r="A383" s="2" t="s">
        <v>2638</v>
      </c>
      <c r="B383" s="4">
        <v>44646</v>
      </c>
      <c r="C383" s="2" t="s">
        <v>2639</v>
      </c>
      <c r="D383" t="s">
        <v>6154</v>
      </c>
      <c r="E383" s="2">
        <v>5</v>
      </c>
      <c r="F383" s="2" t="str">
        <f>_xlfn.XLOOKUP(C383,customers!$A$1:$A$1001,customers!$B$1:$B$1001,0)</f>
        <v>Pren Bess</v>
      </c>
      <c r="G383" s="2" t="s">
        <v>2641</v>
      </c>
      <c r="H383" s="2" t="str">
        <f>_xlfn.XLOOKUP(C383,customers!$A$1:$A$1001,customers!$G$1:$G$1001,0)</f>
        <v>United States</v>
      </c>
      <c r="I383" t="str">
        <f>_xlfn.XLOOKUP(D383,products!$A$1:$A$49,products!$B$1:$B$49,0)</f>
        <v>Ara</v>
      </c>
      <c r="J383" t="str">
        <f>_xlfn.XLOOKUP('data cleaned'!D383,products!$A$1:$A$49,products!$C$1:$C$49,0)</f>
        <v>D</v>
      </c>
      <c r="K383" s="5">
        <f>_xlfn.XLOOKUP('data cleaned'!D383,products!$A$1:$A$49,products!$D$1:$D$49,0)</f>
        <v>0.2</v>
      </c>
      <c r="L383" s="6">
        <f>_xlfn.XLOOKUP('data cleaned'!D383,products!$A$1:$A$49,products!$E$1:$E$49,0)</f>
        <v>2.9849999999999999</v>
      </c>
      <c r="M383" s="6">
        <f>'data cleaned'!E383*'data cleaned'!L383</f>
        <v>14.924999999999999</v>
      </c>
      <c r="N383" t="str">
        <f t="shared" si="10"/>
        <v>Arabica</v>
      </c>
      <c r="O383" t="str">
        <f t="shared" si="11"/>
        <v>Dark</v>
      </c>
      <c r="P383" t="str">
        <f>_xlfn.XLOOKUP(worksheet[[#This Row],[Customer ID]],customers!$A$1:$A$1001,customers!$I$1:$I$1001,0)</f>
        <v>Yes</v>
      </c>
    </row>
    <row r="384" spans="1:16" x14ac:dyDescent="0.25">
      <c r="A384" s="2" t="s">
        <v>2644</v>
      </c>
      <c r="B384" s="4">
        <v>43840</v>
      </c>
      <c r="C384" s="2" t="s">
        <v>2645</v>
      </c>
      <c r="D384" t="s">
        <v>6144</v>
      </c>
      <c r="E384" s="2">
        <v>3</v>
      </c>
      <c r="F384" s="2" t="str">
        <f>_xlfn.XLOOKUP(C384,customers!$A$1:$A$1001,customers!$B$1:$B$1001,0)</f>
        <v>Elka Windress</v>
      </c>
      <c r="G384" s="2" t="s">
        <v>2647</v>
      </c>
      <c r="H384" s="2" t="str">
        <f>_xlfn.XLOOKUP(C384,customers!$A$1:$A$1001,customers!$G$1:$G$1001,0)</f>
        <v>United States</v>
      </c>
      <c r="I384" t="str">
        <f>_xlfn.XLOOKUP(D384,products!$A$1:$A$49,products!$B$1:$B$49,0)</f>
        <v>Exc</v>
      </c>
      <c r="J384" t="str">
        <f>_xlfn.XLOOKUP('data cleaned'!D384,products!$A$1:$A$49,products!$C$1:$C$49,0)</f>
        <v>D</v>
      </c>
      <c r="K384" s="5">
        <f>_xlfn.XLOOKUP('data cleaned'!D384,products!$A$1:$A$49,products!$D$1:$D$49,0)</f>
        <v>0.5</v>
      </c>
      <c r="L384" s="6">
        <f>_xlfn.XLOOKUP('data cleaned'!D384,products!$A$1:$A$49,products!$E$1:$E$49,0)</f>
        <v>7.29</v>
      </c>
      <c r="M384" s="6">
        <f>'data cleaned'!E384*'data cleaned'!L384</f>
        <v>21.87</v>
      </c>
      <c r="N384" t="str">
        <f t="shared" si="10"/>
        <v>Excelsa</v>
      </c>
      <c r="O384" t="str">
        <f t="shared" si="11"/>
        <v>Dark</v>
      </c>
      <c r="P384" t="str">
        <f>_xlfn.XLOOKUP(worksheet[[#This Row],[Customer ID]],customers!$A$1:$A$1001,customers!$I$1:$I$1001,0)</f>
        <v>No</v>
      </c>
    </row>
    <row r="385" spans="1:16" x14ac:dyDescent="0.25">
      <c r="A385" s="2" t="s">
        <v>2650</v>
      </c>
      <c r="B385" s="4">
        <v>43586</v>
      </c>
      <c r="C385" s="2" t="s">
        <v>2651</v>
      </c>
      <c r="D385" t="s">
        <v>6176</v>
      </c>
      <c r="E385" s="2">
        <v>6</v>
      </c>
      <c r="F385" s="2" t="str">
        <f>_xlfn.XLOOKUP(C385,customers!$A$1:$A$1001,customers!$B$1:$B$1001,0)</f>
        <v>Marty Kidstoun</v>
      </c>
      <c r="G385" s="2" t="s">
        <v>6222</v>
      </c>
      <c r="H385" s="2" t="str">
        <f>_xlfn.XLOOKUP(C385,customers!$A$1:$A$1001,customers!$G$1:$G$1001,0)</f>
        <v>United States</v>
      </c>
      <c r="I385" t="str">
        <f>_xlfn.XLOOKUP(D385,products!$A$1:$A$49,products!$B$1:$B$49,0)</f>
        <v>Exc</v>
      </c>
      <c r="J385" t="str">
        <f>_xlfn.XLOOKUP('data cleaned'!D385,products!$A$1:$A$49,products!$C$1:$C$49,0)</f>
        <v>L</v>
      </c>
      <c r="K385" s="5">
        <f>_xlfn.XLOOKUP('data cleaned'!D385,products!$A$1:$A$49,products!$D$1:$D$49,0)</f>
        <v>0.5</v>
      </c>
      <c r="L385" s="6">
        <f>_xlfn.XLOOKUP('data cleaned'!D385,products!$A$1:$A$49,products!$E$1:$E$49,0)</f>
        <v>8.91</v>
      </c>
      <c r="M385" s="6">
        <f>'data cleaned'!E385*'data cleaned'!L385</f>
        <v>53.46</v>
      </c>
      <c r="N385" t="str">
        <f t="shared" si="10"/>
        <v>Excelsa</v>
      </c>
      <c r="O385" t="str">
        <f t="shared" si="11"/>
        <v>Light</v>
      </c>
      <c r="P385" t="str">
        <f>_xlfn.XLOOKUP(worksheet[[#This Row],[Customer ID]],customers!$A$1:$A$1001,customers!$I$1:$I$1001,0)</f>
        <v>Yes</v>
      </c>
    </row>
    <row r="386" spans="1:16" x14ac:dyDescent="0.25">
      <c r="A386" s="2" t="s">
        <v>2655</v>
      </c>
      <c r="B386" s="4">
        <v>43870</v>
      </c>
      <c r="C386" s="2" t="s">
        <v>2656</v>
      </c>
      <c r="D386" t="s">
        <v>6182</v>
      </c>
      <c r="E386" s="2">
        <v>4</v>
      </c>
      <c r="F386" s="2" t="str">
        <f>_xlfn.XLOOKUP(C386,customers!$A$1:$A$1001,customers!$B$1:$B$1001,0)</f>
        <v>Nickey Dimbleby</v>
      </c>
      <c r="G386" s="2" t="s">
        <v>6222</v>
      </c>
      <c r="H386" s="2" t="str">
        <f>_xlfn.XLOOKUP(C386,customers!$A$1:$A$1001,customers!$G$1:$G$1001,0)</f>
        <v>United States</v>
      </c>
      <c r="I386" t="str">
        <f>_xlfn.XLOOKUP(D386,products!$A$1:$A$49,products!$B$1:$B$49,0)</f>
        <v>Ara</v>
      </c>
      <c r="J386" t="str">
        <f>_xlfn.XLOOKUP('data cleaned'!D386,products!$A$1:$A$49,products!$C$1:$C$49,0)</f>
        <v>L</v>
      </c>
      <c r="K386" s="5">
        <f>_xlfn.XLOOKUP('data cleaned'!D386,products!$A$1:$A$49,products!$D$1:$D$49,0)</f>
        <v>2.5</v>
      </c>
      <c r="L386" s="6">
        <f>_xlfn.XLOOKUP('data cleaned'!D386,products!$A$1:$A$49,products!$E$1:$E$49,0)</f>
        <v>29.784999999999997</v>
      </c>
      <c r="M386" s="6">
        <f>'data cleaned'!E386*'data cleaned'!L386</f>
        <v>119.13999999999999</v>
      </c>
      <c r="N386" t="str">
        <f t="shared" si="10"/>
        <v>Arabica</v>
      </c>
      <c r="O386" t="str">
        <f t="shared" si="11"/>
        <v>Light</v>
      </c>
      <c r="P386" t="str">
        <f>_xlfn.XLOOKUP(worksheet[[#This Row],[Customer ID]],customers!$A$1:$A$1001,customers!$I$1:$I$1001,0)</f>
        <v>No</v>
      </c>
    </row>
    <row r="387" spans="1:16" x14ac:dyDescent="0.25">
      <c r="A387" s="2" t="s">
        <v>2660</v>
      </c>
      <c r="B387" s="4">
        <v>44559</v>
      </c>
      <c r="C387" s="2" t="s">
        <v>2661</v>
      </c>
      <c r="D387" t="s">
        <v>6160</v>
      </c>
      <c r="E387" s="2">
        <v>5</v>
      </c>
      <c r="F387" s="2" t="str">
        <f>_xlfn.XLOOKUP(C387,customers!$A$1:$A$1001,customers!$B$1:$B$1001,0)</f>
        <v>Virgil Baumadier</v>
      </c>
      <c r="G387" s="2" t="s">
        <v>2663</v>
      </c>
      <c r="H387" s="2" t="str">
        <f>_xlfn.XLOOKUP(C387,customers!$A$1:$A$1001,customers!$G$1:$G$1001,0)</f>
        <v>United States</v>
      </c>
      <c r="I387" t="str">
        <f>_xlfn.XLOOKUP(D387,products!$A$1:$A$49,products!$B$1:$B$49,0)</f>
        <v>Lib</v>
      </c>
      <c r="J387" t="str">
        <f>_xlfn.XLOOKUP('data cleaned'!D387,products!$A$1:$A$49,products!$C$1:$C$49,0)</f>
        <v>M</v>
      </c>
      <c r="K387" s="5">
        <f>_xlfn.XLOOKUP('data cleaned'!D387,products!$A$1:$A$49,products!$D$1:$D$49,0)</f>
        <v>0.5</v>
      </c>
      <c r="L387" s="6">
        <f>_xlfn.XLOOKUP('data cleaned'!D387,products!$A$1:$A$49,products!$E$1:$E$49,0)</f>
        <v>8.73</v>
      </c>
      <c r="M387" s="6">
        <f>'data cleaned'!E387*'data cleaned'!L387</f>
        <v>43.650000000000006</v>
      </c>
      <c r="N387" t="str">
        <f t="shared" ref="N387:N450" si="12">IF(I387="Rob","Robusta",IF(I387="Exc","Excelsa",IF(I387="Ara","Arabica",IF(I387="Lib","Liberica",""))))</f>
        <v>Liberica</v>
      </c>
      <c r="O387" t="str">
        <f t="shared" ref="O387:O450" si="13">IF(J387="M","Medium",IF(J387="L","Light",IF(J387="D","Dark","")))</f>
        <v>Medium</v>
      </c>
      <c r="P387" t="str">
        <f>_xlfn.XLOOKUP(worksheet[[#This Row],[Customer ID]],customers!$A$1:$A$1001,customers!$I$1:$I$1001,0)</f>
        <v>Yes</v>
      </c>
    </row>
    <row r="388" spans="1:16" x14ac:dyDescent="0.25">
      <c r="A388" s="2" t="s">
        <v>2666</v>
      </c>
      <c r="B388" s="4">
        <v>44083</v>
      </c>
      <c r="C388" s="2" t="s">
        <v>2667</v>
      </c>
      <c r="D388" t="s">
        <v>6154</v>
      </c>
      <c r="E388" s="2">
        <v>6</v>
      </c>
      <c r="F388" s="2" t="str">
        <f>_xlfn.XLOOKUP(C388,customers!$A$1:$A$1001,customers!$B$1:$B$1001,0)</f>
        <v>Lenore Messenbird</v>
      </c>
      <c r="G388" s="2" t="s">
        <v>6222</v>
      </c>
      <c r="H388" s="2" t="str">
        <f>_xlfn.XLOOKUP(C388,customers!$A$1:$A$1001,customers!$G$1:$G$1001,0)</f>
        <v>United States</v>
      </c>
      <c r="I388" t="str">
        <f>_xlfn.XLOOKUP(D388,products!$A$1:$A$49,products!$B$1:$B$49,0)</f>
        <v>Ara</v>
      </c>
      <c r="J388" t="str">
        <f>_xlfn.XLOOKUP('data cleaned'!D388,products!$A$1:$A$49,products!$C$1:$C$49,0)</f>
        <v>D</v>
      </c>
      <c r="K388" s="5">
        <f>_xlfn.XLOOKUP('data cleaned'!D388,products!$A$1:$A$49,products!$D$1:$D$49,0)</f>
        <v>0.2</v>
      </c>
      <c r="L388" s="6">
        <f>_xlfn.XLOOKUP('data cleaned'!D388,products!$A$1:$A$49,products!$E$1:$E$49,0)</f>
        <v>2.9849999999999999</v>
      </c>
      <c r="M388" s="6">
        <f>'data cleaned'!E388*'data cleaned'!L388</f>
        <v>17.91</v>
      </c>
      <c r="N388" t="str">
        <f t="shared" si="12"/>
        <v>Arabica</v>
      </c>
      <c r="O388" t="str">
        <f t="shared" si="13"/>
        <v>Dark</v>
      </c>
      <c r="P388" t="str">
        <f>_xlfn.XLOOKUP(worksheet[[#This Row],[Customer ID]],customers!$A$1:$A$1001,customers!$I$1:$I$1001,0)</f>
        <v>Yes</v>
      </c>
    </row>
    <row r="389" spans="1:16" x14ac:dyDescent="0.25">
      <c r="A389" s="2" t="s">
        <v>2671</v>
      </c>
      <c r="B389" s="4">
        <v>44455</v>
      </c>
      <c r="C389" s="2" t="s">
        <v>2672</v>
      </c>
      <c r="D389" t="s">
        <v>6171</v>
      </c>
      <c r="E389" s="2">
        <v>5</v>
      </c>
      <c r="F389" s="2" t="str">
        <f>_xlfn.XLOOKUP(C389,customers!$A$1:$A$1001,customers!$B$1:$B$1001,0)</f>
        <v>Shirleen Welds</v>
      </c>
      <c r="G389" s="2" t="s">
        <v>2674</v>
      </c>
      <c r="H389" s="2" t="str">
        <f>_xlfn.XLOOKUP(C389,customers!$A$1:$A$1001,customers!$G$1:$G$1001,0)</f>
        <v>United States</v>
      </c>
      <c r="I389" t="str">
        <f>_xlfn.XLOOKUP(D389,products!$A$1:$A$49,products!$B$1:$B$49,0)</f>
        <v>Exc</v>
      </c>
      <c r="J389" t="str">
        <f>_xlfn.XLOOKUP('data cleaned'!D389,products!$A$1:$A$49,products!$C$1:$C$49,0)</f>
        <v>L</v>
      </c>
      <c r="K389" s="5">
        <f>_xlfn.XLOOKUP('data cleaned'!D389,products!$A$1:$A$49,products!$D$1:$D$49,0)</f>
        <v>1</v>
      </c>
      <c r="L389" s="6">
        <f>_xlfn.XLOOKUP('data cleaned'!D389,products!$A$1:$A$49,products!$E$1:$E$49,0)</f>
        <v>14.85</v>
      </c>
      <c r="M389" s="6">
        <f>'data cleaned'!E389*'data cleaned'!L389</f>
        <v>74.25</v>
      </c>
      <c r="N389" t="str">
        <f t="shared" si="12"/>
        <v>Excelsa</v>
      </c>
      <c r="O389" t="str">
        <f t="shared" si="13"/>
        <v>Light</v>
      </c>
      <c r="P389" t="str">
        <f>_xlfn.XLOOKUP(worksheet[[#This Row],[Customer ID]],customers!$A$1:$A$1001,customers!$I$1:$I$1001,0)</f>
        <v>Yes</v>
      </c>
    </row>
    <row r="390" spans="1:16" x14ac:dyDescent="0.25">
      <c r="A390" s="2" t="s">
        <v>2677</v>
      </c>
      <c r="B390" s="4">
        <v>44130</v>
      </c>
      <c r="C390" s="2" t="s">
        <v>2678</v>
      </c>
      <c r="D390" t="s">
        <v>6150</v>
      </c>
      <c r="E390" s="2">
        <v>3</v>
      </c>
      <c r="F390" s="2" t="str">
        <f>_xlfn.XLOOKUP(C390,customers!$A$1:$A$1001,customers!$B$1:$B$1001,0)</f>
        <v>Maisie Sarvar</v>
      </c>
      <c r="G390" s="2" t="s">
        <v>2680</v>
      </c>
      <c r="H390" s="2" t="str">
        <f>_xlfn.XLOOKUP(C390,customers!$A$1:$A$1001,customers!$G$1:$G$1001,0)</f>
        <v>United States</v>
      </c>
      <c r="I390" t="str">
        <f>_xlfn.XLOOKUP(D390,products!$A$1:$A$49,products!$B$1:$B$49,0)</f>
        <v>Lib</v>
      </c>
      <c r="J390" t="str">
        <f>_xlfn.XLOOKUP('data cleaned'!D390,products!$A$1:$A$49,products!$C$1:$C$49,0)</f>
        <v>D</v>
      </c>
      <c r="K390" s="5">
        <f>_xlfn.XLOOKUP('data cleaned'!D390,products!$A$1:$A$49,products!$D$1:$D$49,0)</f>
        <v>0.2</v>
      </c>
      <c r="L390" s="6">
        <f>_xlfn.XLOOKUP('data cleaned'!D390,products!$A$1:$A$49,products!$E$1:$E$49,0)</f>
        <v>3.8849999999999998</v>
      </c>
      <c r="M390" s="6">
        <f>'data cleaned'!E390*'data cleaned'!L390</f>
        <v>11.654999999999999</v>
      </c>
      <c r="N390" t="str">
        <f t="shared" si="12"/>
        <v>Liberica</v>
      </c>
      <c r="O390" t="str">
        <f t="shared" si="13"/>
        <v>Dark</v>
      </c>
      <c r="P390" t="str">
        <f>_xlfn.XLOOKUP(worksheet[[#This Row],[Customer ID]],customers!$A$1:$A$1001,customers!$I$1:$I$1001,0)</f>
        <v>Yes</v>
      </c>
    </row>
    <row r="391" spans="1:16" x14ac:dyDescent="0.25">
      <c r="A391" s="2" t="s">
        <v>2683</v>
      </c>
      <c r="B391" s="4">
        <v>43536</v>
      </c>
      <c r="C391" s="2" t="s">
        <v>2684</v>
      </c>
      <c r="D391" t="s">
        <v>6169</v>
      </c>
      <c r="E391" s="2">
        <v>3</v>
      </c>
      <c r="F391" s="2" t="str">
        <f>_xlfn.XLOOKUP(C391,customers!$A$1:$A$1001,customers!$B$1:$B$1001,0)</f>
        <v>Andrej Havick</v>
      </c>
      <c r="G391" s="2" t="s">
        <v>2686</v>
      </c>
      <c r="H391" s="2" t="str">
        <f>_xlfn.XLOOKUP(C391,customers!$A$1:$A$1001,customers!$G$1:$G$1001,0)</f>
        <v>United States</v>
      </c>
      <c r="I391" t="str">
        <f>_xlfn.XLOOKUP(D391,products!$A$1:$A$49,products!$B$1:$B$49,0)</f>
        <v>Lib</v>
      </c>
      <c r="J391" t="str">
        <f>_xlfn.XLOOKUP('data cleaned'!D391,products!$A$1:$A$49,products!$C$1:$C$49,0)</f>
        <v>D</v>
      </c>
      <c r="K391" s="5">
        <f>_xlfn.XLOOKUP('data cleaned'!D391,products!$A$1:$A$49,products!$D$1:$D$49,0)</f>
        <v>0.5</v>
      </c>
      <c r="L391" s="6">
        <f>_xlfn.XLOOKUP('data cleaned'!D391,products!$A$1:$A$49,products!$E$1:$E$49,0)</f>
        <v>7.77</v>
      </c>
      <c r="M391" s="6">
        <f>'data cleaned'!E391*'data cleaned'!L391</f>
        <v>23.31</v>
      </c>
      <c r="N391" t="str">
        <f t="shared" si="12"/>
        <v>Liberica</v>
      </c>
      <c r="O391" t="str">
        <f t="shared" si="13"/>
        <v>Dark</v>
      </c>
      <c r="P391" t="str">
        <f>_xlfn.XLOOKUP(worksheet[[#This Row],[Customer ID]],customers!$A$1:$A$1001,customers!$I$1:$I$1001,0)</f>
        <v>Yes</v>
      </c>
    </row>
    <row r="392" spans="1:16" x14ac:dyDescent="0.25">
      <c r="A392" s="2" t="s">
        <v>2689</v>
      </c>
      <c r="B392" s="4">
        <v>44245</v>
      </c>
      <c r="C392" s="2" t="s">
        <v>2690</v>
      </c>
      <c r="D392" t="s">
        <v>6144</v>
      </c>
      <c r="E392" s="2">
        <v>2</v>
      </c>
      <c r="F392" s="2" t="str">
        <f>_xlfn.XLOOKUP(C392,customers!$A$1:$A$1001,customers!$B$1:$B$1001,0)</f>
        <v>Sloan Diviny</v>
      </c>
      <c r="G392" s="2" t="s">
        <v>2692</v>
      </c>
      <c r="H392" s="2" t="str">
        <f>_xlfn.XLOOKUP(C392,customers!$A$1:$A$1001,customers!$G$1:$G$1001,0)</f>
        <v>United States</v>
      </c>
      <c r="I392" t="str">
        <f>_xlfn.XLOOKUP(D392,products!$A$1:$A$49,products!$B$1:$B$49,0)</f>
        <v>Exc</v>
      </c>
      <c r="J392" t="str">
        <f>_xlfn.XLOOKUP('data cleaned'!D392,products!$A$1:$A$49,products!$C$1:$C$49,0)</f>
        <v>D</v>
      </c>
      <c r="K392" s="5">
        <f>_xlfn.XLOOKUP('data cleaned'!D392,products!$A$1:$A$49,products!$D$1:$D$49,0)</f>
        <v>0.5</v>
      </c>
      <c r="L392" s="6">
        <f>_xlfn.XLOOKUP('data cleaned'!D392,products!$A$1:$A$49,products!$E$1:$E$49,0)</f>
        <v>7.29</v>
      </c>
      <c r="M392" s="6">
        <f>'data cleaned'!E392*'data cleaned'!L392</f>
        <v>14.58</v>
      </c>
      <c r="N392" t="str">
        <f t="shared" si="12"/>
        <v>Excelsa</v>
      </c>
      <c r="O392" t="str">
        <f t="shared" si="13"/>
        <v>Dark</v>
      </c>
      <c r="P392" t="str">
        <f>_xlfn.XLOOKUP(worksheet[[#This Row],[Customer ID]],customers!$A$1:$A$1001,customers!$I$1:$I$1001,0)</f>
        <v>Yes</v>
      </c>
    </row>
    <row r="393" spans="1:16" x14ac:dyDescent="0.25">
      <c r="A393" s="2" t="s">
        <v>2694</v>
      </c>
      <c r="B393" s="4">
        <v>44133</v>
      </c>
      <c r="C393" s="2" t="s">
        <v>2695</v>
      </c>
      <c r="D393" t="s">
        <v>6157</v>
      </c>
      <c r="E393" s="2">
        <v>2</v>
      </c>
      <c r="F393" s="2" t="str">
        <f>_xlfn.XLOOKUP(C393,customers!$A$1:$A$1001,customers!$B$1:$B$1001,0)</f>
        <v>Itch Norquoy</v>
      </c>
      <c r="G393" s="2" t="s">
        <v>2697</v>
      </c>
      <c r="H393" s="2" t="str">
        <f>_xlfn.XLOOKUP(C393,customers!$A$1:$A$1001,customers!$G$1:$G$1001,0)</f>
        <v>United States</v>
      </c>
      <c r="I393" t="str">
        <f>_xlfn.XLOOKUP(D393,products!$A$1:$A$49,products!$B$1:$B$49,0)</f>
        <v>Ara</v>
      </c>
      <c r="J393" t="str">
        <f>_xlfn.XLOOKUP('data cleaned'!D393,products!$A$1:$A$49,products!$C$1:$C$49,0)</f>
        <v>M</v>
      </c>
      <c r="K393" s="5">
        <f>_xlfn.XLOOKUP('data cleaned'!D393,products!$A$1:$A$49,products!$D$1:$D$49,0)</f>
        <v>0.5</v>
      </c>
      <c r="L393" s="6">
        <f>_xlfn.XLOOKUP('data cleaned'!D393,products!$A$1:$A$49,products!$E$1:$E$49,0)</f>
        <v>6.75</v>
      </c>
      <c r="M393" s="6">
        <f>'data cleaned'!E393*'data cleaned'!L393</f>
        <v>13.5</v>
      </c>
      <c r="N393" t="str">
        <f t="shared" si="12"/>
        <v>Arabica</v>
      </c>
      <c r="O393" t="str">
        <f t="shared" si="13"/>
        <v>Medium</v>
      </c>
      <c r="P393" t="str">
        <f>_xlfn.XLOOKUP(worksheet[[#This Row],[Customer ID]],customers!$A$1:$A$1001,customers!$I$1:$I$1001,0)</f>
        <v>No</v>
      </c>
    </row>
    <row r="394" spans="1:16" x14ac:dyDescent="0.25">
      <c r="A394" s="2" t="s">
        <v>2699</v>
      </c>
      <c r="B394" s="4">
        <v>44445</v>
      </c>
      <c r="C394" s="2" t="s">
        <v>2700</v>
      </c>
      <c r="D394" t="s">
        <v>6171</v>
      </c>
      <c r="E394" s="2">
        <v>6</v>
      </c>
      <c r="F394" s="2" t="str">
        <f>_xlfn.XLOOKUP(C394,customers!$A$1:$A$1001,customers!$B$1:$B$1001,0)</f>
        <v>Anson Iddison</v>
      </c>
      <c r="G394" s="2" t="s">
        <v>2702</v>
      </c>
      <c r="H394" s="2" t="str">
        <f>_xlfn.XLOOKUP(C394,customers!$A$1:$A$1001,customers!$G$1:$G$1001,0)</f>
        <v>United States</v>
      </c>
      <c r="I394" t="str">
        <f>_xlfn.XLOOKUP(D394,products!$A$1:$A$49,products!$B$1:$B$49,0)</f>
        <v>Exc</v>
      </c>
      <c r="J394" t="str">
        <f>_xlfn.XLOOKUP('data cleaned'!D394,products!$A$1:$A$49,products!$C$1:$C$49,0)</f>
        <v>L</v>
      </c>
      <c r="K394" s="5">
        <f>_xlfn.XLOOKUP('data cleaned'!D394,products!$A$1:$A$49,products!$D$1:$D$49,0)</f>
        <v>1</v>
      </c>
      <c r="L394" s="6">
        <f>_xlfn.XLOOKUP('data cleaned'!D394,products!$A$1:$A$49,products!$E$1:$E$49,0)</f>
        <v>14.85</v>
      </c>
      <c r="M394" s="6">
        <f>'data cleaned'!E394*'data cleaned'!L394</f>
        <v>89.1</v>
      </c>
      <c r="N394" t="str">
        <f t="shared" si="12"/>
        <v>Excelsa</v>
      </c>
      <c r="O394" t="str">
        <f t="shared" si="13"/>
        <v>Light</v>
      </c>
      <c r="P394" t="str">
        <f>_xlfn.XLOOKUP(worksheet[[#This Row],[Customer ID]],customers!$A$1:$A$1001,customers!$I$1:$I$1001,0)</f>
        <v>No</v>
      </c>
    </row>
    <row r="395" spans="1:16" x14ac:dyDescent="0.25">
      <c r="A395" s="2" t="s">
        <v>2699</v>
      </c>
      <c r="B395" s="4">
        <v>44445</v>
      </c>
      <c r="C395" s="2" t="s">
        <v>2700</v>
      </c>
      <c r="D395" t="s">
        <v>6167</v>
      </c>
      <c r="E395" s="2">
        <v>1</v>
      </c>
      <c r="F395" s="2" t="str">
        <f>_xlfn.XLOOKUP(C395,customers!$A$1:$A$1001,customers!$B$1:$B$1001,0)</f>
        <v>Anson Iddison</v>
      </c>
      <c r="G395" s="2" t="s">
        <v>2702</v>
      </c>
      <c r="H395" s="2" t="str">
        <f>_xlfn.XLOOKUP(C395,customers!$A$1:$A$1001,customers!$G$1:$G$1001,0)</f>
        <v>United States</v>
      </c>
      <c r="I395" t="str">
        <f>_xlfn.XLOOKUP(D395,products!$A$1:$A$49,products!$B$1:$B$49,0)</f>
        <v>Ara</v>
      </c>
      <c r="J395" t="str">
        <f>_xlfn.XLOOKUP('data cleaned'!D395,products!$A$1:$A$49,products!$C$1:$C$49,0)</f>
        <v>L</v>
      </c>
      <c r="K395" s="5">
        <f>_xlfn.XLOOKUP('data cleaned'!D395,products!$A$1:$A$49,products!$D$1:$D$49,0)</f>
        <v>0.2</v>
      </c>
      <c r="L395" s="6">
        <f>_xlfn.XLOOKUP('data cleaned'!D395,products!$A$1:$A$49,products!$E$1:$E$49,0)</f>
        <v>3.8849999999999998</v>
      </c>
      <c r="M395" s="6">
        <f>'data cleaned'!E395*'data cleaned'!L395</f>
        <v>3.8849999999999998</v>
      </c>
      <c r="N395" t="str">
        <f t="shared" si="12"/>
        <v>Arabica</v>
      </c>
      <c r="O395" t="str">
        <f t="shared" si="13"/>
        <v>Light</v>
      </c>
      <c r="P395" t="str">
        <f>_xlfn.XLOOKUP(worksheet[[#This Row],[Customer ID]],customers!$A$1:$A$1001,customers!$I$1:$I$1001,0)</f>
        <v>No</v>
      </c>
    </row>
    <row r="396" spans="1:16" x14ac:dyDescent="0.25">
      <c r="A396" s="2" t="s">
        <v>2710</v>
      </c>
      <c r="B396" s="4">
        <v>44083</v>
      </c>
      <c r="C396" s="2" t="s">
        <v>2711</v>
      </c>
      <c r="D396" t="s">
        <v>6142</v>
      </c>
      <c r="E396" s="2">
        <v>4</v>
      </c>
      <c r="F396" s="2" t="str">
        <f>_xlfn.XLOOKUP(C396,customers!$A$1:$A$1001,customers!$B$1:$B$1001,0)</f>
        <v>Randal Longfield</v>
      </c>
      <c r="G396" s="2" t="s">
        <v>2713</v>
      </c>
      <c r="H396" s="2" t="str">
        <f>_xlfn.XLOOKUP(C396,customers!$A$1:$A$1001,customers!$G$1:$G$1001,0)</f>
        <v>United States</v>
      </c>
      <c r="I396" t="str">
        <f>_xlfn.XLOOKUP(D396,products!$A$1:$A$49,products!$B$1:$B$49,0)</f>
        <v>Rob</v>
      </c>
      <c r="J396" t="str">
        <f>_xlfn.XLOOKUP('data cleaned'!D396,products!$A$1:$A$49,products!$C$1:$C$49,0)</f>
        <v>L</v>
      </c>
      <c r="K396" s="5">
        <f>_xlfn.XLOOKUP('data cleaned'!D396,products!$A$1:$A$49,products!$D$1:$D$49,0)</f>
        <v>2.5</v>
      </c>
      <c r="L396" s="6">
        <f>_xlfn.XLOOKUP('data cleaned'!D396,products!$A$1:$A$49,products!$E$1:$E$49,0)</f>
        <v>27.484999999999996</v>
      </c>
      <c r="M396" s="6">
        <f>'data cleaned'!E396*'data cleaned'!L396</f>
        <v>109.93999999999998</v>
      </c>
      <c r="N396" t="str">
        <f t="shared" si="12"/>
        <v>Robusta</v>
      </c>
      <c r="O396" t="str">
        <f t="shared" si="13"/>
        <v>Light</v>
      </c>
      <c r="P396" t="str">
        <f>_xlfn.XLOOKUP(worksheet[[#This Row],[Customer ID]],customers!$A$1:$A$1001,customers!$I$1:$I$1001,0)</f>
        <v>No</v>
      </c>
    </row>
    <row r="397" spans="1:16" x14ac:dyDescent="0.25">
      <c r="A397" s="2" t="s">
        <v>2716</v>
      </c>
      <c r="B397" s="4">
        <v>44465</v>
      </c>
      <c r="C397" s="2" t="s">
        <v>2717</v>
      </c>
      <c r="D397" t="s">
        <v>6169</v>
      </c>
      <c r="E397" s="2">
        <v>6</v>
      </c>
      <c r="F397" s="2" t="str">
        <f>_xlfn.XLOOKUP(C397,customers!$A$1:$A$1001,customers!$B$1:$B$1001,0)</f>
        <v>Gregorius Kislingbury</v>
      </c>
      <c r="G397" s="2" t="s">
        <v>2719</v>
      </c>
      <c r="H397" s="2" t="str">
        <f>_xlfn.XLOOKUP(C397,customers!$A$1:$A$1001,customers!$G$1:$G$1001,0)</f>
        <v>United States</v>
      </c>
      <c r="I397" t="str">
        <f>_xlfn.XLOOKUP(D397,products!$A$1:$A$49,products!$B$1:$B$49,0)</f>
        <v>Lib</v>
      </c>
      <c r="J397" t="str">
        <f>_xlfn.XLOOKUP('data cleaned'!D397,products!$A$1:$A$49,products!$C$1:$C$49,0)</f>
        <v>D</v>
      </c>
      <c r="K397" s="5">
        <f>_xlfn.XLOOKUP('data cleaned'!D397,products!$A$1:$A$49,products!$D$1:$D$49,0)</f>
        <v>0.5</v>
      </c>
      <c r="L397" s="6">
        <f>_xlfn.XLOOKUP('data cleaned'!D397,products!$A$1:$A$49,products!$E$1:$E$49,0)</f>
        <v>7.77</v>
      </c>
      <c r="M397" s="6">
        <f>'data cleaned'!E397*'data cleaned'!L397</f>
        <v>46.62</v>
      </c>
      <c r="N397" t="str">
        <f t="shared" si="12"/>
        <v>Liberica</v>
      </c>
      <c r="O397" t="str">
        <f t="shared" si="13"/>
        <v>Dark</v>
      </c>
      <c r="P397" t="str">
        <f>_xlfn.XLOOKUP(worksheet[[#This Row],[Customer ID]],customers!$A$1:$A$1001,customers!$I$1:$I$1001,0)</f>
        <v>Yes</v>
      </c>
    </row>
    <row r="398" spans="1:16" x14ac:dyDescent="0.25">
      <c r="A398" s="2" t="s">
        <v>2721</v>
      </c>
      <c r="B398" s="4">
        <v>44140</v>
      </c>
      <c r="C398" s="2" t="s">
        <v>2722</v>
      </c>
      <c r="D398" t="s">
        <v>6180</v>
      </c>
      <c r="E398" s="2">
        <v>5</v>
      </c>
      <c r="F398" s="2" t="str">
        <f>_xlfn.XLOOKUP(C398,customers!$A$1:$A$1001,customers!$B$1:$B$1001,0)</f>
        <v>Xenos Gibbons</v>
      </c>
      <c r="G398" s="2" t="s">
        <v>2724</v>
      </c>
      <c r="H398" s="2" t="str">
        <f>_xlfn.XLOOKUP(C398,customers!$A$1:$A$1001,customers!$G$1:$G$1001,0)</f>
        <v>United States</v>
      </c>
      <c r="I398" t="str">
        <f>_xlfn.XLOOKUP(D398,products!$A$1:$A$49,products!$B$1:$B$49,0)</f>
        <v>Ara</v>
      </c>
      <c r="J398" t="str">
        <f>_xlfn.XLOOKUP('data cleaned'!D398,products!$A$1:$A$49,products!$C$1:$C$49,0)</f>
        <v>L</v>
      </c>
      <c r="K398" s="5">
        <f>_xlfn.XLOOKUP('data cleaned'!D398,products!$A$1:$A$49,products!$D$1:$D$49,0)</f>
        <v>0.5</v>
      </c>
      <c r="L398" s="6">
        <f>_xlfn.XLOOKUP('data cleaned'!D398,products!$A$1:$A$49,products!$E$1:$E$49,0)</f>
        <v>7.77</v>
      </c>
      <c r="M398" s="6">
        <f>'data cleaned'!E398*'data cleaned'!L398</f>
        <v>38.849999999999994</v>
      </c>
      <c r="N398" t="str">
        <f t="shared" si="12"/>
        <v>Arabica</v>
      </c>
      <c r="O398" t="str">
        <f t="shared" si="13"/>
        <v>Light</v>
      </c>
      <c r="P398" t="str">
        <f>_xlfn.XLOOKUP(worksheet[[#This Row],[Customer ID]],customers!$A$1:$A$1001,customers!$I$1:$I$1001,0)</f>
        <v>No</v>
      </c>
    </row>
    <row r="399" spans="1:16" x14ac:dyDescent="0.25">
      <c r="A399" s="2" t="s">
        <v>2727</v>
      </c>
      <c r="B399" s="4">
        <v>43720</v>
      </c>
      <c r="C399" s="2" t="s">
        <v>2728</v>
      </c>
      <c r="D399" t="s">
        <v>6169</v>
      </c>
      <c r="E399" s="2">
        <v>4</v>
      </c>
      <c r="F399" s="2" t="str">
        <f>_xlfn.XLOOKUP(C399,customers!$A$1:$A$1001,customers!$B$1:$B$1001,0)</f>
        <v>Fleur Parres</v>
      </c>
      <c r="G399" s="2" t="s">
        <v>2730</v>
      </c>
      <c r="H399" s="2" t="str">
        <f>_xlfn.XLOOKUP(C399,customers!$A$1:$A$1001,customers!$G$1:$G$1001,0)</f>
        <v>United States</v>
      </c>
      <c r="I399" t="str">
        <f>_xlfn.XLOOKUP(D399,products!$A$1:$A$49,products!$B$1:$B$49,0)</f>
        <v>Lib</v>
      </c>
      <c r="J399" t="str">
        <f>_xlfn.XLOOKUP('data cleaned'!D399,products!$A$1:$A$49,products!$C$1:$C$49,0)</f>
        <v>D</v>
      </c>
      <c r="K399" s="5">
        <f>_xlfn.XLOOKUP('data cleaned'!D399,products!$A$1:$A$49,products!$D$1:$D$49,0)</f>
        <v>0.5</v>
      </c>
      <c r="L399" s="6">
        <f>_xlfn.XLOOKUP('data cleaned'!D399,products!$A$1:$A$49,products!$E$1:$E$49,0)</f>
        <v>7.77</v>
      </c>
      <c r="M399" s="6">
        <f>'data cleaned'!E399*'data cleaned'!L399</f>
        <v>31.08</v>
      </c>
      <c r="N399" t="str">
        <f t="shared" si="12"/>
        <v>Liberica</v>
      </c>
      <c r="O399" t="str">
        <f t="shared" si="13"/>
        <v>Dark</v>
      </c>
      <c r="P399" t="str">
        <f>_xlfn.XLOOKUP(worksheet[[#This Row],[Customer ID]],customers!$A$1:$A$1001,customers!$I$1:$I$1001,0)</f>
        <v>Yes</v>
      </c>
    </row>
    <row r="400" spans="1:16" x14ac:dyDescent="0.25">
      <c r="A400" s="2" t="s">
        <v>2733</v>
      </c>
      <c r="B400" s="4">
        <v>43677</v>
      </c>
      <c r="C400" s="2" t="s">
        <v>2734</v>
      </c>
      <c r="D400" t="s">
        <v>6154</v>
      </c>
      <c r="E400" s="2">
        <v>6</v>
      </c>
      <c r="F400" s="2" t="str">
        <f>_xlfn.XLOOKUP(C400,customers!$A$1:$A$1001,customers!$B$1:$B$1001,0)</f>
        <v>Gran Sibray</v>
      </c>
      <c r="G400" s="2" t="s">
        <v>2736</v>
      </c>
      <c r="H400" s="2" t="str">
        <f>_xlfn.XLOOKUP(C400,customers!$A$1:$A$1001,customers!$G$1:$G$1001,0)</f>
        <v>United States</v>
      </c>
      <c r="I400" t="str">
        <f>_xlfn.XLOOKUP(D400,products!$A$1:$A$49,products!$B$1:$B$49,0)</f>
        <v>Ara</v>
      </c>
      <c r="J400" t="str">
        <f>_xlfn.XLOOKUP('data cleaned'!D400,products!$A$1:$A$49,products!$C$1:$C$49,0)</f>
        <v>D</v>
      </c>
      <c r="K400" s="5">
        <f>_xlfn.XLOOKUP('data cleaned'!D400,products!$A$1:$A$49,products!$D$1:$D$49,0)</f>
        <v>0.2</v>
      </c>
      <c r="L400" s="6">
        <f>_xlfn.XLOOKUP('data cleaned'!D400,products!$A$1:$A$49,products!$E$1:$E$49,0)</f>
        <v>2.9849999999999999</v>
      </c>
      <c r="M400" s="6">
        <f>'data cleaned'!E400*'data cleaned'!L400</f>
        <v>17.91</v>
      </c>
      <c r="N400" t="str">
        <f t="shared" si="12"/>
        <v>Arabica</v>
      </c>
      <c r="O400" t="str">
        <f t="shared" si="13"/>
        <v>Dark</v>
      </c>
      <c r="P400" t="str">
        <f>_xlfn.XLOOKUP(worksheet[[#This Row],[Customer ID]],customers!$A$1:$A$1001,customers!$I$1:$I$1001,0)</f>
        <v>Yes</v>
      </c>
    </row>
    <row r="401" spans="1:16" x14ac:dyDescent="0.25">
      <c r="A401" s="2" t="s">
        <v>2739</v>
      </c>
      <c r="B401" s="4">
        <v>43539</v>
      </c>
      <c r="C401" s="2" t="s">
        <v>2740</v>
      </c>
      <c r="D401" t="s">
        <v>6185</v>
      </c>
      <c r="E401" s="2">
        <v>6</v>
      </c>
      <c r="F401" s="2" t="str">
        <f>_xlfn.XLOOKUP(C401,customers!$A$1:$A$1001,customers!$B$1:$B$1001,0)</f>
        <v>Ingelbert Hotchkin</v>
      </c>
      <c r="G401" s="2" t="s">
        <v>2742</v>
      </c>
      <c r="H401" s="2" t="str">
        <f>_xlfn.XLOOKUP(C401,customers!$A$1:$A$1001,customers!$G$1:$G$1001,0)</f>
        <v>United Kingdom</v>
      </c>
      <c r="I401" t="str">
        <f>_xlfn.XLOOKUP(D401,products!$A$1:$A$49,products!$B$1:$B$49,0)</f>
        <v>Exc</v>
      </c>
      <c r="J401" t="str">
        <f>_xlfn.XLOOKUP('data cleaned'!D401,products!$A$1:$A$49,products!$C$1:$C$49,0)</f>
        <v>D</v>
      </c>
      <c r="K401" s="5">
        <f>_xlfn.XLOOKUP('data cleaned'!D401,products!$A$1:$A$49,products!$D$1:$D$49,0)</f>
        <v>2.5</v>
      </c>
      <c r="L401" s="6">
        <f>_xlfn.XLOOKUP('data cleaned'!D401,products!$A$1:$A$49,products!$E$1:$E$49,0)</f>
        <v>27.945</v>
      </c>
      <c r="M401" s="6">
        <f>'data cleaned'!E401*'data cleaned'!L401</f>
        <v>167.67000000000002</v>
      </c>
      <c r="N401" t="str">
        <f t="shared" si="12"/>
        <v>Excelsa</v>
      </c>
      <c r="O401" t="str">
        <f t="shared" si="13"/>
        <v>Dark</v>
      </c>
      <c r="P401" t="str">
        <f>_xlfn.XLOOKUP(worksheet[[#This Row],[Customer ID]],customers!$A$1:$A$1001,customers!$I$1:$I$1001,0)</f>
        <v>No</v>
      </c>
    </row>
    <row r="402" spans="1:16" x14ac:dyDescent="0.25">
      <c r="A402" s="2" t="s">
        <v>2745</v>
      </c>
      <c r="B402" s="4">
        <v>44332</v>
      </c>
      <c r="C402" s="2" t="s">
        <v>2746</v>
      </c>
      <c r="D402" t="s">
        <v>6170</v>
      </c>
      <c r="E402" s="2">
        <v>4</v>
      </c>
      <c r="F402" s="2" t="str">
        <f>_xlfn.XLOOKUP(C402,customers!$A$1:$A$1001,customers!$B$1:$B$1001,0)</f>
        <v>Neely Broadberrie</v>
      </c>
      <c r="G402" s="2" t="s">
        <v>2748</v>
      </c>
      <c r="H402" s="2" t="str">
        <f>_xlfn.XLOOKUP(C402,customers!$A$1:$A$1001,customers!$G$1:$G$1001,0)</f>
        <v>United States</v>
      </c>
      <c r="I402" t="str">
        <f>_xlfn.XLOOKUP(D402,products!$A$1:$A$49,products!$B$1:$B$49,0)</f>
        <v>Lib</v>
      </c>
      <c r="J402" t="str">
        <f>_xlfn.XLOOKUP('data cleaned'!D402,products!$A$1:$A$49,products!$C$1:$C$49,0)</f>
        <v>L</v>
      </c>
      <c r="K402" s="5">
        <f>_xlfn.XLOOKUP('data cleaned'!D402,products!$A$1:$A$49,products!$D$1:$D$49,0)</f>
        <v>1</v>
      </c>
      <c r="L402" s="6">
        <f>_xlfn.XLOOKUP('data cleaned'!D402,products!$A$1:$A$49,products!$E$1:$E$49,0)</f>
        <v>15.85</v>
      </c>
      <c r="M402" s="6">
        <f>'data cleaned'!E402*'data cleaned'!L402</f>
        <v>63.4</v>
      </c>
      <c r="N402" t="str">
        <f t="shared" si="12"/>
        <v>Liberica</v>
      </c>
      <c r="O402" t="str">
        <f t="shared" si="13"/>
        <v>Light</v>
      </c>
      <c r="P402" t="str">
        <f>_xlfn.XLOOKUP(worksheet[[#This Row],[Customer ID]],customers!$A$1:$A$1001,customers!$I$1:$I$1001,0)</f>
        <v>No</v>
      </c>
    </row>
    <row r="403" spans="1:16" x14ac:dyDescent="0.25">
      <c r="A403" s="2" t="s">
        <v>2751</v>
      </c>
      <c r="B403" s="4">
        <v>43591</v>
      </c>
      <c r="C403" s="2" t="s">
        <v>2752</v>
      </c>
      <c r="D403" t="s">
        <v>6159</v>
      </c>
      <c r="E403" s="2">
        <v>2</v>
      </c>
      <c r="F403" s="2" t="str">
        <f>_xlfn.XLOOKUP(C403,customers!$A$1:$A$1001,customers!$B$1:$B$1001,0)</f>
        <v>Rutger Pithcock</v>
      </c>
      <c r="G403" s="2" t="s">
        <v>2754</v>
      </c>
      <c r="H403" s="2" t="str">
        <f>_xlfn.XLOOKUP(C403,customers!$A$1:$A$1001,customers!$G$1:$G$1001,0)</f>
        <v>United States</v>
      </c>
      <c r="I403" t="str">
        <f>_xlfn.XLOOKUP(D403,products!$A$1:$A$49,products!$B$1:$B$49,0)</f>
        <v>Lib</v>
      </c>
      <c r="J403" t="str">
        <f>_xlfn.XLOOKUP('data cleaned'!D403,products!$A$1:$A$49,products!$C$1:$C$49,0)</f>
        <v>M</v>
      </c>
      <c r="K403" s="5">
        <f>_xlfn.XLOOKUP('data cleaned'!D403,products!$A$1:$A$49,products!$D$1:$D$49,0)</f>
        <v>0.2</v>
      </c>
      <c r="L403" s="6">
        <f>_xlfn.XLOOKUP('data cleaned'!D403,products!$A$1:$A$49,products!$E$1:$E$49,0)</f>
        <v>4.3650000000000002</v>
      </c>
      <c r="M403" s="6">
        <f>'data cleaned'!E403*'data cleaned'!L403</f>
        <v>8.73</v>
      </c>
      <c r="N403" t="str">
        <f t="shared" si="12"/>
        <v>Liberica</v>
      </c>
      <c r="O403" t="str">
        <f t="shared" si="13"/>
        <v>Medium</v>
      </c>
      <c r="P403" t="str">
        <f>_xlfn.XLOOKUP(worksheet[[#This Row],[Customer ID]],customers!$A$1:$A$1001,customers!$I$1:$I$1001,0)</f>
        <v>Yes</v>
      </c>
    </row>
    <row r="404" spans="1:16" x14ac:dyDescent="0.25">
      <c r="A404" s="2" t="s">
        <v>2757</v>
      </c>
      <c r="B404" s="4">
        <v>43502</v>
      </c>
      <c r="C404" s="2" t="s">
        <v>2758</v>
      </c>
      <c r="D404" t="s">
        <v>6177</v>
      </c>
      <c r="E404" s="2">
        <v>3</v>
      </c>
      <c r="F404" s="2" t="str">
        <f>_xlfn.XLOOKUP(C404,customers!$A$1:$A$1001,customers!$B$1:$B$1001,0)</f>
        <v>Gale Croysdale</v>
      </c>
      <c r="G404" s="2" t="s">
        <v>2760</v>
      </c>
      <c r="H404" s="2" t="str">
        <f>_xlfn.XLOOKUP(C404,customers!$A$1:$A$1001,customers!$G$1:$G$1001,0)</f>
        <v>United States</v>
      </c>
      <c r="I404" t="str">
        <f>_xlfn.XLOOKUP(D404,products!$A$1:$A$49,products!$B$1:$B$49,0)</f>
        <v>Rob</v>
      </c>
      <c r="J404" t="str">
        <f>_xlfn.XLOOKUP('data cleaned'!D404,products!$A$1:$A$49,products!$C$1:$C$49,0)</f>
        <v>D</v>
      </c>
      <c r="K404" s="5">
        <f>_xlfn.XLOOKUP('data cleaned'!D404,products!$A$1:$A$49,products!$D$1:$D$49,0)</f>
        <v>1</v>
      </c>
      <c r="L404" s="6">
        <f>_xlfn.XLOOKUP('data cleaned'!D404,products!$A$1:$A$49,products!$E$1:$E$49,0)</f>
        <v>8.9499999999999993</v>
      </c>
      <c r="M404" s="6">
        <f>'data cleaned'!E404*'data cleaned'!L404</f>
        <v>26.849999999999998</v>
      </c>
      <c r="N404" t="str">
        <f t="shared" si="12"/>
        <v>Robusta</v>
      </c>
      <c r="O404" t="str">
        <f t="shared" si="13"/>
        <v>Dark</v>
      </c>
      <c r="P404" t="str">
        <f>_xlfn.XLOOKUP(worksheet[[#This Row],[Customer ID]],customers!$A$1:$A$1001,customers!$I$1:$I$1001,0)</f>
        <v>Yes</v>
      </c>
    </row>
    <row r="405" spans="1:16" x14ac:dyDescent="0.25">
      <c r="A405" s="2" t="s">
        <v>2763</v>
      </c>
      <c r="B405" s="4">
        <v>44295</v>
      </c>
      <c r="C405" s="2" t="s">
        <v>2764</v>
      </c>
      <c r="D405" t="s">
        <v>6145</v>
      </c>
      <c r="E405" s="2">
        <v>2</v>
      </c>
      <c r="F405" s="2" t="str">
        <f>_xlfn.XLOOKUP(C405,customers!$A$1:$A$1001,customers!$B$1:$B$1001,0)</f>
        <v>Benedetto Gozzett</v>
      </c>
      <c r="G405" s="2" t="s">
        <v>2766</v>
      </c>
      <c r="H405" s="2" t="str">
        <f>_xlfn.XLOOKUP(C405,customers!$A$1:$A$1001,customers!$G$1:$G$1001,0)</f>
        <v>United States</v>
      </c>
      <c r="I405" t="str">
        <f>_xlfn.XLOOKUP(D405,products!$A$1:$A$49,products!$B$1:$B$49,0)</f>
        <v>Lib</v>
      </c>
      <c r="J405" t="str">
        <f>_xlfn.XLOOKUP('data cleaned'!D405,products!$A$1:$A$49,products!$C$1:$C$49,0)</f>
        <v>L</v>
      </c>
      <c r="K405" s="5">
        <f>_xlfn.XLOOKUP('data cleaned'!D405,products!$A$1:$A$49,products!$D$1:$D$49,0)</f>
        <v>0.2</v>
      </c>
      <c r="L405" s="6">
        <f>_xlfn.XLOOKUP('data cleaned'!D405,products!$A$1:$A$49,products!$E$1:$E$49,0)</f>
        <v>4.7549999999999999</v>
      </c>
      <c r="M405" s="6">
        <f>'data cleaned'!E405*'data cleaned'!L405</f>
        <v>9.51</v>
      </c>
      <c r="N405" t="str">
        <f t="shared" si="12"/>
        <v>Liberica</v>
      </c>
      <c r="O405" t="str">
        <f t="shared" si="13"/>
        <v>Light</v>
      </c>
      <c r="P405" t="str">
        <f>_xlfn.XLOOKUP(worksheet[[#This Row],[Customer ID]],customers!$A$1:$A$1001,customers!$I$1:$I$1001,0)</f>
        <v>No</v>
      </c>
    </row>
    <row r="406" spans="1:16" x14ac:dyDescent="0.25">
      <c r="A406" s="2" t="s">
        <v>2769</v>
      </c>
      <c r="B406" s="4">
        <v>43971</v>
      </c>
      <c r="C406" s="2" t="s">
        <v>2770</v>
      </c>
      <c r="D406" t="s">
        <v>6147</v>
      </c>
      <c r="E406" s="2">
        <v>4</v>
      </c>
      <c r="F406" s="2" t="str">
        <f>_xlfn.XLOOKUP(C406,customers!$A$1:$A$1001,customers!$B$1:$B$1001,0)</f>
        <v>Tania Craggs</v>
      </c>
      <c r="G406" s="2" t="s">
        <v>2772</v>
      </c>
      <c r="H406" s="2" t="str">
        <f>_xlfn.XLOOKUP(C406,customers!$A$1:$A$1001,customers!$G$1:$G$1001,0)</f>
        <v>Ireland</v>
      </c>
      <c r="I406" t="str">
        <f>_xlfn.XLOOKUP(D406,products!$A$1:$A$49,products!$B$1:$B$49,0)</f>
        <v>Ara</v>
      </c>
      <c r="J406" t="str">
        <f>_xlfn.XLOOKUP('data cleaned'!D406,products!$A$1:$A$49,products!$C$1:$C$49,0)</f>
        <v>D</v>
      </c>
      <c r="K406" s="5">
        <f>_xlfn.XLOOKUP('data cleaned'!D406,products!$A$1:$A$49,products!$D$1:$D$49,0)</f>
        <v>1</v>
      </c>
      <c r="L406" s="6">
        <f>_xlfn.XLOOKUP('data cleaned'!D406,products!$A$1:$A$49,products!$E$1:$E$49,0)</f>
        <v>9.9499999999999993</v>
      </c>
      <c r="M406" s="6">
        <f>'data cleaned'!E406*'data cleaned'!L406</f>
        <v>39.799999999999997</v>
      </c>
      <c r="N406" t="str">
        <f t="shared" si="12"/>
        <v>Arabica</v>
      </c>
      <c r="O406" t="str">
        <f t="shared" si="13"/>
        <v>Dark</v>
      </c>
      <c r="P406" t="str">
        <f>_xlfn.XLOOKUP(worksheet[[#This Row],[Customer ID]],customers!$A$1:$A$1001,customers!$I$1:$I$1001,0)</f>
        <v>No</v>
      </c>
    </row>
    <row r="407" spans="1:16" x14ac:dyDescent="0.25">
      <c r="A407" s="2" t="s">
        <v>2775</v>
      </c>
      <c r="B407" s="4">
        <v>44167</v>
      </c>
      <c r="C407" s="2" t="s">
        <v>2776</v>
      </c>
      <c r="D407" t="s">
        <v>6139</v>
      </c>
      <c r="E407" s="2">
        <v>3</v>
      </c>
      <c r="F407" s="2" t="str">
        <f>_xlfn.XLOOKUP(C407,customers!$A$1:$A$1001,customers!$B$1:$B$1001,0)</f>
        <v>Leonie Cullrford</v>
      </c>
      <c r="G407" s="2" t="s">
        <v>2778</v>
      </c>
      <c r="H407" s="2" t="str">
        <f>_xlfn.XLOOKUP(C407,customers!$A$1:$A$1001,customers!$G$1:$G$1001,0)</f>
        <v>United States</v>
      </c>
      <c r="I407" t="str">
        <f>_xlfn.XLOOKUP(D407,products!$A$1:$A$49,products!$B$1:$B$49,0)</f>
        <v>Exc</v>
      </c>
      <c r="J407" t="str">
        <f>_xlfn.XLOOKUP('data cleaned'!D407,products!$A$1:$A$49,products!$C$1:$C$49,0)</f>
        <v>M</v>
      </c>
      <c r="K407" s="5">
        <f>_xlfn.XLOOKUP('data cleaned'!D407,products!$A$1:$A$49,products!$D$1:$D$49,0)</f>
        <v>0.5</v>
      </c>
      <c r="L407" s="6">
        <f>_xlfn.XLOOKUP('data cleaned'!D407,products!$A$1:$A$49,products!$E$1:$E$49,0)</f>
        <v>8.25</v>
      </c>
      <c r="M407" s="6">
        <f>'data cleaned'!E407*'data cleaned'!L407</f>
        <v>24.75</v>
      </c>
      <c r="N407" t="str">
        <f t="shared" si="12"/>
        <v>Excelsa</v>
      </c>
      <c r="O407" t="str">
        <f t="shared" si="13"/>
        <v>Medium</v>
      </c>
      <c r="P407" t="str">
        <f>_xlfn.XLOOKUP(worksheet[[#This Row],[Customer ID]],customers!$A$1:$A$1001,customers!$I$1:$I$1001,0)</f>
        <v>Yes</v>
      </c>
    </row>
    <row r="408" spans="1:16" x14ac:dyDescent="0.25">
      <c r="A408" s="2" t="s">
        <v>2781</v>
      </c>
      <c r="B408" s="4">
        <v>44416</v>
      </c>
      <c r="C408" s="2" t="s">
        <v>2782</v>
      </c>
      <c r="D408" t="s">
        <v>6141</v>
      </c>
      <c r="E408" s="2">
        <v>5</v>
      </c>
      <c r="F408" s="2" t="str">
        <f>_xlfn.XLOOKUP(C408,customers!$A$1:$A$1001,customers!$B$1:$B$1001,0)</f>
        <v>Auguste Rizon</v>
      </c>
      <c r="G408" s="2" t="s">
        <v>2784</v>
      </c>
      <c r="H408" s="2" t="str">
        <f>_xlfn.XLOOKUP(C408,customers!$A$1:$A$1001,customers!$G$1:$G$1001,0)</f>
        <v>United States</v>
      </c>
      <c r="I408" t="str">
        <f>_xlfn.XLOOKUP(D408,products!$A$1:$A$49,products!$B$1:$B$49,0)</f>
        <v>Exc</v>
      </c>
      <c r="J408" t="str">
        <f>_xlfn.XLOOKUP('data cleaned'!D408,products!$A$1:$A$49,products!$C$1:$C$49,0)</f>
        <v>M</v>
      </c>
      <c r="K408" s="5">
        <f>_xlfn.XLOOKUP('data cleaned'!D408,products!$A$1:$A$49,products!$D$1:$D$49,0)</f>
        <v>1</v>
      </c>
      <c r="L408" s="6">
        <f>_xlfn.XLOOKUP('data cleaned'!D408,products!$A$1:$A$49,products!$E$1:$E$49,0)</f>
        <v>13.75</v>
      </c>
      <c r="M408" s="6">
        <f>'data cleaned'!E408*'data cleaned'!L408</f>
        <v>68.75</v>
      </c>
      <c r="N408" t="str">
        <f t="shared" si="12"/>
        <v>Excelsa</v>
      </c>
      <c r="O408" t="str">
        <f t="shared" si="13"/>
        <v>Medium</v>
      </c>
      <c r="P408" t="str">
        <f>_xlfn.XLOOKUP(worksheet[[#This Row],[Customer ID]],customers!$A$1:$A$1001,customers!$I$1:$I$1001,0)</f>
        <v>Yes</v>
      </c>
    </row>
    <row r="409" spans="1:16" x14ac:dyDescent="0.25">
      <c r="A409" s="2" t="s">
        <v>2787</v>
      </c>
      <c r="B409" s="4">
        <v>44595</v>
      </c>
      <c r="C409" s="2" t="s">
        <v>2788</v>
      </c>
      <c r="D409" t="s">
        <v>6139</v>
      </c>
      <c r="E409" s="2">
        <v>6</v>
      </c>
      <c r="F409" s="2" t="str">
        <f>_xlfn.XLOOKUP(C409,customers!$A$1:$A$1001,customers!$B$1:$B$1001,0)</f>
        <v>Lorin Guerrazzi</v>
      </c>
      <c r="G409" s="2" t="s">
        <v>6222</v>
      </c>
      <c r="H409" s="2" t="str">
        <f>_xlfn.XLOOKUP(C409,customers!$A$1:$A$1001,customers!$G$1:$G$1001,0)</f>
        <v>Ireland</v>
      </c>
      <c r="I409" t="str">
        <f>_xlfn.XLOOKUP(D409,products!$A$1:$A$49,products!$B$1:$B$49,0)</f>
        <v>Exc</v>
      </c>
      <c r="J409" t="str">
        <f>_xlfn.XLOOKUP('data cleaned'!D409,products!$A$1:$A$49,products!$C$1:$C$49,0)</f>
        <v>M</v>
      </c>
      <c r="K409" s="5">
        <f>_xlfn.XLOOKUP('data cleaned'!D409,products!$A$1:$A$49,products!$D$1:$D$49,0)</f>
        <v>0.5</v>
      </c>
      <c r="L409" s="6">
        <f>_xlfn.XLOOKUP('data cleaned'!D409,products!$A$1:$A$49,products!$E$1:$E$49,0)</f>
        <v>8.25</v>
      </c>
      <c r="M409" s="6">
        <f>'data cleaned'!E409*'data cleaned'!L409</f>
        <v>49.5</v>
      </c>
      <c r="N409" t="str">
        <f t="shared" si="12"/>
        <v>Excelsa</v>
      </c>
      <c r="O409" t="str">
        <f t="shared" si="13"/>
        <v>Medium</v>
      </c>
      <c r="P409" t="str">
        <f>_xlfn.XLOOKUP(worksheet[[#This Row],[Customer ID]],customers!$A$1:$A$1001,customers!$I$1:$I$1001,0)</f>
        <v>No</v>
      </c>
    </row>
    <row r="410" spans="1:16" x14ac:dyDescent="0.25">
      <c r="A410" s="2" t="s">
        <v>2792</v>
      </c>
      <c r="B410" s="4">
        <v>44659</v>
      </c>
      <c r="C410" s="2" t="s">
        <v>2793</v>
      </c>
      <c r="D410" t="s">
        <v>6175</v>
      </c>
      <c r="E410" s="2">
        <v>2</v>
      </c>
      <c r="F410" s="2" t="str">
        <f>_xlfn.XLOOKUP(C410,customers!$A$1:$A$1001,customers!$B$1:$B$1001,0)</f>
        <v>Felice Miell</v>
      </c>
      <c r="G410" s="2" t="s">
        <v>2795</v>
      </c>
      <c r="H410" s="2" t="str">
        <f>_xlfn.XLOOKUP(C410,customers!$A$1:$A$1001,customers!$G$1:$G$1001,0)</f>
        <v>United States</v>
      </c>
      <c r="I410" t="str">
        <f>_xlfn.XLOOKUP(D410,products!$A$1:$A$49,products!$B$1:$B$49,0)</f>
        <v>Ara</v>
      </c>
      <c r="J410" t="str">
        <f>_xlfn.XLOOKUP('data cleaned'!D410,products!$A$1:$A$49,products!$C$1:$C$49,0)</f>
        <v>M</v>
      </c>
      <c r="K410" s="5">
        <f>_xlfn.XLOOKUP('data cleaned'!D410,products!$A$1:$A$49,products!$D$1:$D$49,0)</f>
        <v>2.5</v>
      </c>
      <c r="L410" s="6">
        <f>_xlfn.XLOOKUP('data cleaned'!D410,products!$A$1:$A$49,products!$E$1:$E$49,0)</f>
        <v>25.874999999999996</v>
      </c>
      <c r="M410" s="6">
        <f>'data cleaned'!E410*'data cleaned'!L410</f>
        <v>51.749999999999993</v>
      </c>
      <c r="N410" t="str">
        <f t="shared" si="12"/>
        <v>Arabica</v>
      </c>
      <c r="O410" t="str">
        <f t="shared" si="13"/>
        <v>Medium</v>
      </c>
      <c r="P410" t="str">
        <f>_xlfn.XLOOKUP(worksheet[[#This Row],[Customer ID]],customers!$A$1:$A$1001,customers!$I$1:$I$1001,0)</f>
        <v>Yes</v>
      </c>
    </row>
    <row r="411" spans="1:16" x14ac:dyDescent="0.25">
      <c r="A411" s="2" t="s">
        <v>2798</v>
      </c>
      <c r="B411" s="4">
        <v>44203</v>
      </c>
      <c r="C411" s="2" t="s">
        <v>2799</v>
      </c>
      <c r="D411" t="s">
        <v>6170</v>
      </c>
      <c r="E411" s="2">
        <v>3</v>
      </c>
      <c r="F411" s="2" t="str">
        <f>_xlfn.XLOOKUP(C411,customers!$A$1:$A$1001,customers!$B$1:$B$1001,0)</f>
        <v>Hamish Skeech</v>
      </c>
      <c r="G411" s="2" t="s">
        <v>6222</v>
      </c>
      <c r="H411" s="2" t="str">
        <f>_xlfn.XLOOKUP(C411,customers!$A$1:$A$1001,customers!$G$1:$G$1001,0)</f>
        <v>Ireland</v>
      </c>
      <c r="I411" t="str">
        <f>_xlfn.XLOOKUP(D411,products!$A$1:$A$49,products!$B$1:$B$49,0)</f>
        <v>Lib</v>
      </c>
      <c r="J411" t="str">
        <f>_xlfn.XLOOKUP('data cleaned'!D411,products!$A$1:$A$49,products!$C$1:$C$49,0)</f>
        <v>L</v>
      </c>
      <c r="K411" s="5">
        <f>_xlfn.XLOOKUP('data cleaned'!D411,products!$A$1:$A$49,products!$D$1:$D$49,0)</f>
        <v>1</v>
      </c>
      <c r="L411" s="6">
        <f>_xlfn.XLOOKUP('data cleaned'!D411,products!$A$1:$A$49,products!$E$1:$E$49,0)</f>
        <v>15.85</v>
      </c>
      <c r="M411" s="6">
        <f>'data cleaned'!E411*'data cleaned'!L411</f>
        <v>47.55</v>
      </c>
      <c r="N411" t="str">
        <f t="shared" si="12"/>
        <v>Liberica</v>
      </c>
      <c r="O411" t="str">
        <f t="shared" si="13"/>
        <v>Light</v>
      </c>
      <c r="P411" t="str">
        <f>_xlfn.XLOOKUP(worksheet[[#This Row],[Customer ID]],customers!$A$1:$A$1001,customers!$I$1:$I$1001,0)</f>
        <v>Yes</v>
      </c>
    </row>
    <row r="412" spans="1:16" x14ac:dyDescent="0.25">
      <c r="A412" s="2" t="s">
        <v>2803</v>
      </c>
      <c r="B412" s="4">
        <v>44441</v>
      </c>
      <c r="C412" s="2" t="s">
        <v>2804</v>
      </c>
      <c r="D412" t="s">
        <v>6167</v>
      </c>
      <c r="E412" s="2">
        <v>4</v>
      </c>
      <c r="F412" s="2" t="str">
        <f>_xlfn.XLOOKUP(C412,customers!$A$1:$A$1001,customers!$B$1:$B$1001,0)</f>
        <v>Giordano Lorenzin</v>
      </c>
      <c r="G412" s="2" t="s">
        <v>6222</v>
      </c>
      <c r="H412" s="2" t="str">
        <f>_xlfn.XLOOKUP(C412,customers!$A$1:$A$1001,customers!$G$1:$G$1001,0)</f>
        <v>United States</v>
      </c>
      <c r="I412" t="str">
        <f>_xlfn.XLOOKUP(D412,products!$A$1:$A$49,products!$B$1:$B$49,0)</f>
        <v>Ara</v>
      </c>
      <c r="J412" t="str">
        <f>_xlfn.XLOOKUP('data cleaned'!D412,products!$A$1:$A$49,products!$C$1:$C$49,0)</f>
        <v>L</v>
      </c>
      <c r="K412" s="5">
        <f>_xlfn.XLOOKUP('data cleaned'!D412,products!$A$1:$A$49,products!$D$1:$D$49,0)</f>
        <v>0.2</v>
      </c>
      <c r="L412" s="6">
        <f>_xlfn.XLOOKUP('data cleaned'!D412,products!$A$1:$A$49,products!$E$1:$E$49,0)</f>
        <v>3.8849999999999998</v>
      </c>
      <c r="M412" s="6">
        <f>'data cleaned'!E412*'data cleaned'!L412</f>
        <v>15.54</v>
      </c>
      <c r="N412" t="str">
        <f t="shared" si="12"/>
        <v>Arabica</v>
      </c>
      <c r="O412" t="str">
        <f t="shared" si="13"/>
        <v>Light</v>
      </c>
      <c r="P412" t="str">
        <f>_xlfn.XLOOKUP(worksheet[[#This Row],[Customer ID]],customers!$A$1:$A$1001,customers!$I$1:$I$1001,0)</f>
        <v>No</v>
      </c>
    </row>
    <row r="413" spans="1:16" x14ac:dyDescent="0.25">
      <c r="A413" s="2" t="s">
        <v>2808</v>
      </c>
      <c r="B413" s="4">
        <v>44504</v>
      </c>
      <c r="C413" s="2" t="s">
        <v>2809</v>
      </c>
      <c r="D413" t="s">
        <v>6162</v>
      </c>
      <c r="E413" s="2">
        <v>6</v>
      </c>
      <c r="F413" s="2" t="str">
        <f>_xlfn.XLOOKUP(C413,customers!$A$1:$A$1001,customers!$B$1:$B$1001,0)</f>
        <v>Harwilll Bishell</v>
      </c>
      <c r="G413" s="2" t="s">
        <v>6222</v>
      </c>
      <c r="H413" s="2" t="str">
        <f>_xlfn.XLOOKUP(C413,customers!$A$1:$A$1001,customers!$G$1:$G$1001,0)</f>
        <v>United States</v>
      </c>
      <c r="I413" t="str">
        <f>_xlfn.XLOOKUP(D413,products!$A$1:$A$49,products!$B$1:$B$49,0)</f>
        <v>Lib</v>
      </c>
      <c r="J413" t="str">
        <f>_xlfn.XLOOKUP('data cleaned'!D413,products!$A$1:$A$49,products!$C$1:$C$49,0)</f>
        <v>M</v>
      </c>
      <c r="K413" s="5">
        <f>_xlfn.XLOOKUP('data cleaned'!D413,products!$A$1:$A$49,products!$D$1:$D$49,0)</f>
        <v>1</v>
      </c>
      <c r="L413" s="6">
        <f>_xlfn.XLOOKUP('data cleaned'!D413,products!$A$1:$A$49,products!$E$1:$E$49,0)</f>
        <v>14.55</v>
      </c>
      <c r="M413" s="6">
        <f>'data cleaned'!E413*'data cleaned'!L413</f>
        <v>87.300000000000011</v>
      </c>
      <c r="N413" t="str">
        <f t="shared" si="12"/>
        <v>Liberica</v>
      </c>
      <c r="O413" t="str">
        <f t="shared" si="13"/>
        <v>Medium</v>
      </c>
      <c r="P413" t="str">
        <f>_xlfn.XLOOKUP(worksheet[[#This Row],[Customer ID]],customers!$A$1:$A$1001,customers!$I$1:$I$1001,0)</f>
        <v>Yes</v>
      </c>
    </row>
    <row r="414" spans="1:16" x14ac:dyDescent="0.25">
      <c r="A414" s="2" t="s">
        <v>2813</v>
      </c>
      <c r="B414" s="4">
        <v>44410</v>
      </c>
      <c r="C414" s="2" t="s">
        <v>2814</v>
      </c>
      <c r="D414" t="s">
        <v>6155</v>
      </c>
      <c r="E414" s="2">
        <v>5</v>
      </c>
      <c r="F414" s="2" t="str">
        <f>_xlfn.XLOOKUP(C414,customers!$A$1:$A$1001,customers!$B$1:$B$1001,0)</f>
        <v>Freeland Missenden</v>
      </c>
      <c r="G414" s="2" t="s">
        <v>6222</v>
      </c>
      <c r="H414" s="2" t="str">
        <f>_xlfn.XLOOKUP(C414,customers!$A$1:$A$1001,customers!$G$1:$G$1001,0)</f>
        <v>United States</v>
      </c>
      <c r="I414" t="str">
        <f>_xlfn.XLOOKUP(D414,products!$A$1:$A$49,products!$B$1:$B$49,0)</f>
        <v>Ara</v>
      </c>
      <c r="J414" t="str">
        <f>_xlfn.XLOOKUP('data cleaned'!D414,products!$A$1:$A$49,products!$C$1:$C$49,0)</f>
        <v>M</v>
      </c>
      <c r="K414" s="5">
        <f>_xlfn.XLOOKUP('data cleaned'!D414,products!$A$1:$A$49,products!$D$1:$D$49,0)</f>
        <v>1</v>
      </c>
      <c r="L414" s="6">
        <f>_xlfn.XLOOKUP('data cleaned'!D414,products!$A$1:$A$49,products!$E$1:$E$49,0)</f>
        <v>11.25</v>
      </c>
      <c r="M414" s="6">
        <f>'data cleaned'!E414*'data cleaned'!L414</f>
        <v>56.25</v>
      </c>
      <c r="N414" t="str">
        <f t="shared" si="12"/>
        <v>Arabica</v>
      </c>
      <c r="O414" t="str">
        <f t="shared" si="13"/>
        <v>Medium</v>
      </c>
      <c r="P414" t="str">
        <f>_xlfn.XLOOKUP(worksheet[[#This Row],[Customer ID]],customers!$A$1:$A$1001,customers!$I$1:$I$1001,0)</f>
        <v>Yes</v>
      </c>
    </row>
    <row r="415" spans="1:16" x14ac:dyDescent="0.25">
      <c r="A415" s="2" t="s">
        <v>2818</v>
      </c>
      <c r="B415" s="4">
        <v>43857</v>
      </c>
      <c r="C415" s="2" t="s">
        <v>2819</v>
      </c>
      <c r="D415" t="s">
        <v>6164</v>
      </c>
      <c r="E415" s="2">
        <v>1</v>
      </c>
      <c r="F415" s="2" t="str">
        <f>_xlfn.XLOOKUP(C415,customers!$A$1:$A$1001,customers!$B$1:$B$1001,0)</f>
        <v>Waylan Springall</v>
      </c>
      <c r="G415" s="2" t="s">
        <v>2821</v>
      </c>
      <c r="H415" s="2" t="str">
        <f>_xlfn.XLOOKUP(C415,customers!$A$1:$A$1001,customers!$G$1:$G$1001,0)</f>
        <v>United States</v>
      </c>
      <c r="I415" t="str">
        <f>_xlfn.XLOOKUP(D415,products!$A$1:$A$49,products!$B$1:$B$49,0)</f>
        <v>Lib</v>
      </c>
      <c r="J415" t="str">
        <f>_xlfn.XLOOKUP('data cleaned'!D415,products!$A$1:$A$49,products!$C$1:$C$49,0)</f>
        <v>L</v>
      </c>
      <c r="K415" s="5">
        <f>_xlfn.XLOOKUP('data cleaned'!D415,products!$A$1:$A$49,products!$D$1:$D$49,0)</f>
        <v>2.5</v>
      </c>
      <c r="L415" s="6">
        <f>_xlfn.XLOOKUP('data cleaned'!D415,products!$A$1:$A$49,products!$E$1:$E$49,0)</f>
        <v>36.454999999999998</v>
      </c>
      <c r="M415" s="6">
        <f>'data cleaned'!E415*'data cleaned'!L415</f>
        <v>36.454999999999998</v>
      </c>
      <c r="N415" t="str">
        <f t="shared" si="12"/>
        <v>Liberica</v>
      </c>
      <c r="O415" t="str">
        <f t="shared" si="13"/>
        <v>Light</v>
      </c>
      <c r="P415" t="str">
        <f>_xlfn.XLOOKUP(worksheet[[#This Row],[Customer ID]],customers!$A$1:$A$1001,customers!$I$1:$I$1001,0)</f>
        <v>Yes</v>
      </c>
    </row>
    <row r="416" spans="1:16" x14ac:dyDescent="0.25">
      <c r="A416" s="2" t="s">
        <v>2824</v>
      </c>
      <c r="B416" s="4">
        <v>43802</v>
      </c>
      <c r="C416" s="2" t="s">
        <v>2825</v>
      </c>
      <c r="D416" t="s">
        <v>6178</v>
      </c>
      <c r="E416" s="2">
        <v>3</v>
      </c>
      <c r="F416" s="2" t="str">
        <f>_xlfn.XLOOKUP(C416,customers!$A$1:$A$1001,customers!$B$1:$B$1001,0)</f>
        <v>Kiri Avramow</v>
      </c>
      <c r="G416" s="2" t="s">
        <v>6222</v>
      </c>
      <c r="H416" s="2" t="str">
        <f>_xlfn.XLOOKUP(C416,customers!$A$1:$A$1001,customers!$G$1:$G$1001,0)</f>
        <v>United States</v>
      </c>
      <c r="I416" t="str">
        <f>_xlfn.XLOOKUP(D416,products!$A$1:$A$49,products!$B$1:$B$49,0)</f>
        <v>Rob</v>
      </c>
      <c r="J416" t="str">
        <f>_xlfn.XLOOKUP('data cleaned'!D416,products!$A$1:$A$49,products!$C$1:$C$49,0)</f>
        <v>L</v>
      </c>
      <c r="K416" s="5">
        <f>_xlfn.XLOOKUP('data cleaned'!D416,products!$A$1:$A$49,products!$D$1:$D$49,0)</f>
        <v>0.2</v>
      </c>
      <c r="L416" s="6">
        <f>_xlfn.XLOOKUP('data cleaned'!D416,products!$A$1:$A$49,products!$E$1:$E$49,0)</f>
        <v>3.5849999999999995</v>
      </c>
      <c r="M416" s="6">
        <f>'data cleaned'!E416*'data cleaned'!L416</f>
        <v>10.754999999999999</v>
      </c>
      <c r="N416" t="str">
        <f t="shared" si="12"/>
        <v>Robusta</v>
      </c>
      <c r="O416" t="str">
        <f t="shared" si="13"/>
        <v>Light</v>
      </c>
      <c r="P416" t="str">
        <f>_xlfn.XLOOKUP(worksheet[[#This Row],[Customer ID]],customers!$A$1:$A$1001,customers!$I$1:$I$1001,0)</f>
        <v>Yes</v>
      </c>
    </row>
    <row r="417" spans="1:16" x14ac:dyDescent="0.25">
      <c r="A417" s="2" t="s">
        <v>2829</v>
      </c>
      <c r="B417" s="4">
        <v>43683</v>
      </c>
      <c r="C417" s="2" t="s">
        <v>2830</v>
      </c>
      <c r="D417" t="s">
        <v>6174</v>
      </c>
      <c r="E417" s="2">
        <v>3</v>
      </c>
      <c r="F417" s="2" t="str">
        <f>_xlfn.XLOOKUP(C417,customers!$A$1:$A$1001,customers!$B$1:$B$1001,0)</f>
        <v>Gregg Hawkyens</v>
      </c>
      <c r="G417" s="2" t="s">
        <v>2832</v>
      </c>
      <c r="H417" s="2" t="str">
        <f>_xlfn.XLOOKUP(C417,customers!$A$1:$A$1001,customers!$G$1:$G$1001,0)</f>
        <v>United States</v>
      </c>
      <c r="I417" t="str">
        <f>_xlfn.XLOOKUP(D417,products!$A$1:$A$49,products!$B$1:$B$49,0)</f>
        <v>Rob</v>
      </c>
      <c r="J417" t="str">
        <f>_xlfn.XLOOKUP('data cleaned'!D417,products!$A$1:$A$49,products!$C$1:$C$49,0)</f>
        <v>M</v>
      </c>
      <c r="K417" s="5">
        <f>_xlfn.XLOOKUP('data cleaned'!D417,products!$A$1:$A$49,products!$D$1:$D$49,0)</f>
        <v>0.2</v>
      </c>
      <c r="L417" s="6">
        <f>_xlfn.XLOOKUP('data cleaned'!D417,products!$A$1:$A$49,products!$E$1:$E$49,0)</f>
        <v>2.9849999999999999</v>
      </c>
      <c r="M417" s="6">
        <f>'data cleaned'!E417*'data cleaned'!L417</f>
        <v>8.9550000000000001</v>
      </c>
      <c r="N417" t="str">
        <f t="shared" si="12"/>
        <v>Robusta</v>
      </c>
      <c r="O417" t="str">
        <f t="shared" si="13"/>
        <v>Medium</v>
      </c>
      <c r="P417" t="str">
        <f>_xlfn.XLOOKUP(worksheet[[#This Row],[Customer ID]],customers!$A$1:$A$1001,customers!$I$1:$I$1001,0)</f>
        <v>No</v>
      </c>
    </row>
    <row r="418" spans="1:16" x14ac:dyDescent="0.25">
      <c r="A418" s="2" t="s">
        <v>2834</v>
      </c>
      <c r="B418" s="4">
        <v>43901</v>
      </c>
      <c r="C418" s="2" t="s">
        <v>2835</v>
      </c>
      <c r="D418" t="s">
        <v>6180</v>
      </c>
      <c r="E418" s="2">
        <v>3</v>
      </c>
      <c r="F418" s="2" t="str">
        <f>_xlfn.XLOOKUP(C418,customers!$A$1:$A$1001,customers!$B$1:$B$1001,0)</f>
        <v>Reggis Pracy</v>
      </c>
      <c r="G418" s="2" t="s">
        <v>6222</v>
      </c>
      <c r="H418" s="2" t="str">
        <f>_xlfn.XLOOKUP(C418,customers!$A$1:$A$1001,customers!$G$1:$G$1001,0)</f>
        <v>United States</v>
      </c>
      <c r="I418" t="str">
        <f>_xlfn.XLOOKUP(D418,products!$A$1:$A$49,products!$B$1:$B$49,0)</f>
        <v>Ara</v>
      </c>
      <c r="J418" t="str">
        <f>_xlfn.XLOOKUP('data cleaned'!D418,products!$A$1:$A$49,products!$C$1:$C$49,0)</f>
        <v>L</v>
      </c>
      <c r="K418" s="5">
        <f>_xlfn.XLOOKUP('data cleaned'!D418,products!$A$1:$A$49,products!$D$1:$D$49,0)</f>
        <v>0.5</v>
      </c>
      <c r="L418" s="6">
        <f>_xlfn.XLOOKUP('data cleaned'!D418,products!$A$1:$A$49,products!$E$1:$E$49,0)</f>
        <v>7.77</v>
      </c>
      <c r="M418" s="6">
        <f>'data cleaned'!E418*'data cleaned'!L418</f>
        <v>23.31</v>
      </c>
      <c r="N418" t="str">
        <f t="shared" si="12"/>
        <v>Arabica</v>
      </c>
      <c r="O418" t="str">
        <f t="shared" si="13"/>
        <v>Light</v>
      </c>
      <c r="P418" t="str">
        <f>_xlfn.XLOOKUP(worksheet[[#This Row],[Customer ID]],customers!$A$1:$A$1001,customers!$I$1:$I$1001,0)</f>
        <v>Yes</v>
      </c>
    </row>
    <row r="419" spans="1:16" x14ac:dyDescent="0.25">
      <c r="A419" s="2" t="s">
        <v>2839</v>
      </c>
      <c r="B419" s="4">
        <v>44457</v>
      </c>
      <c r="C419" s="2" t="s">
        <v>2840</v>
      </c>
      <c r="D419" t="s">
        <v>6182</v>
      </c>
      <c r="E419" s="2">
        <v>1</v>
      </c>
      <c r="F419" s="2" t="str">
        <f>_xlfn.XLOOKUP(C419,customers!$A$1:$A$1001,customers!$B$1:$B$1001,0)</f>
        <v>Paula Denis</v>
      </c>
      <c r="G419" s="2" t="s">
        <v>6222</v>
      </c>
      <c r="H419" s="2" t="str">
        <f>_xlfn.XLOOKUP(C419,customers!$A$1:$A$1001,customers!$G$1:$G$1001,0)</f>
        <v>United States</v>
      </c>
      <c r="I419" t="str">
        <f>_xlfn.XLOOKUP(D419,products!$A$1:$A$49,products!$B$1:$B$49,0)</f>
        <v>Ara</v>
      </c>
      <c r="J419" t="str">
        <f>_xlfn.XLOOKUP('data cleaned'!D419,products!$A$1:$A$49,products!$C$1:$C$49,0)</f>
        <v>L</v>
      </c>
      <c r="K419" s="5">
        <f>_xlfn.XLOOKUP('data cleaned'!D419,products!$A$1:$A$49,products!$D$1:$D$49,0)</f>
        <v>2.5</v>
      </c>
      <c r="L419" s="6">
        <f>_xlfn.XLOOKUP('data cleaned'!D419,products!$A$1:$A$49,products!$E$1:$E$49,0)</f>
        <v>29.784999999999997</v>
      </c>
      <c r="M419" s="6">
        <f>'data cleaned'!E419*'data cleaned'!L419</f>
        <v>29.784999999999997</v>
      </c>
      <c r="N419" t="str">
        <f t="shared" si="12"/>
        <v>Arabica</v>
      </c>
      <c r="O419" t="str">
        <f t="shared" si="13"/>
        <v>Light</v>
      </c>
      <c r="P419" t="str">
        <f>_xlfn.XLOOKUP(worksheet[[#This Row],[Customer ID]],customers!$A$1:$A$1001,customers!$I$1:$I$1001,0)</f>
        <v>Yes</v>
      </c>
    </row>
    <row r="420" spans="1:16" x14ac:dyDescent="0.25">
      <c r="A420" s="2" t="s">
        <v>2844</v>
      </c>
      <c r="B420" s="4">
        <v>44142</v>
      </c>
      <c r="C420" s="2" t="s">
        <v>2845</v>
      </c>
      <c r="D420" t="s">
        <v>6182</v>
      </c>
      <c r="E420" s="2">
        <v>5</v>
      </c>
      <c r="F420" s="2" t="str">
        <f>_xlfn.XLOOKUP(C420,customers!$A$1:$A$1001,customers!$B$1:$B$1001,0)</f>
        <v>Broderick McGilvra</v>
      </c>
      <c r="G420" s="2" t="s">
        <v>2847</v>
      </c>
      <c r="H420" s="2" t="str">
        <f>_xlfn.XLOOKUP(C420,customers!$A$1:$A$1001,customers!$G$1:$G$1001,0)</f>
        <v>United States</v>
      </c>
      <c r="I420" t="str">
        <f>_xlfn.XLOOKUP(D420,products!$A$1:$A$49,products!$B$1:$B$49,0)</f>
        <v>Ara</v>
      </c>
      <c r="J420" t="str">
        <f>_xlfn.XLOOKUP('data cleaned'!D420,products!$A$1:$A$49,products!$C$1:$C$49,0)</f>
        <v>L</v>
      </c>
      <c r="K420" s="5">
        <f>_xlfn.XLOOKUP('data cleaned'!D420,products!$A$1:$A$49,products!$D$1:$D$49,0)</f>
        <v>2.5</v>
      </c>
      <c r="L420" s="6">
        <f>_xlfn.XLOOKUP('data cleaned'!D420,products!$A$1:$A$49,products!$E$1:$E$49,0)</f>
        <v>29.784999999999997</v>
      </c>
      <c r="M420" s="6">
        <f>'data cleaned'!E420*'data cleaned'!L420</f>
        <v>148.92499999999998</v>
      </c>
      <c r="N420" t="str">
        <f t="shared" si="12"/>
        <v>Arabica</v>
      </c>
      <c r="O420" t="str">
        <f t="shared" si="13"/>
        <v>Light</v>
      </c>
      <c r="P420" t="str">
        <f>_xlfn.XLOOKUP(worksheet[[#This Row],[Customer ID]],customers!$A$1:$A$1001,customers!$I$1:$I$1001,0)</f>
        <v>Yes</v>
      </c>
    </row>
    <row r="421" spans="1:16" x14ac:dyDescent="0.25">
      <c r="A421" s="2" t="s">
        <v>2849</v>
      </c>
      <c r="B421" s="4">
        <v>44739</v>
      </c>
      <c r="C421" s="2" t="s">
        <v>2850</v>
      </c>
      <c r="D421" t="s">
        <v>6160</v>
      </c>
      <c r="E421" s="2">
        <v>1</v>
      </c>
      <c r="F421" s="2" t="str">
        <f>_xlfn.XLOOKUP(C421,customers!$A$1:$A$1001,customers!$B$1:$B$1001,0)</f>
        <v>Annabella Danzey</v>
      </c>
      <c r="G421" s="2" t="s">
        <v>2852</v>
      </c>
      <c r="H421" s="2" t="str">
        <f>_xlfn.XLOOKUP(C421,customers!$A$1:$A$1001,customers!$G$1:$G$1001,0)</f>
        <v>United States</v>
      </c>
      <c r="I421" t="str">
        <f>_xlfn.XLOOKUP(D421,products!$A$1:$A$49,products!$B$1:$B$49,0)</f>
        <v>Lib</v>
      </c>
      <c r="J421" t="str">
        <f>_xlfn.XLOOKUP('data cleaned'!D421,products!$A$1:$A$49,products!$C$1:$C$49,0)</f>
        <v>M</v>
      </c>
      <c r="K421" s="5">
        <f>_xlfn.XLOOKUP('data cleaned'!D421,products!$A$1:$A$49,products!$D$1:$D$49,0)</f>
        <v>0.5</v>
      </c>
      <c r="L421" s="6">
        <f>_xlfn.XLOOKUP('data cleaned'!D421,products!$A$1:$A$49,products!$E$1:$E$49,0)</f>
        <v>8.73</v>
      </c>
      <c r="M421" s="6">
        <f>'data cleaned'!E421*'data cleaned'!L421</f>
        <v>8.73</v>
      </c>
      <c r="N421" t="str">
        <f t="shared" si="12"/>
        <v>Liberica</v>
      </c>
      <c r="O421" t="str">
        <f t="shared" si="13"/>
        <v>Medium</v>
      </c>
      <c r="P421" t="str">
        <f>_xlfn.XLOOKUP(worksheet[[#This Row],[Customer ID]],customers!$A$1:$A$1001,customers!$I$1:$I$1001,0)</f>
        <v>Yes</v>
      </c>
    </row>
    <row r="422" spans="1:16" x14ac:dyDescent="0.25">
      <c r="A422" s="2" t="s">
        <v>2855</v>
      </c>
      <c r="B422" s="4">
        <v>43866</v>
      </c>
      <c r="C422" s="2" t="s">
        <v>2586</v>
      </c>
      <c r="D422" t="s">
        <v>6169</v>
      </c>
      <c r="E422" s="2">
        <v>4</v>
      </c>
      <c r="F422" s="2" t="str">
        <f>_xlfn.XLOOKUP(C422,customers!$A$1:$A$1001,customers!$B$1:$B$1001,0)</f>
        <v>Terri Farra</v>
      </c>
      <c r="G422" s="2" t="s">
        <v>2588</v>
      </c>
      <c r="H422" s="2" t="str">
        <f>_xlfn.XLOOKUP(C422,customers!$A$1:$A$1001,customers!$G$1:$G$1001,0)</f>
        <v>United States</v>
      </c>
      <c r="I422" t="str">
        <f>_xlfn.XLOOKUP(D422,products!$A$1:$A$49,products!$B$1:$B$49,0)</f>
        <v>Lib</v>
      </c>
      <c r="J422" t="str">
        <f>_xlfn.XLOOKUP('data cleaned'!D422,products!$A$1:$A$49,products!$C$1:$C$49,0)</f>
        <v>D</v>
      </c>
      <c r="K422" s="5">
        <f>_xlfn.XLOOKUP('data cleaned'!D422,products!$A$1:$A$49,products!$D$1:$D$49,0)</f>
        <v>0.5</v>
      </c>
      <c r="L422" s="6">
        <f>_xlfn.XLOOKUP('data cleaned'!D422,products!$A$1:$A$49,products!$E$1:$E$49,0)</f>
        <v>7.77</v>
      </c>
      <c r="M422" s="6">
        <f>'data cleaned'!E422*'data cleaned'!L422</f>
        <v>31.08</v>
      </c>
      <c r="N422" t="str">
        <f t="shared" si="12"/>
        <v>Liberica</v>
      </c>
      <c r="O422" t="str">
        <f t="shared" si="13"/>
        <v>Dark</v>
      </c>
      <c r="P422" t="str">
        <f>_xlfn.XLOOKUP(worksheet[[#This Row],[Customer ID]],customers!$A$1:$A$1001,customers!$I$1:$I$1001,0)</f>
        <v>No</v>
      </c>
    </row>
    <row r="423" spans="1:16" x14ac:dyDescent="0.25">
      <c r="A423" s="2" t="s">
        <v>2855</v>
      </c>
      <c r="B423" s="4">
        <v>43866</v>
      </c>
      <c r="C423" s="2" t="s">
        <v>2586</v>
      </c>
      <c r="D423" t="s">
        <v>6168</v>
      </c>
      <c r="E423" s="2">
        <v>6</v>
      </c>
      <c r="F423" s="2" t="str">
        <f>_xlfn.XLOOKUP(C423,customers!$A$1:$A$1001,customers!$B$1:$B$1001,0)</f>
        <v>Terri Farra</v>
      </c>
      <c r="G423" s="2" t="s">
        <v>2588</v>
      </c>
      <c r="H423" s="2" t="str">
        <f>_xlfn.XLOOKUP(C423,customers!$A$1:$A$1001,customers!$G$1:$G$1001,0)</f>
        <v>United States</v>
      </c>
      <c r="I423" t="str">
        <f>_xlfn.XLOOKUP(D423,products!$A$1:$A$49,products!$B$1:$B$49,0)</f>
        <v>Ara</v>
      </c>
      <c r="J423" t="str">
        <f>_xlfn.XLOOKUP('data cleaned'!D423,products!$A$1:$A$49,products!$C$1:$C$49,0)</f>
        <v>D</v>
      </c>
      <c r="K423" s="5">
        <f>_xlfn.XLOOKUP('data cleaned'!D423,products!$A$1:$A$49,products!$D$1:$D$49,0)</f>
        <v>2.5</v>
      </c>
      <c r="L423" s="6">
        <f>_xlfn.XLOOKUP('data cleaned'!D423,products!$A$1:$A$49,products!$E$1:$E$49,0)</f>
        <v>22.884999999999998</v>
      </c>
      <c r="M423" s="6">
        <f>'data cleaned'!E423*'data cleaned'!L423</f>
        <v>137.31</v>
      </c>
      <c r="N423" t="str">
        <f t="shared" si="12"/>
        <v>Arabica</v>
      </c>
      <c r="O423" t="str">
        <f t="shared" si="13"/>
        <v>Dark</v>
      </c>
      <c r="P423" t="str">
        <f>_xlfn.XLOOKUP(worksheet[[#This Row],[Customer ID]],customers!$A$1:$A$1001,customers!$I$1:$I$1001,0)</f>
        <v>No</v>
      </c>
    </row>
    <row r="424" spans="1:16" x14ac:dyDescent="0.25">
      <c r="A424" s="2" t="s">
        <v>2866</v>
      </c>
      <c r="B424" s="4">
        <v>43868</v>
      </c>
      <c r="C424" s="2" t="s">
        <v>2867</v>
      </c>
      <c r="D424" t="s">
        <v>6158</v>
      </c>
      <c r="E424" s="2">
        <v>5</v>
      </c>
      <c r="F424" s="2" t="str">
        <f>_xlfn.XLOOKUP(C424,customers!$A$1:$A$1001,customers!$B$1:$B$1001,0)</f>
        <v>Nevins Glowacz</v>
      </c>
      <c r="G424" s="2" t="s">
        <v>6222</v>
      </c>
      <c r="H424" s="2" t="str">
        <f>_xlfn.XLOOKUP(C424,customers!$A$1:$A$1001,customers!$G$1:$G$1001,0)</f>
        <v>United States</v>
      </c>
      <c r="I424" t="str">
        <f>_xlfn.XLOOKUP(D424,products!$A$1:$A$49,products!$B$1:$B$49,0)</f>
        <v>Ara</v>
      </c>
      <c r="J424" t="str">
        <f>_xlfn.XLOOKUP('data cleaned'!D424,products!$A$1:$A$49,products!$C$1:$C$49,0)</f>
        <v>D</v>
      </c>
      <c r="K424" s="5">
        <f>_xlfn.XLOOKUP('data cleaned'!D424,products!$A$1:$A$49,products!$D$1:$D$49,0)</f>
        <v>0.5</v>
      </c>
      <c r="L424" s="6">
        <f>_xlfn.XLOOKUP('data cleaned'!D424,products!$A$1:$A$49,products!$E$1:$E$49,0)</f>
        <v>5.97</v>
      </c>
      <c r="M424" s="6">
        <f>'data cleaned'!E424*'data cleaned'!L424</f>
        <v>29.849999999999998</v>
      </c>
      <c r="N424" t="str">
        <f t="shared" si="12"/>
        <v>Arabica</v>
      </c>
      <c r="O424" t="str">
        <f t="shared" si="13"/>
        <v>Dark</v>
      </c>
      <c r="P424" t="str">
        <f>_xlfn.XLOOKUP(worksheet[[#This Row],[Customer ID]],customers!$A$1:$A$1001,customers!$I$1:$I$1001,0)</f>
        <v>No</v>
      </c>
    </row>
    <row r="425" spans="1:16" x14ac:dyDescent="0.25">
      <c r="A425" s="2" t="s">
        <v>2871</v>
      </c>
      <c r="B425" s="4">
        <v>44183</v>
      </c>
      <c r="C425" s="2" t="s">
        <v>2872</v>
      </c>
      <c r="D425" t="s">
        <v>6146</v>
      </c>
      <c r="E425" s="2">
        <v>3</v>
      </c>
      <c r="F425" s="2" t="str">
        <f>_xlfn.XLOOKUP(C425,customers!$A$1:$A$1001,customers!$B$1:$B$1001,0)</f>
        <v>Adelice Isabell</v>
      </c>
      <c r="G425" s="2" t="s">
        <v>6222</v>
      </c>
      <c r="H425" s="2" t="str">
        <f>_xlfn.XLOOKUP(C425,customers!$A$1:$A$1001,customers!$G$1:$G$1001,0)</f>
        <v>United States</v>
      </c>
      <c r="I425" t="str">
        <f>_xlfn.XLOOKUP(D425,products!$A$1:$A$49,products!$B$1:$B$49,0)</f>
        <v>Rob</v>
      </c>
      <c r="J425" t="str">
        <f>_xlfn.XLOOKUP('data cleaned'!D425,products!$A$1:$A$49,products!$C$1:$C$49,0)</f>
        <v>M</v>
      </c>
      <c r="K425" s="5">
        <f>_xlfn.XLOOKUP('data cleaned'!D425,products!$A$1:$A$49,products!$D$1:$D$49,0)</f>
        <v>0.5</v>
      </c>
      <c r="L425" s="6">
        <f>_xlfn.XLOOKUP('data cleaned'!D425,products!$A$1:$A$49,products!$E$1:$E$49,0)</f>
        <v>5.97</v>
      </c>
      <c r="M425" s="6">
        <f>'data cleaned'!E425*'data cleaned'!L425</f>
        <v>17.91</v>
      </c>
      <c r="N425" t="str">
        <f t="shared" si="12"/>
        <v>Robusta</v>
      </c>
      <c r="O425" t="str">
        <f t="shared" si="13"/>
        <v>Medium</v>
      </c>
      <c r="P425" t="str">
        <f>_xlfn.XLOOKUP(worksheet[[#This Row],[Customer ID]],customers!$A$1:$A$1001,customers!$I$1:$I$1001,0)</f>
        <v>No</v>
      </c>
    </row>
    <row r="426" spans="1:16" x14ac:dyDescent="0.25">
      <c r="A426" s="2" t="s">
        <v>2876</v>
      </c>
      <c r="B426" s="4">
        <v>44431</v>
      </c>
      <c r="C426" s="2" t="s">
        <v>2877</v>
      </c>
      <c r="D426" t="s">
        <v>6176</v>
      </c>
      <c r="E426" s="2">
        <v>3</v>
      </c>
      <c r="F426" s="2" t="str">
        <f>_xlfn.XLOOKUP(C426,customers!$A$1:$A$1001,customers!$B$1:$B$1001,0)</f>
        <v>Yulma Dombrell</v>
      </c>
      <c r="G426" s="2" t="s">
        <v>2879</v>
      </c>
      <c r="H426" s="2" t="str">
        <f>_xlfn.XLOOKUP(C426,customers!$A$1:$A$1001,customers!$G$1:$G$1001,0)</f>
        <v>United States</v>
      </c>
      <c r="I426" t="str">
        <f>_xlfn.XLOOKUP(D426,products!$A$1:$A$49,products!$B$1:$B$49,0)</f>
        <v>Exc</v>
      </c>
      <c r="J426" t="str">
        <f>_xlfn.XLOOKUP('data cleaned'!D426,products!$A$1:$A$49,products!$C$1:$C$49,0)</f>
        <v>L</v>
      </c>
      <c r="K426" s="5">
        <f>_xlfn.XLOOKUP('data cleaned'!D426,products!$A$1:$A$49,products!$D$1:$D$49,0)</f>
        <v>0.5</v>
      </c>
      <c r="L426" s="6">
        <f>_xlfn.XLOOKUP('data cleaned'!D426,products!$A$1:$A$49,products!$E$1:$E$49,0)</f>
        <v>8.91</v>
      </c>
      <c r="M426" s="6">
        <f>'data cleaned'!E426*'data cleaned'!L426</f>
        <v>26.73</v>
      </c>
      <c r="N426" t="str">
        <f t="shared" si="12"/>
        <v>Excelsa</v>
      </c>
      <c r="O426" t="str">
        <f t="shared" si="13"/>
        <v>Light</v>
      </c>
      <c r="P426" t="str">
        <f>_xlfn.XLOOKUP(worksheet[[#This Row],[Customer ID]],customers!$A$1:$A$1001,customers!$I$1:$I$1001,0)</f>
        <v>Yes</v>
      </c>
    </row>
    <row r="427" spans="1:16" x14ac:dyDescent="0.25">
      <c r="A427" s="2" t="s">
        <v>2882</v>
      </c>
      <c r="B427" s="4">
        <v>44428</v>
      </c>
      <c r="C427" s="2" t="s">
        <v>2883</v>
      </c>
      <c r="D427" t="s">
        <v>6177</v>
      </c>
      <c r="E427" s="2">
        <v>2</v>
      </c>
      <c r="F427" s="2" t="str">
        <f>_xlfn.XLOOKUP(C427,customers!$A$1:$A$1001,customers!$B$1:$B$1001,0)</f>
        <v>Alric Darth</v>
      </c>
      <c r="G427" s="2" t="s">
        <v>2885</v>
      </c>
      <c r="H427" s="2" t="str">
        <f>_xlfn.XLOOKUP(C427,customers!$A$1:$A$1001,customers!$G$1:$G$1001,0)</f>
        <v>United States</v>
      </c>
      <c r="I427" t="str">
        <f>_xlfn.XLOOKUP(D427,products!$A$1:$A$49,products!$B$1:$B$49,0)</f>
        <v>Rob</v>
      </c>
      <c r="J427" t="str">
        <f>_xlfn.XLOOKUP('data cleaned'!D427,products!$A$1:$A$49,products!$C$1:$C$49,0)</f>
        <v>D</v>
      </c>
      <c r="K427" s="5">
        <f>_xlfn.XLOOKUP('data cleaned'!D427,products!$A$1:$A$49,products!$D$1:$D$49,0)</f>
        <v>1</v>
      </c>
      <c r="L427" s="6">
        <f>_xlfn.XLOOKUP('data cleaned'!D427,products!$A$1:$A$49,products!$E$1:$E$49,0)</f>
        <v>8.9499999999999993</v>
      </c>
      <c r="M427" s="6">
        <f>'data cleaned'!E427*'data cleaned'!L427</f>
        <v>17.899999999999999</v>
      </c>
      <c r="N427" t="str">
        <f t="shared" si="12"/>
        <v>Robusta</v>
      </c>
      <c r="O427" t="str">
        <f t="shared" si="13"/>
        <v>Dark</v>
      </c>
      <c r="P427" t="str">
        <f>_xlfn.XLOOKUP(worksheet[[#This Row],[Customer ID]],customers!$A$1:$A$1001,customers!$I$1:$I$1001,0)</f>
        <v>No</v>
      </c>
    </row>
    <row r="428" spans="1:16" x14ac:dyDescent="0.25">
      <c r="A428" s="2" t="s">
        <v>2888</v>
      </c>
      <c r="B428" s="4">
        <v>43556</v>
      </c>
      <c r="C428" s="2" t="s">
        <v>2889</v>
      </c>
      <c r="D428" t="s">
        <v>6178</v>
      </c>
      <c r="E428" s="2">
        <v>4</v>
      </c>
      <c r="F428" s="2" t="str">
        <f>_xlfn.XLOOKUP(C428,customers!$A$1:$A$1001,customers!$B$1:$B$1001,0)</f>
        <v>Manuel Darrigoe</v>
      </c>
      <c r="G428" s="2" t="s">
        <v>2891</v>
      </c>
      <c r="H428" s="2" t="str">
        <f>_xlfn.XLOOKUP(C428,customers!$A$1:$A$1001,customers!$G$1:$G$1001,0)</f>
        <v>Ireland</v>
      </c>
      <c r="I428" t="str">
        <f>_xlfn.XLOOKUP(D428,products!$A$1:$A$49,products!$B$1:$B$49,0)</f>
        <v>Rob</v>
      </c>
      <c r="J428" t="str">
        <f>_xlfn.XLOOKUP('data cleaned'!D428,products!$A$1:$A$49,products!$C$1:$C$49,0)</f>
        <v>L</v>
      </c>
      <c r="K428" s="5">
        <f>_xlfn.XLOOKUP('data cleaned'!D428,products!$A$1:$A$49,products!$D$1:$D$49,0)</f>
        <v>0.2</v>
      </c>
      <c r="L428" s="6">
        <f>_xlfn.XLOOKUP('data cleaned'!D428,products!$A$1:$A$49,products!$E$1:$E$49,0)</f>
        <v>3.5849999999999995</v>
      </c>
      <c r="M428" s="6">
        <f>'data cleaned'!E428*'data cleaned'!L428</f>
        <v>14.339999999999998</v>
      </c>
      <c r="N428" t="str">
        <f t="shared" si="12"/>
        <v>Robusta</v>
      </c>
      <c r="O428" t="str">
        <f t="shared" si="13"/>
        <v>Light</v>
      </c>
      <c r="P428" t="str">
        <f>_xlfn.XLOOKUP(worksheet[[#This Row],[Customer ID]],customers!$A$1:$A$1001,customers!$I$1:$I$1001,0)</f>
        <v>Yes</v>
      </c>
    </row>
    <row r="429" spans="1:16" x14ac:dyDescent="0.25">
      <c r="A429" s="2" t="s">
        <v>2894</v>
      </c>
      <c r="B429" s="4">
        <v>44224</v>
      </c>
      <c r="C429" s="2" t="s">
        <v>2895</v>
      </c>
      <c r="D429" t="s">
        <v>6175</v>
      </c>
      <c r="E429" s="2">
        <v>3</v>
      </c>
      <c r="F429" s="2" t="str">
        <f>_xlfn.XLOOKUP(C429,customers!$A$1:$A$1001,customers!$B$1:$B$1001,0)</f>
        <v>Kynthia Berick</v>
      </c>
      <c r="G429" s="2" t="s">
        <v>6222</v>
      </c>
      <c r="H429" s="2" t="str">
        <f>_xlfn.XLOOKUP(C429,customers!$A$1:$A$1001,customers!$G$1:$G$1001,0)</f>
        <v>United States</v>
      </c>
      <c r="I429" t="str">
        <f>_xlfn.XLOOKUP(D429,products!$A$1:$A$49,products!$B$1:$B$49,0)</f>
        <v>Ara</v>
      </c>
      <c r="J429" t="str">
        <f>_xlfn.XLOOKUP('data cleaned'!D429,products!$A$1:$A$49,products!$C$1:$C$49,0)</f>
        <v>M</v>
      </c>
      <c r="K429" s="5">
        <f>_xlfn.XLOOKUP('data cleaned'!D429,products!$A$1:$A$49,products!$D$1:$D$49,0)</f>
        <v>2.5</v>
      </c>
      <c r="L429" s="6">
        <f>_xlfn.XLOOKUP('data cleaned'!D429,products!$A$1:$A$49,products!$E$1:$E$49,0)</f>
        <v>25.874999999999996</v>
      </c>
      <c r="M429" s="6">
        <f>'data cleaned'!E429*'data cleaned'!L429</f>
        <v>77.624999999999986</v>
      </c>
      <c r="N429" t="str">
        <f t="shared" si="12"/>
        <v>Arabica</v>
      </c>
      <c r="O429" t="str">
        <f t="shared" si="13"/>
        <v>Medium</v>
      </c>
      <c r="P429" t="str">
        <f>_xlfn.XLOOKUP(worksheet[[#This Row],[Customer ID]],customers!$A$1:$A$1001,customers!$I$1:$I$1001,0)</f>
        <v>Yes</v>
      </c>
    </row>
    <row r="430" spans="1:16" x14ac:dyDescent="0.25">
      <c r="A430" s="2" t="s">
        <v>2899</v>
      </c>
      <c r="B430" s="4">
        <v>43759</v>
      </c>
      <c r="C430" s="2" t="s">
        <v>2900</v>
      </c>
      <c r="D430" t="s">
        <v>6179</v>
      </c>
      <c r="E430" s="2">
        <v>5</v>
      </c>
      <c r="F430" s="2" t="str">
        <f>_xlfn.XLOOKUP(C430,customers!$A$1:$A$1001,customers!$B$1:$B$1001,0)</f>
        <v>Minetta Ackrill</v>
      </c>
      <c r="G430" s="2" t="s">
        <v>2902</v>
      </c>
      <c r="H430" s="2" t="str">
        <f>_xlfn.XLOOKUP(C430,customers!$A$1:$A$1001,customers!$G$1:$G$1001,0)</f>
        <v>United States</v>
      </c>
      <c r="I430" t="str">
        <f>_xlfn.XLOOKUP(D430,products!$A$1:$A$49,products!$B$1:$B$49,0)</f>
        <v>Rob</v>
      </c>
      <c r="J430" t="str">
        <f>_xlfn.XLOOKUP('data cleaned'!D430,products!$A$1:$A$49,products!$C$1:$C$49,0)</f>
        <v>L</v>
      </c>
      <c r="K430" s="5">
        <f>_xlfn.XLOOKUP('data cleaned'!D430,products!$A$1:$A$49,products!$D$1:$D$49,0)</f>
        <v>1</v>
      </c>
      <c r="L430" s="6">
        <f>_xlfn.XLOOKUP('data cleaned'!D430,products!$A$1:$A$49,products!$E$1:$E$49,0)</f>
        <v>11.95</v>
      </c>
      <c r="M430" s="6">
        <f>'data cleaned'!E430*'data cleaned'!L430</f>
        <v>59.75</v>
      </c>
      <c r="N430" t="str">
        <f t="shared" si="12"/>
        <v>Robusta</v>
      </c>
      <c r="O430" t="str">
        <f t="shared" si="13"/>
        <v>Light</v>
      </c>
      <c r="P430" t="str">
        <f>_xlfn.XLOOKUP(worksheet[[#This Row],[Customer ID]],customers!$A$1:$A$1001,customers!$I$1:$I$1001,0)</f>
        <v>No</v>
      </c>
    </row>
    <row r="431" spans="1:16" x14ac:dyDescent="0.25">
      <c r="A431" s="2" t="s">
        <v>2905</v>
      </c>
      <c r="B431" s="4">
        <v>44367</v>
      </c>
      <c r="C431" s="2" t="s">
        <v>2586</v>
      </c>
      <c r="D431" t="s">
        <v>6140</v>
      </c>
      <c r="E431" s="2">
        <v>6</v>
      </c>
      <c r="F431" s="2" t="str">
        <f>_xlfn.XLOOKUP(C431,customers!$A$1:$A$1001,customers!$B$1:$B$1001,0)</f>
        <v>Terri Farra</v>
      </c>
      <c r="G431" s="2" t="s">
        <v>2588</v>
      </c>
      <c r="H431" s="2" t="str">
        <f>_xlfn.XLOOKUP(C431,customers!$A$1:$A$1001,customers!$G$1:$G$1001,0)</f>
        <v>United States</v>
      </c>
      <c r="I431" t="str">
        <f>_xlfn.XLOOKUP(D431,products!$A$1:$A$49,products!$B$1:$B$49,0)</f>
        <v>Ara</v>
      </c>
      <c r="J431" t="str">
        <f>_xlfn.XLOOKUP('data cleaned'!D431,products!$A$1:$A$49,products!$C$1:$C$49,0)</f>
        <v>L</v>
      </c>
      <c r="K431" s="5">
        <f>_xlfn.XLOOKUP('data cleaned'!D431,products!$A$1:$A$49,products!$D$1:$D$49,0)</f>
        <v>1</v>
      </c>
      <c r="L431" s="6">
        <f>_xlfn.XLOOKUP('data cleaned'!D431,products!$A$1:$A$49,products!$E$1:$E$49,0)</f>
        <v>12.95</v>
      </c>
      <c r="M431" s="6">
        <f>'data cleaned'!E431*'data cleaned'!L431</f>
        <v>77.699999999999989</v>
      </c>
      <c r="N431" t="str">
        <f t="shared" si="12"/>
        <v>Arabica</v>
      </c>
      <c r="O431" t="str">
        <f t="shared" si="13"/>
        <v>Light</v>
      </c>
      <c r="P431" t="str">
        <f>_xlfn.XLOOKUP(worksheet[[#This Row],[Customer ID]],customers!$A$1:$A$1001,customers!$I$1:$I$1001,0)</f>
        <v>No</v>
      </c>
    </row>
    <row r="432" spans="1:16" x14ac:dyDescent="0.25">
      <c r="A432" s="2" t="s">
        <v>2911</v>
      </c>
      <c r="B432" s="4">
        <v>44504</v>
      </c>
      <c r="C432" s="2" t="s">
        <v>2912</v>
      </c>
      <c r="D432" t="s">
        <v>6163</v>
      </c>
      <c r="E432" s="2">
        <v>2</v>
      </c>
      <c r="F432" s="2" t="str">
        <f>_xlfn.XLOOKUP(C432,customers!$A$1:$A$1001,customers!$B$1:$B$1001,0)</f>
        <v>Melosa Kippen</v>
      </c>
      <c r="G432" s="2" t="s">
        <v>2914</v>
      </c>
      <c r="H432" s="2" t="str">
        <f>_xlfn.XLOOKUP(C432,customers!$A$1:$A$1001,customers!$G$1:$G$1001,0)</f>
        <v>United States</v>
      </c>
      <c r="I432" t="str">
        <f>_xlfn.XLOOKUP(D432,products!$A$1:$A$49,products!$B$1:$B$49,0)</f>
        <v>Rob</v>
      </c>
      <c r="J432" t="str">
        <f>_xlfn.XLOOKUP('data cleaned'!D432,products!$A$1:$A$49,products!$C$1:$C$49,0)</f>
        <v>D</v>
      </c>
      <c r="K432" s="5">
        <f>_xlfn.XLOOKUP('data cleaned'!D432,products!$A$1:$A$49,products!$D$1:$D$49,0)</f>
        <v>0.2</v>
      </c>
      <c r="L432" s="6">
        <f>_xlfn.XLOOKUP('data cleaned'!D432,products!$A$1:$A$49,products!$E$1:$E$49,0)</f>
        <v>2.6849999999999996</v>
      </c>
      <c r="M432" s="6">
        <f>'data cleaned'!E432*'data cleaned'!L432</f>
        <v>5.3699999999999992</v>
      </c>
      <c r="N432" t="str">
        <f t="shared" si="12"/>
        <v>Robusta</v>
      </c>
      <c r="O432" t="str">
        <f t="shared" si="13"/>
        <v>Dark</v>
      </c>
      <c r="P432" t="str">
        <f>_xlfn.XLOOKUP(worksheet[[#This Row],[Customer ID]],customers!$A$1:$A$1001,customers!$I$1:$I$1001,0)</f>
        <v>Yes</v>
      </c>
    </row>
    <row r="433" spans="1:16" x14ac:dyDescent="0.25">
      <c r="A433" s="2" t="s">
        <v>2917</v>
      </c>
      <c r="B433" s="4">
        <v>44291</v>
      </c>
      <c r="C433" s="2" t="s">
        <v>2918</v>
      </c>
      <c r="D433" t="s">
        <v>6185</v>
      </c>
      <c r="E433" s="2">
        <v>3</v>
      </c>
      <c r="F433" s="2" t="str">
        <f>_xlfn.XLOOKUP(C433,customers!$A$1:$A$1001,customers!$B$1:$B$1001,0)</f>
        <v>Witty Ranson</v>
      </c>
      <c r="G433" s="2" t="s">
        <v>2920</v>
      </c>
      <c r="H433" s="2" t="str">
        <f>_xlfn.XLOOKUP(C433,customers!$A$1:$A$1001,customers!$G$1:$G$1001,0)</f>
        <v>Ireland</v>
      </c>
      <c r="I433" t="str">
        <f>_xlfn.XLOOKUP(D433,products!$A$1:$A$49,products!$B$1:$B$49,0)</f>
        <v>Exc</v>
      </c>
      <c r="J433" t="str">
        <f>_xlfn.XLOOKUP('data cleaned'!D433,products!$A$1:$A$49,products!$C$1:$C$49,0)</f>
        <v>D</v>
      </c>
      <c r="K433" s="5">
        <f>_xlfn.XLOOKUP('data cleaned'!D433,products!$A$1:$A$49,products!$D$1:$D$49,0)</f>
        <v>2.5</v>
      </c>
      <c r="L433" s="6">
        <f>_xlfn.XLOOKUP('data cleaned'!D433,products!$A$1:$A$49,products!$E$1:$E$49,0)</f>
        <v>27.945</v>
      </c>
      <c r="M433" s="6">
        <f>'data cleaned'!E433*'data cleaned'!L433</f>
        <v>83.835000000000008</v>
      </c>
      <c r="N433" t="str">
        <f t="shared" si="12"/>
        <v>Excelsa</v>
      </c>
      <c r="O433" t="str">
        <f t="shared" si="13"/>
        <v>Dark</v>
      </c>
      <c r="P433" t="str">
        <f>_xlfn.XLOOKUP(worksheet[[#This Row],[Customer ID]],customers!$A$1:$A$1001,customers!$I$1:$I$1001,0)</f>
        <v>Yes</v>
      </c>
    </row>
    <row r="434" spans="1:16" x14ac:dyDescent="0.25">
      <c r="A434" s="2" t="s">
        <v>2923</v>
      </c>
      <c r="B434" s="4">
        <v>43808</v>
      </c>
      <c r="C434" s="2" t="s">
        <v>2924</v>
      </c>
      <c r="D434" t="s">
        <v>6155</v>
      </c>
      <c r="E434" s="2">
        <v>2</v>
      </c>
      <c r="F434" s="2" t="str">
        <f>_xlfn.XLOOKUP(C434,customers!$A$1:$A$1001,customers!$B$1:$B$1001,0)</f>
        <v>Rod Gowdie</v>
      </c>
      <c r="G434" s="2" t="s">
        <v>6222</v>
      </c>
      <c r="H434" s="2" t="str">
        <f>_xlfn.XLOOKUP(C434,customers!$A$1:$A$1001,customers!$G$1:$G$1001,0)</f>
        <v>United States</v>
      </c>
      <c r="I434" t="str">
        <f>_xlfn.XLOOKUP(D434,products!$A$1:$A$49,products!$B$1:$B$49,0)</f>
        <v>Ara</v>
      </c>
      <c r="J434" t="str">
        <f>_xlfn.XLOOKUP('data cleaned'!D434,products!$A$1:$A$49,products!$C$1:$C$49,0)</f>
        <v>M</v>
      </c>
      <c r="K434" s="5">
        <f>_xlfn.XLOOKUP('data cleaned'!D434,products!$A$1:$A$49,products!$D$1:$D$49,0)</f>
        <v>1</v>
      </c>
      <c r="L434" s="6">
        <f>_xlfn.XLOOKUP('data cleaned'!D434,products!$A$1:$A$49,products!$E$1:$E$49,0)</f>
        <v>11.25</v>
      </c>
      <c r="M434" s="6">
        <f>'data cleaned'!E434*'data cleaned'!L434</f>
        <v>22.5</v>
      </c>
      <c r="N434" t="str">
        <f t="shared" si="12"/>
        <v>Arabica</v>
      </c>
      <c r="O434" t="str">
        <f t="shared" si="13"/>
        <v>Medium</v>
      </c>
      <c r="P434" t="str">
        <f>_xlfn.XLOOKUP(worksheet[[#This Row],[Customer ID]],customers!$A$1:$A$1001,customers!$I$1:$I$1001,0)</f>
        <v>No</v>
      </c>
    </row>
    <row r="435" spans="1:16" x14ac:dyDescent="0.25">
      <c r="A435" s="2" t="s">
        <v>2928</v>
      </c>
      <c r="B435" s="4">
        <v>44563</v>
      </c>
      <c r="C435" s="2" t="s">
        <v>2929</v>
      </c>
      <c r="D435" t="s">
        <v>6181</v>
      </c>
      <c r="E435" s="2">
        <v>6</v>
      </c>
      <c r="F435" s="2" t="str">
        <f>_xlfn.XLOOKUP(C435,customers!$A$1:$A$1001,customers!$B$1:$B$1001,0)</f>
        <v>Lemuel Rignold</v>
      </c>
      <c r="G435" s="2" t="s">
        <v>2931</v>
      </c>
      <c r="H435" s="2" t="str">
        <f>_xlfn.XLOOKUP(C435,customers!$A$1:$A$1001,customers!$G$1:$G$1001,0)</f>
        <v>United States</v>
      </c>
      <c r="I435" t="str">
        <f>_xlfn.XLOOKUP(D435,products!$A$1:$A$49,products!$B$1:$B$49,0)</f>
        <v>Lib</v>
      </c>
      <c r="J435" t="str">
        <f>_xlfn.XLOOKUP('data cleaned'!D435,products!$A$1:$A$49,products!$C$1:$C$49,0)</f>
        <v>M</v>
      </c>
      <c r="K435" s="5">
        <f>_xlfn.XLOOKUP('data cleaned'!D435,products!$A$1:$A$49,products!$D$1:$D$49,0)</f>
        <v>2.5</v>
      </c>
      <c r="L435" s="6">
        <f>_xlfn.XLOOKUP('data cleaned'!D435,products!$A$1:$A$49,products!$E$1:$E$49,0)</f>
        <v>33.464999999999996</v>
      </c>
      <c r="M435" s="6">
        <f>'data cleaned'!E435*'data cleaned'!L435</f>
        <v>200.78999999999996</v>
      </c>
      <c r="N435" t="str">
        <f t="shared" si="12"/>
        <v>Liberica</v>
      </c>
      <c r="O435" t="str">
        <f t="shared" si="13"/>
        <v>Medium</v>
      </c>
      <c r="P435" t="str">
        <f>_xlfn.XLOOKUP(worksheet[[#This Row],[Customer ID]],customers!$A$1:$A$1001,customers!$I$1:$I$1001,0)</f>
        <v>Yes</v>
      </c>
    </row>
    <row r="436" spans="1:16" x14ac:dyDescent="0.25">
      <c r="A436" s="2" t="s">
        <v>2934</v>
      </c>
      <c r="B436" s="4">
        <v>43807</v>
      </c>
      <c r="C436" s="2" t="s">
        <v>2935</v>
      </c>
      <c r="D436" t="s">
        <v>6155</v>
      </c>
      <c r="E436" s="2">
        <v>6</v>
      </c>
      <c r="F436" s="2" t="str">
        <f>_xlfn.XLOOKUP(C436,customers!$A$1:$A$1001,customers!$B$1:$B$1001,0)</f>
        <v>Nevsa Fields</v>
      </c>
      <c r="G436" s="2" t="s">
        <v>6222</v>
      </c>
      <c r="H436" s="2" t="str">
        <f>_xlfn.XLOOKUP(C436,customers!$A$1:$A$1001,customers!$G$1:$G$1001,0)</f>
        <v>United States</v>
      </c>
      <c r="I436" t="str">
        <f>_xlfn.XLOOKUP(D436,products!$A$1:$A$49,products!$B$1:$B$49,0)</f>
        <v>Ara</v>
      </c>
      <c r="J436" t="str">
        <f>_xlfn.XLOOKUP('data cleaned'!D436,products!$A$1:$A$49,products!$C$1:$C$49,0)</f>
        <v>M</v>
      </c>
      <c r="K436" s="5">
        <f>_xlfn.XLOOKUP('data cleaned'!D436,products!$A$1:$A$49,products!$D$1:$D$49,0)</f>
        <v>1</v>
      </c>
      <c r="L436" s="6">
        <f>_xlfn.XLOOKUP('data cleaned'!D436,products!$A$1:$A$49,products!$E$1:$E$49,0)</f>
        <v>11.25</v>
      </c>
      <c r="M436" s="6">
        <f>'data cleaned'!E436*'data cleaned'!L436</f>
        <v>67.5</v>
      </c>
      <c r="N436" t="str">
        <f t="shared" si="12"/>
        <v>Arabica</v>
      </c>
      <c r="O436" t="str">
        <f t="shared" si="13"/>
        <v>Medium</v>
      </c>
      <c r="P436" t="str">
        <f>_xlfn.XLOOKUP(worksheet[[#This Row],[Customer ID]],customers!$A$1:$A$1001,customers!$I$1:$I$1001,0)</f>
        <v>No</v>
      </c>
    </row>
    <row r="437" spans="1:16" x14ac:dyDescent="0.25">
      <c r="A437" s="2" t="s">
        <v>2939</v>
      </c>
      <c r="B437" s="4">
        <v>44528</v>
      </c>
      <c r="C437" s="2" t="s">
        <v>2940</v>
      </c>
      <c r="D437" t="s">
        <v>6139</v>
      </c>
      <c r="E437" s="2">
        <v>1</v>
      </c>
      <c r="F437" s="2" t="str">
        <f>_xlfn.XLOOKUP(C437,customers!$A$1:$A$1001,customers!$B$1:$B$1001,0)</f>
        <v>Chance Rowthorn</v>
      </c>
      <c r="G437" s="2" t="s">
        <v>2942</v>
      </c>
      <c r="H437" s="2" t="str">
        <f>_xlfn.XLOOKUP(C437,customers!$A$1:$A$1001,customers!$G$1:$G$1001,0)</f>
        <v>United States</v>
      </c>
      <c r="I437" t="str">
        <f>_xlfn.XLOOKUP(D437,products!$A$1:$A$49,products!$B$1:$B$49,0)</f>
        <v>Exc</v>
      </c>
      <c r="J437" t="str">
        <f>_xlfn.XLOOKUP('data cleaned'!D437,products!$A$1:$A$49,products!$C$1:$C$49,0)</f>
        <v>M</v>
      </c>
      <c r="K437" s="5">
        <f>_xlfn.XLOOKUP('data cleaned'!D437,products!$A$1:$A$49,products!$D$1:$D$49,0)</f>
        <v>0.5</v>
      </c>
      <c r="L437" s="6">
        <f>_xlfn.XLOOKUP('data cleaned'!D437,products!$A$1:$A$49,products!$E$1:$E$49,0)</f>
        <v>8.25</v>
      </c>
      <c r="M437" s="6">
        <f>'data cleaned'!E437*'data cleaned'!L437</f>
        <v>8.25</v>
      </c>
      <c r="N437" t="str">
        <f t="shared" si="12"/>
        <v>Excelsa</v>
      </c>
      <c r="O437" t="str">
        <f t="shared" si="13"/>
        <v>Medium</v>
      </c>
      <c r="P437" t="str">
        <f>_xlfn.XLOOKUP(worksheet[[#This Row],[Customer ID]],customers!$A$1:$A$1001,customers!$I$1:$I$1001,0)</f>
        <v>No</v>
      </c>
    </row>
    <row r="438" spans="1:16" x14ac:dyDescent="0.25">
      <c r="A438" s="2" t="s">
        <v>2945</v>
      </c>
      <c r="B438" s="4">
        <v>44631</v>
      </c>
      <c r="C438" s="2" t="s">
        <v>2946</v>
      </c>
      <c r="D438" t="s">
        <v>6145</v>
      </c>
      <c r="E438" s="2">
        <v>2</v>
      </c>
      <c r="F438" s="2" t="str">
        <f>_xlfn.XLOOKUP(C438,customers!$A$1:$A$1001,customers!$B$1:$B$1001,0)</f>
        <v>Orly Ryland</v>
      </c>
      <c r="G438" s="2" t="s">
        <v>2948</v>
      </c>
      <c r="H438" s="2" t="str">
        <f>_xlfn.XLOOKUP(C438,customers!$A$1:$A$1001,customers!$G$1:$G$1001,0)</f>
        <v>United States</v>
      </c>
      <c r="I438" t="str">
        <f>_xlfn.XLOOKUP(D438,products!$A$1:$A$49,products!$B$1:$B$49,0)</f>
        <v>Lib</v>
      </c>
      <c r="J438" t="str">
        <f>_xlfn.XLOOKUP('data cleaned'!D438,products!$A$1:$A$49,products!$C$1:$C$49,0)</f>
        <v>L</v>
      </c>
      <c r="K438" s="5">
        <f>_xlfn.XLOOKUP('data cleaned'!D438,products!$A$1:$A$49,products!$D$1:$D$49,0)</f>
        <v>0.2</v>
      </c>
      <c r="L438" s="6">
        <f>_xlfn.XLOOKUP('data cleaned'!D438,products!$A$1:$A$49,products!$E$1:$E$49,0)</f>
        <v>4.7549999999999999</v>
      </c>
      <c r="M438" s="6">
        <f>'data cleaned'!E438*'data cleaned'!L438</f>
        <v>9.51</v>
      </c>
      <c r="N438" t="str">
        <f t="shared" si="12"/>
        <v>Liberica</v>
      </c>
      <c r="O438" t="str">
        <f t="shared" si="13"/>
        <v>Light</v>
      </c>
      <c r="P438" t="str">
        <f>_xlfn.XLOOKUP(worksheet[[#This Row],[Customer ID]],customers!$A$1:$A$1001,customers!$I$1:$I$1001,0)</f>
        <v>Yes</v>
      </c>
    </row>
    <row r="439" spans="1:16" x14ac:dyDescent="0.25">
      <c r="A439" s="2" t="s">
        <v>2951</v>
      </c>
      <c r="B439" s="4">
        <v>44213</v>
      </c>
      <c r="C439" s="2" t="s">
        <v>2952</v>
      </c>
      <c r="D439" t="s">
        <v>6165</v>
      </c>
      <c r="E439" s="2">
        <v>1</v>
      </c>
      <c r="F439" s="2" t="str">
        <f>_xlfn.XLOOKUP(C439,customers!$A$1:$A$1001,customers!$B$1:$B$1001,0)</f>
        <v>Willabella Abramski</v>
      </c>
      <c r="G439" s="2" t="s">
        <v>6222</v>
      </c>
      <c r="H439" s="2" t="str">
        <f>_xlfn.XLOOKUP(C439,customers!$A$1:$A$1001,customers!$G$1:$G$1001,0)</f>
        <v>United States</v>
      </c>
      <c r="I439" t="str">
        <f>_xlfn.XLOOKUP(D439,products!$A$1:$A$49,products!$B$1:$B$49,0)</f>
        <v>Lib</v>
      </c>
      <c r="J439" t="str">
        <f>_xlfn.XLOOKUP('data cleaned'!D439,products!$A$1:$A$49,products!$C$1:$C$49,0)</f>
        <v>D</v>
      </c>
      <c r="K439" s="5">
        <f>_xlfn.XLOOKUP('data cleaned'!D439,products!$A$1:$A$49,products!$D$1:$D$49,0)</f>
        <v>2.5</v>
      </c>
      <c r="L439" s="6">
        <f>_xlfn.XLOOKUP('data cleaned'!D439,products!$A$1:$A$49,products!$E$1:$E$49,0)</f>
        <v>29.784999999999997</v>
      </c>
      <c r="M439" s="6">
        <f>'data cleaned'!E439*'data cleaned'!L439</f>
        <v>29.784999999999997</v>
      </c>
      <c r="N439" t="str">
        <f t="shared" si="12"/>
        <v>Liberica</v>
      </c>
      <c r="O439" t="str">
        <f t="shared" si="13"/>
        <v>Dark</v>
      </c>
      <c r="P439" t="str">
        <f>_xlfn.XLOOKUP(worksheet[[#This Row],[Customer ID]],customers!$A$1:$A$1001,customers!$I$1:$I$1001,0)</f>
        <v>No</v>
      </c>
    </row>
    <row r="440" spans="1:16" x14ac:dyDescent="0.25">
      <c r="A440" s="2" t="s">
        <v>2956</v>
      </c>
      <c r="B440" s="4">
        <v>43483</v>
      </c>
      <c r="C440" s="2" t="s">
        <v>3042</v>
      </c>
      <c r="D440" t="s">
        <v>6169</v>
      </c>
      <c r="E440" s="2">
        <v>2</v>
      </c>
      <c r="F440" s="2" t="str">
        <f>_xlfn.XLOOKUP(C440,customers!$A$1:$A$1001,customers!$B$1:$B$1001,0)</f>
        <v>Morgen Seson</v>
      </c>
      <c r="G440" s="2" t="s">
        <v>3044</v>
      </c>
      <c r="H440" s="2" t="str">
        <f>_xlfn.XLOOKUP(C440,customers!$A$1:$A$1001,customers!$G$1:$G$1001,0)</f>
        <v>United States</v>
      </c>
      <c r="I440" t="str">
        <f>_xlfn.XLOOKUP(D440,products!$A$1:$A$49,products!$B$1:$B$49,0)</f>
        <v>Lib</v>
      </c>
      <c r="J440" t="str">
        <f>_xlfn.XLOOKUP('data cleaned'!D440,products!$A$1:$A$49,products!$C$1:$C$49,0)</f>
        <v>D</v>
      </c>
      <c r="K440" s="5">
        <f>_xlfn.XLOOKUP('data cleaned'!D440,products!$A$1:$A$49,products!$D$1:$D$49,0)</f>
        <v>0.5</v>
      </c>
      <c r="L440" s="6">
        <f>_xlfn.XLOOKUP('data cleaned'!D440,products!$A$1:$A$49,products!$E$1:$E$49,0)</f>
        <v>7.77</v>
      </c>
      <c r="M440" s="6">
        <f>'data cleaned'!E440*'data cleaned'!L440</f>
        <v>15.54</v>
      </c>
      <c r="N440" t="str">
        <f t="shared" si="12"/>
        <v>Liberica</v>
      </c>
      <c r="O440" t="str">
        <f t="shared" si="13"/>
        <v>Dark</v>
      </c>
      <c r="P440" t="str">
        <f>_xlfn.XLOOKUP(worksheet[[#This Row],[Customer ID]],customers!$A$1:$A$1001,customers!$I$1:$I$1001,0)</f>
        <v>No</v>
      </c>
    </row>
    <row r="441" spans="1:16" x14ac:dyDescent="0.25">
      <c r="A441" s="2" t="s">
        <v>2962</v>
      </c>
      <c r="B441" s="4">
        <v>43562</v>
      </c>
      <c r="C441" s="2" t="s">
        <v>2963</v>
      </c>
      <c r="D441" t="s">
        <v>6176</v>
      </c>
      <c r="E441" s="2">
        <v>4</v>
      </c>
      <c r="F441" s="2" t="str">
        <f>_xlfn.XLOOKUP(C441,customers!$A$1:$A$1001,customers!$B$1:$B$1001,0)</f>
        <v>Chickie Ragless</v>
      </c>
      <c r="G441" s="2" t="s">
        <v>2965</v>
      </c>
      <c r="H441" s="2" t="str">
        <f>_xlfn.XLOOKUP(C441,customers!$A$1:$A$1001,customers!$G$1:$G$1001,0)</f>
        <v>Ireland</v>
      </c>
      <c r="I441" t="str">
        <f>_xlfn.XLOOKUP(D441,products!$A$1:$A$49,products!$B$1:$B$49,0)</f>
        <v>Exc</v>
      </c>
      <c r="J441" t="str">
        <f>_xlfn.XLOOKUP('data cleaned'!D441,products!$A$1:$A$49,products!$C$1:$C$49,0)</f>
        <v>L</v>
      </c>
      <c r="K441" s="5">
        <f>_xlfn.XLOOKUP('data cleaned'!D441,products!$A$1:$A$49,products!$D$1:$D$49,0)</f>
        <v>0.5</v>
      </c>
      <c r="L441" s="6">
        <f>_xlfn.XLOOKUP('data cleaned'!D441,products!$A$1:$A$49,products!$E$1:$E$49,0)</f>
        <v>8.91</v>
      </c>
      <c r="M441" s="6">
        <f>'data cleaned'!E441*'data cleaned'!L441</f>
        <v>35.64</v>
      </c>
      <c r="N441" t="str">
        <f t="shared" si="12"/>
        <v>Excelsa</v>
      </c>
      <c r="O441" t="str">
        <f t="shared" si="13"/>
        <v>Light</v>
      </c>
      <c r="P441" t="str">
        <f>_xlfn.XLOOKUP(worksheet[[#This Row],[Customer ID]],customers!$A$1:$A$1001,customers!$I$1:$I$1001,0)</f>
        <v>No</v>
      </c>
    </row>
    <row r="442" spans="1:16" x14ac:dyDescent="0.25">
      <c r="A442" s="2" t="s">
        <v>2968</v>
      </c>
      <c r="B442" s="4">
        <v>44230</v>
      </c>
      <c r="C442" s="2" t="s">
        <v>2969</v>
      </c>
      <c r="D442" t="s">
        <v>6175</v>
      </c>
      <c r="E442" s="2">
        <v>4</v>
      </c>
      <c r="F442" s="2" t="str">
        <f>_xlfn.XLOOKUP(C442,customers!$A$1:$A$1001,customers!$B$1:$B$1001,0)</f>
        <v>Freda Hollows</v>
      </c>
      <c r="G442" s="2" t="s">
        <v>2971</v>
      </c>
      <c r="H442" s="2" t="str">
        <f>_xlfn.XLOOKUP(C442,customers!$A$1:$A$1001,customers!$G$1:$G$1001,0)</f>
        <v>United States</v>
      </c>
      <c r="I442" t="str">
        <f>_xlfn.XLOOKUP(D442,products!$A$1:$A$49,products!$B$1:$B$49,0)</f>
        <v>Ara</v>
      </c>
      <c r="J442" t="str">
        <f>_xlfn.XLOOKUP('data cleaned'!D442,products!$A$1:$A$49,products!$C$1:$C$49,0)</f>
        <v>M</v>
      </c>
      <c r="K442" s="5">
        <f>_xlfn.XLOOKUP('data cleaned'!D442,products!$A$1:$A$49,products!$D$1:$D$49,0)</f>
        <v>2.5</v>
      </c>
      <c r="L442" s="6">
        <f>_xlfn.XLOOKUP('data cleaned'!D442,products!$A$1:$A$49,products!$E$1:$E$49,0)</f>
        <v>25.874999999999996</v>
      </c>
      <c r="M442" s="6">
        <f>'data cleaned'!E442*'data cleaned'!L442</f>
        <v>103.49999999999999</v>
      </c>
      <c r="N442" t="str">
        <f t="shared" si="12"/>
        <v>Arabica</v>
      </c>
      <c r="O442" t="str">
        <f t="shared" si="13"/>
        <v>Medium</v>
      </c>
      <c r="P442" t="str">
        <f>_xlfn.XLOOKUP(worksheet[[#This Row],[Customer ID]],customers!$A$1:$A$1001,customers!$I$1:$I$1001,0)</f>
        <v>Yes</v>
      </c>
    </row>
    <row r="443" spans="1:16" x14ac:dyDescent="0.25">
      <c r="A443" s="2" t="s">
        <v>2974</v>
      </c>
      <c r="B443" s="4">
        <v>43573</v>
      </c>
      <c r="C443" s="2" t="s">
        <v>2975</v>
      </c>
      <c r="D443" t="s">
        <v>6183</v>
      </c>
      <c r="E443" s="2">
        <v>3</v>
      </c>
      <c r="F443" s="2" t="str">
        <f>_xlfn.XLOOKUP(C443,customers!$A$1:$A$1001,customers!$B$1:$B$1001,0)</f>
        <v>Livy Lathleiff</v>
      </c>
      <c r="G443" s="2" t="s">
        <v>2977</v>
      </c>
      <c r="H443" s="2" t="str">
        <f>_xlfn.XLOOKUP(C443,customers!$A$1:$A$1001,customers!$G$1:$G$1001,0)</f>
        <v>Ireland</v>
      </c>
      <c r="I443" t="str">
        <f>_xlfn.XLOOKUP(D443,products!$A$1:$A$49,products!$B$1:$B$49,0)</f>
        <v>Exc</v>
      </c>
      <c r="J443" t="str">
        <f>_xlfn.XLOOKUP('data cleaned'!D443,products!$A$1:$A$49,products!$C$1:$C$49,0)</f>
        <v>D</v>
      </c>
      <c r="K443" s="5">
        <f>_xlfn.XLOOKUP('data cleaned'!D443,products!$A$1:$A$49,products!$D$1:$D$49,0)</f>
        <v>1</v>
      </c>
      <c r="L443" s="6">
        <f>_xlfn.XLOOKUP('data cleaned'!D443,products!$A$1:$A$49,products!$E$1:$E$49,0)</f>
        <v>12.15</v>
      </c>
      <c r="M443" s="6">
        <f>'data cleaned'!E443*'data cleaned'!L443</f>
        <v>36.450000000000003</v>
      </c>
      <c r="N443" t="str">
        <f t="shared" si="12"/>
        <v>Excelsa</v>
      </c>
      <c r="O443" t="str">
        <f t="shared" si="13"/>
        <v>Dark</v>
      </c>
      <c r="P443" t="str">
        <f>_xlfn.XLOOKUP(worksheet[[#This Row],[Customer ID]],customers!$A$1:$A$1001,customers!$I$1:$I$1001,0)</f>
        <v>Yes</v>
      </c>
    </row>
    <row r="444" spans="1:16" x14ac:dyDescent="0.25">
      <c r="A444" s="2" t="s">
        <v>2980</v>
      </c>
      <c r="B444" s="4">
        <v>44384</v>
      </c>
      <c r="C444" s="2" t="s">
        <v>2981</v>
      </c>
      <c r="D444" t="s">
        <v>6173</v>
      </c>
      <c r="E444" s="2">
        <v>5</v>
      </c>
      <c r="F444" s="2" t="str">
        <f>_xlfn.XLOOKUP(C444,customers!$A$1:$A$1001,customers!$B$1:$B$1001,0)</f>
        <v>Koralle Heads</v>
      </c>
      <c r="G444" s="2" t="s">
        <v>2983</v>
      </c>
      <c r="H444" s="2" t="str">
        <f>_xlfn.XLOOKUP(C444,customers!$A$1:$A$1001,customers!$G$1:$G$1001,0)</f>
        <v>United States</v>
      </c>
      <c r="I444" t="str">
        <f>_xlfn.XLOOKUP(D444,products!$A$1:$A$49,products!$B$1:$B$49,0)</f>
        <v>Rob</v>
      </c>
      <c r="J444" t="str">
        <f>_xlfn.XLOOKUP('data cleaned'!D444,products!$A$1:$A$49,products!$C$1:$C$49,0)</f>
        <v>L</v>
      </c>
      <c r="K444" s="5">
        <f>_xlfn.XLOOKUP('data cleaned'!D444,products!$A$1:$A$49,products!$D$1:$D$49,0)</f>
        <v>0.5</v>
      </c>
      <c r="L444" s="6">
        <f>_xlfn.XLOOKUP('data cleaned'!D444,products!$A$1:$A$49,products!$E$1:$E$49,0)</f>
        <v>7.169999999999999</v>
      </c>
      <c r="M444" s="6">
        <f>'data cleaned'!E444*'data cleaned'!L444</f>
        <v>35.849999999999994</v>
      </c>
      <c r="N444" t="str">
        <f t="shared" si="12"/>
        <v>Robusta</v>
      </c>
      <c r="O444" t="str">
        <f t="shared" si="13"/>
        <v>Light</v>
      </c>
      <c r="P444" t="str">
        <f>_xlfn.XLOOKUP(worksheet[[#This Row],[Customer ID]],customers!$A$1:$A$1001,customers!$I$1:$I$1001,0)</f>
        <v>No</v>
      </c>
    </row>
    <row r="445" spans="1:16" x14ac:dyDescent="0.25">
      <c r="A445" s="2" t="s">
        <v>2986</v>
      </c>
      <c r="B445" s="4">
        <v>44250</v>
      </c>
      <c r="C445" s="2" t="s">
        <v>2987</v>
      </c>
      <c r="D445" t="s">
        <v>6184</v>
      </c>
      <c r="E445" s="2">
        <v>5</v>
      </c>
      <c r="F445" s="2" t="str">
        <f>_xlfn.XLOOKUP(C445,customers!$A$1:$A$1001,customers!$B$1:$B$1001,0)</f>
        <v>Theo Bowne</v>
      </c>
      <c r="G445" s="2" t="s">
        <v>2989</v>
      </c>
      <c r="H445" s="2" t="str">
        <f>_xlfn.XLOOKUP(C445,customers!$A$1:$A$1001,customers!$G$1:$G$1001,0)</f>
        <v>Ireland</v>
      </c>
      <c r="I445" t="str">
        <f>_xlfn.XLOOKUP(D445,products!$A$1:$A$49,products!$B$1:$B$49,0)</f>
        <v>Exc</v>
      </c>
      <c r="J445" t="str">
        <f>_xlfn.XLOOKUP('data cleaned'!D445,products!$A$1:$A$49,products!$C$1:$C$49,0)</f>
        <v>L</v>
      </c>
      <c r="K445" s="5">
        <f>_xlfn.XLOOKUP('data cleaned'!D445,products!$A$1:$A$49,products!$D$1:$D$49,0)</f>
        <v>0.2</v>
      </c>
      <c r="L445" s="6">
        <f>_xlfn.XLOOKUP('data cleaned'!D445,products!$A$1:$A$49,products!$E$1:$E$49,0)</f>
        <v>4.4550000000000001</v>
      </c>
      <c r="M445" s="6">
        <f>'data cleaned'!E445*'data cleaned'!L445</f>
        <v>22.274999999999999</v>
      </c>
      <c r="N445" t="str">
        <f t="shared" si="12"/>
        <v>Excelsa</v>
      </c>
      <c r="O445" t="str">
        <f t="shared" si="13"/>
        <v>Light</v>
      </c>
      <c r="P445" t="str">
        <f>_xlfn.XLOOKUP(worksheet[[#This Row],[Customer ID]],customers!$A$1:$A$1001,customers!$I$1:$I$1001,0)</f>
        <v>Yes</v>
      </c>
    </row>
    <row r="446" spans="1:16" x14ac:dyDescent="0.25">
      <c r="A446" s="2" t="s">
        <v>2992</v>
      </c>
      <c r="B446" s="4">
        <v>44418</v>
      </c>
      <c r="C446" s="2" t="s">
        <v>2993</v>
      </c>
      <c r="D446" t="s">
        <v>6156</v>
      </c>
      <c r="E446" s="2">
        <v>6</v>
      </c>
      <c r="F446" s="2" t="str">
        <f>_xlfn.XLOOKUP(C446,customers!$A$1:$A$1001,customers!$B$1:$B$1001,0)</f>
        <v>Rasia Jacquemard</v>
      </c>
      <c r="G446" s="2" t="s">
        <v>2995</v>
      </c>
      <c r="H446" s="2" t="str">
        <f>_xlfn.XLOOKUP(C446,customers!$A$1:$A$1001,customers!$G$1:$G$1001,0)</f>
        <v>Ireland</v>
      </c>
      <c r="I446" t="str">
        <f>_xlfn.XLOOKUP(D446,products!$A$1:$A$49,products!$B$1:$B$49,0)</f>
        <v>Exc</v>
      </c>
      <c r="J446" t="str">
        <f>_xlfn.XLOOKUP('data cleaned'!D446,products!$A$1:$A$49,products!$C$1:$C$49,0)</f>
        <v>M</v>
      </c>
      <c r="K446" s="5">
        <f>_xlfn.XLOOKUP('data cleaned'!D446,products!$A$1:$A$49,products!$D$1:$D$49,0)</f>
        <v>0.2</v>
      </c>
      <c r="L446" s="6">
        <f>_xlfn.XLOOKUP('data cleaned'!D446,products!$A$1:$A$49,products!$E$1:$E$49,0)</f>
        <v>4.125</v>
      </c>
      <c r="M446" s="6">
        <f>'data cleaned'!E446*'data cleaned'!L446</f>
        <v>24.75</v>
      </c>
      <c r="N446" t="str">
        <f t="shared" si="12"/>
        <v>Excelsa</v>
      </c>
      <c r="O446" t="str">
        <f t="shared" si="13"/>
        <v>Medium</v>
      </c>
      <c r="P446" t="str">
        <f>_xlfn.XLOOKUP(worksheet[[#This Row],[Customer ID]],customers!$A$1:$A$1001,customers!$I$1:$I$1001,0)</f>
        <v>No</v>
      </c>
    </row>
    <row r="447" spans="1:16" x14ac:dyDescent="0.25">
      <c r="A447" s="2" t="s">
        <v>2999</v>
      </c>
      <c r="B447" s="4">
        <v>43784</v>
      </c>
      <c r="C447" s="2" t="s">
        <v>3000</v>
      </c>
      <c r="D447" t="s">
        <v>6181</v>
      </c>
      <c r="E447" s="2">
        <v>2</v>
      </c>
      <c r="F447" s="2" t="str">
        <f>_xlfn.XLOOKUP(C447,customers!$A$1:$A$1001,customers!$B$1:$B$1001,0)</f>
        <v>Kizzie Warman</v>
      </c>
      <c r="G447" s="2" t="s">
        <v>3002</v>
      </c>
      <c r="H447" s="2" t="str">
        <f>_xlfn.XLOOKUP(C447,customers!$A$1:$A$1001,customers!$G$1:$G$1001,0)</f>
        <v>Ireland</v>
      </c>
      <c r="I447" t="str">
        <f>_xlfn.XLOOKUP(D447,products!$A$1:$A$49,products!$B$1:$B$49,0)</f>
        <v>Lib</v>
      </c>
      <c r="J447" t="str">
        <f>_xlfn.XLOOKUP('data cleaned'!D447,products!$A$1:$A$49,products!$C$1:$C$49,0)</f>
        <v>M</v>
      </c>
      <c r="K447" s="5">
        <f>_xlfn.XLOOKUP('data cleaned'!D447,products!$A$1:$A$49,products!$D$1:$D$49,0)</f>
        <v>2.5</v>
      </c>
      <c r="L447" s="6">
        <f>_xlfn.XLOOKUP('data cleaned'!D447,products!$A$1:$A$49,products!$E$1:$E$49,0)</f>
        <v>33.464999999999996</v>
      </c>
      <c r="M447" s="6">
        <f>'data cleaned'!E447*'data cleaned'!L447</f>
        <v>66.929999999999993</v>
      </c>
      <c r="N447" t="str">
        <f t="shared" si="12"/>
        <v>Liberica</v>
      </c>
      <c r="O447" t="str">
        <f t="shared" si="13"/>
        <v>Medium</v>
      </c>
      <c r="P447" t="str">
        <f>_xlfn.XLOOKUP(worksheet[[#This Row],[Customer ID]],customers!$A$1:$A$1001,customers!$I$1:$I$1001,0)</f>
        <v>Yes</v>
      </c>
    </row>
    <row r="448" spans="1:16" x14ac:dyDescent="0.25">
      <c r="A448" s="2" t="s">
        <v>3004</v>
      </c>
      <c r="B448" s="4">
        <v>43816</v>
      </c>
      <c r="C448" s="2" t="s">
        <v>3005</v>
      </c>
      <c r="D448" t="s">
        <v>6160</v>
      </c>
      <c r="E448" s="2">
        <v>1</v>
      </c>
      <c r="F448" s="2" t="str">
        <f>_xlfn.XLOOKUP(C448,customers!$A$1:$A$1001,customers!$B$1:$B$1001,0)</f>
        <v>Wain Cholomin</v>
      </c>
      <c r="G448" s="2" t="s">
        <v>3007</v>
      </c>
      <c r="H448" s="2" t="str">
        <f>_xlfn.XLOOKUP(C448,customers!$A$1:$A$1001,customers!$G$1:$G$1001,0)</f>
        <v>United Kingdom</v>
      </c>
      <c r="I448" t="str">
        <f>_xlfn.XLOOKUP(D448,products!$A$1:$A$49,products!$B$1:$B$49,0)</f>
        <v>Lib</v>
      </c>
      <c r="J448" t="str">
        <f>_xlfn.XLOOKUP('data cleaned'!D448,products!$A$1:$A$49,products!$C$1:$C$49,0)</f>
        <v>M</v>
      </c>
      <c r="K448" s="5">
        <f>_xlfn.XLOOKUP('data cleaned'!D448,products!$A$1:$A$49,products!$D$1:$D$49,0)</f>
        <v>0.5</v>
      </c>
      <c r="L448" s="6">
        <f>_xlfn.XLOOKUP('data cleaned'!D448,products!$A$1:$A$49,products!$E$1:$E$49,0)</f>
        <v>8.73</v>
      </c>
      <c r="M448" s="6">
        <f>'data cleaned'!E448*'data cleaned'!L448</f>
        <v>8.73</v>
      </c>
      <c r="N448" t="str">
        <f t="shared" si="12"/>
        <v>Liberica</v>
      </c>
      <c r="O448" t="str">
        <f t="shared" si="13"/>
        <v>Medium</v>
      </c>
      <c r="P448" t="str">
        <f>_xlfn.XLOOKUP(worksheet[[#This Row],[Customer ID]],customers!$A$1:$A$1001,customers!$I$1:$I$1001,0)</f>
        <v>Yes</v>
      </c>
    </row>
    <row r="449" spans="1:16" x14ac:dyDescent="0.25">
      <c r="A449" s="2" t="s">
        <v>3010</v>
      </c>
      <c r="B449" s="4">
        <v>43908</v>
      </c>
      <c r="C449" s="2" t="s">
        <v>3011</v>
      </c>
      <c r="D449" t="s">
        <v>6146</v>
      </c>
      <c r="E449" s="2">
        <v>3</v>
      </c>
      <c r="F449" s="2" t="str">
        <f>_xlfn.XLOOKUP(C449,customers!$A$1:$A$1001,customers!$B$1:$B$1001,0)</f>
        <v>Arleen Braidman</v>
      </c>
      <c r="G449" s="2" t="s">
        <v>3013</v>
      </c>
      <c r="H449" s="2" t="str">
        <f>_xlfn.XLOOKUP(C449,customers!$A$1:$A$1001,customers!$G$1:$G$1001,0)</f>
        <v>United States</v>
      </c>
      <c r="I449" t="str">
        <f>_xlfn.XLOOKUP(D449,products!$A$1:$A$49,products!$B$1:$B$49,0)</f>
        <v>Rob</v>
      </c>
      <c r="J449" t="str">
        <f>_xlfn.XLOOKUP('data cleaned'!D449,products!$A$1:$A$49,products!$C$1:$C$49,0)</f>
        <v>M</v>
      </c>
      <c r="K449" s="5">
        <f>_xlfn.XLOOKUP('data cleaned'!D449,products!$A$1:$A$49,products!$D$1:$D$49,0)</f>
        <v>0.5</v>
      </c>
      <c r="L449" s="6">
        <f>_xlfn.XLOOKUP('data cleaned'!D449,products!$A$1:$A$49,products!$E$1:$E$49,0)</f>
        <v>5.97</v>
      </c>
      <c r="M449" s="6">
        <f>'data cleaned'!E449*'data cleaned'!L449</f>
        <v>17.91</v>
      </c>
      <c r="N449" t="str">
        <f t="shared" si="12"/>
        <v>Robusta</v>
      </c>
      <c r="O449" t="str">
        <f t="shared" si="13"/>
        <v>Medium</v>
      </c>
      <c r="P449" t="str">
        <f>_xlfn.XLOOKUP(worksheet[[#This Row],[Customer ID]],customers!$A$1:$A$1001,customers!$I$1:$I$1001,0)</f>
        <v>No</v>
      </c>
    </row>
    <row r="450" spans="1:16" x14ac:dyDescent="0.25">
      <c r="A450" s="2" t="s">
        <v>3015</v>
      </c>
      <c r="B450" s="4">
        <v>44718</v>
      </c>
      <c r="C450" s="2" t="s">
        <v>3016</v>
      </c>
      <c r="D450" t="s">
        <v>6173</v>
      </c>
      <c r="E450" s="2">
        <v>1</v>
      </c>
      <c r="F450" s="2" t="str">
        <f>_xlfn.XLOOKUP(C450,customers!$A$1:$A$1001,customers!$B$1:$B$1001,0)</f>
        <v>Pru Durban</v>
      </c>
      <c r="G450" s="2" t="s">
        <v>3018</v>
      </c>
      <c r="H450" s="2" t="str">
        <f>_xlfn.XLOOKUP(C450,customers!$A$1:$A$1001,customers!$G$1:$G$1001,0)</f>
        <v>Ireland</v>
      </c>
      <c r="I450" t="str">
        <f>_xlfn.XLOOKUP(D450,products!$A$1:$A$49,products!$B$1:$B$49,0)</f>
        <v>Rob</v>
      </c>
      <c r="J450" t="str">
        <f>_xlfn.XLOOKUP('data cleaned'!D450,products!$A$1:$A$49,products!$C$1:$C$49,0)</f>
        <v>L</v>
      </c>
      <c r="K450" s="5">
        <f>_xlfn.XLOOKUP('data cleaned'!D450,products!$A$1:$A$49,products!$D$1:$D$49,0)</f>
        <v>0.5</v>
      </c>
      <c r="L450" s="6">
        <f>_xlfn.XLOOKUP('data cleaned'!D450,products!$A$1:$A$49,products!$E$1:$E$49,0)</f>
        <v>7.169999999999999</v>
      </c>
      <c r="M450" s="6">
        <f>'data cleaned'!E450*'data cleaned'!L450</f>
        <v>7.169999999999999</v>
      </c>
      <c r="N450" t="str">
        <f t="shared" si="12"/>
        <v>Robusta</v>
      </c>
      <c r="O450" t="str">
        <f t="shared" si="13"/>
        <v>Light</v>
      </c>
      <c r="P450" t="str">
        <f>_xlfn.XLOOKUP(worksheet[[#This Row],[Customer ID]],customers!$A$1:$A$1001,customers!$I$1:$I$1001,0)</f>
        <v>No</v>
      </c>
    </row>
    <row r="451" spans="1:16" x14ac:dyDescent="0.25">
      <c r="A451" s="2" t="s">
        <v>3021</v>
      </c>
      <c r="B451" s="4">
        <v>44336</v>
      </c>
      <c r="C451" s="2" t="s">
        <v>3022</v>
      </c>
      <c r="D451" t="s">
        <v>6163</v>
      </c>
      <c r="E451" s="2">
        <v>2</v>
      </c>
      <c r="F451" s="2" t="str">
        <f>_xlfn.XLOOKUP(C451,customers!$A$1:$A$1001,customers!$B$1:$B$1001,0)</f>
        <v>Antone Harrold</v>
      </c>
      <c r="G451" s="2" t="s">
        <v>3024</v>
      </c>
      <c r="H451" s="2" t="str">
        <f>_xlfn.XLOOKUP(C451,customers!$A$1:$A$1001,customers!$G$1:$G$1001,0)</f>
        <v>United States</v>
      </c>
      <c r="I451" t="str">
        <f>_xlfn.XLOOKUP(D451,products!$A$1:$A$49,products!$B$1:$B$49,0)</f>
        <v>Rob</v>
      </c>
      <c r="J451" t="str">
        <f>_xlfn.XLOOKUP('data cleaned'!D451,products!$A$1:$A$49,products!$C$1:$C$49,0)</f>
        <v>D</v>
      </c>
      <c r="K451" s="5">
        <f>_xlfn.XLOOKUP('data cleaned'!D451,products!$A$1:$A$49,products!$D$1:$D$49,0)</f>
        <v>0.2</v>
      </c>
      <c r="L451" s="6">
        <f>_xlfn.XLOOKUP('data cleaned'!D451,products!$A$1:$A$49,products!$E$1:$E$49,0)</f>
        <v>2.6849999999999996</v>
      </c>
      <c r="M451" s="6">
        <f>'data cleaned'!E451*'data cleaned'!L451</f>
        <v>5.3699999999999992</v>
      </c>
      <c r="N451" t="str">
        <f t="shared" ref="N451:N514" si="14">IF(I451="Rob","Robusta",IF(I451="Exc","Excelsa",IF(I451="Ara","Arabica",IF(I451="Lib","Liberica",""))))</f>
        <v>Robusta</v>
      </c>
      <c r="O451" t="str">
        <f t="shared" ref="O451:O514" si="15">IF(J451="M","Medium",IF(J451="L","Light",IF(J451="D","Dark","")))</f>
        <v>Dark</v>
      </c>
      <c r="P451" t="str">
        <f>_xlfn.XLOOKUP(worksheet[[#This Row],[Customer ID]],customers!$A$1:$A$1001,customers!$I$1:$I$1001,0)</f>
        <v>No</v>
      </c>
    </row>
    <row r="452" spans="1:16" x14ac:dyDescent="0.25">
      <c r="A452" s="2" t="s">
        <v>3027</v>
      </c>
      <c r="B452" s="4">
        <v>44207</v>
      </c>
      <c r="C452" s="2" t="s">
        <v>3028</v>
      </c>
      <c r="D452" t="s">
        <v>6145</v>
      </c>
      <c r="E452" s="2">
        <v>5</v>
      </c>
      <c r="F452" s="2" t="str">
        <f>_xlfn.XLOOKUP(C452,customers!$A$1:$A$1001,customers!$B$1:$B$1001,0)</f>
        <v>Sim Pamphilon</v>
      </c>
      <c r="G452" s="2" t="s">
        <v>3030</v>
      </c>
      <c r="H452" s="2" t="str">
        <f>_xlfn.XLOOKUP(C452,customers!$A$1:$A$1001,customers!$G$1:$G$1001,0)</f>
        <v>Ireland</v>
      </c>
      <c r="I452" t="str">
        <f>_xlfn.XLOOKUP(D452,products!$A$1:$A$49,products!$B$1:$B$49,0)</f>
        <v>Lib</v>
      </c>
      <c r="J452" t="str">
        <f>_xlfn.XLOOKUP('data cleaned'!D452,products!$A$1:$A$49,products!$C$1:$C$49,0)</f>
        <v>L</v>
      </c>
      <c r="K452" s="5">
        <f>_xlfn.XLOOKUP('data cleaned'!D452,products!$A$1:$A$49,products!$D$1:$D$49,0)</f>
        <v>0.2</v>
      </c>
      <c r="L452" s="6">
        <f>_xlfn.XLOOKUP('data cleaned'!D452,products!$A$1:$A$49,products!$E$1:$E$49,0)</f>
        <v>4.7549999999999999</v>
      </c>
      <c r="M452" s="6">
        <f>'data cleaned'!E452*'data cleaned'!L452</f>
        <v>23.774999999999999</v>
      </c>
      <c r="N452" t="str">
        <f t="shared" si="14"/>
        <v>Liberica</v>
      </c>
      <c r="O452" t="str">
        <f t="shared" si="15"/>
        <v>Light</v>
      </c>
      <c r="P452" t="str">
        <f>_xlfn.XLOOKUP(worksheet[[#This Row],[Customer ID]],customers!$A$1:$A$1001,customers!$I$1:$I$1001,0)</f>
        <v>No</v>
      </c>
    </row>
    <row r="453" spans="1:16" x14ac:dyDescent="0.25">
      <c r="A453" s="2" t="s">
        <v>3035</v>
      </c>
      <c r="B453" s="4">
        <v>43518</v>
      </c>
      <c r="C453" s="2" t="s">
        <v>3036</v>
      </c>
      <c r="D453" t="s">
        <v>6149</v>
      </c>
      <c r="E453" s="2">
        <v>2</v>
      </c>
      <c r="F453" s="2" t="str">
        <f>_xlfn.XLOOKUP(C453,customers!$A$1:$A$1001,customers!$B$1:$B$1001,0)</f>
        <v>Mohandis Spurden</v>
      </c>
      <c r="G453" s="2" t="s">
        <v>3038</v>
      </c>
      <c r="H453" s="2" t="str">
        <f>_xlfn.XLOOKUP(C453,customers!$A$1:$A$1001,customers!$G$1:$G$1001,0)</f>
        <v>United States</v>
      </c>
      <c r="I453" t="str">
        <f>_xlfn.XLOOKUP(D453,products!$A$1:$A$49,products!$B$1:$B$49,0)</f>
        <v>Rob</v>
      </c>
      <c r="J453" t="str">
        <f>_xlfn.XLOOKUP('data cleaned'!D453,products!$A$1:$A$49,products!$C$1:$C$49,0)</f>
        <v>D</v>
      </c>
      <c r="K453" s="5">
        <f>_xlfn.XLOOKUP('data cleaned'!D453,products!$A$1:$A$49,products!$D$1:$D$49,0)</f>
        <v>2.5</v>
      </c>
      <c r="L453" s="6">
        <f>_xlfn.XLOOKUP('data cleaned'!D453,products!$A$1:$A$49,products!$E$1:$E$49,0)</f>
        <v>20.584999999999997</v>
      </c>
      <c r="M453" s="6">
        <f>'data cleaned'!E453*'data cleaned'!L453</f>
        <v>41.169999999999995</v>
      </c>
      <c r="N453" t="str">
        <f t="shared" si="14"/>
        <v>Robusta</v>
      </c>
      <c r="O453" t="str">
        <f t="shared" si="15"/>
        <v>Dark</v>
      </c>
      <c r="P453" t="str">
        <f>_xlfn.XLOOKUP(worksheet[[#This Row],[Customer ID]],customers!$A$1:$A$1001,customers!$I$1:$I$1001,0)</f>
        <v>Yes</v>
      </c>
    </row>
    <row r="454" spans="1:16" x14ac:dyDescent="0.25">
      <c r="A454" s="2" t="s">
        <v>3041</v>
      </c>
      <c r="B454" s="4">
        <v>44524</v>
      </c>
      <c r="C454" s="2" t="s">
        <v>3042</v>
      </c>
      <c r="D454" t="s">
        <v>6167</v>
      </c>
      <c r="E454" s="2">
        <v>3</v>
      </c>
      <c r="F454" s="2" t="str">
        <f>_xlfn.XLOOKUP(C454,customers!$A$1:$A$1001,customers!$B$1:$B$1001,0)</f>
        <v>Morgen Seson</v>
      </c>
      <c r="G454" s="2" t="s">
        <v>3044</v>
      </c>
      <c r="H454" s="2" t="str">
        <f>_xlfn.XLOOKUP(C454,customers!$A$1:$A$1001,customers!$G$1:$G$1001,0)</f>
        <v>United States</v>
      </c>
      <c r="I454" t="str">
        <f>_xlfn.XLOOKUP(D454,products!$A$1:$A$49,products!$B$1:$B$49,0)</f>
        <v>Ara</v>
      </c>
      <c r="J454" t="str">
        <f>_xlfn.XLOOKUP('data cleaned'!D454,products!$A$1:$A$49,products!$C$1:$C$49,0)</f>
        <v>L</v>
      </c>
      <c r="K454" s="5">
        <f>_xlfn.XLOOKUP('data cleaned'!D454,products!$A$1:$A$49,products!$D$1:$D$49,0)</f>
        <v>0.2</v>
      </c>
      <c r="L454" s="6">
        <f>_xlfn.XLOOKUP('data cleaned'!D454,products!$A$1:$A$49,products!$E$1:$E$49,0)</f>
        <v>3.8849999999999998</v>
      </c>
      <c r="M454" s="6">
        <f>'data cleaned'!E454*'data cleaned'!L454</f>
        <v>11.654999999999999</v>
      </c>
      <c r="N454" t="str">
        <f t="shared" si="14"/>
        <v>Arabica</v>
      </c>
      <c r="O454" t="str">
        <f t="shared" si="15"/>
        <v>Light</v>
      </c>
      <c r="P454" t="str">
        <f>_xlfn.XLOOKUP(worksheet[[#This Row],[Customer ID]],customers!$A$1:$A$1001,customers!$I$1:$I$1001,0)</f>
        <v>No</v>
      </c>
    </row>
    <row r="455" spans="1:16" x14ac:dyDescent="0.25">
      <c r="A455" s="2" t="s">
        <v>3047</v>
      </c>
      <c r="B455" s="4">
        <v>44579</v>
      </c>
      <c r="C455" s="2" t="s">
        <v>3048</v>
      </c>
      <c r="D455" t="s">
        <v>6161</v>
      </c>
      <c r="E455" s="2">
        <v>4</v>
      </c>
      <c r="F455" s="2" t="str">
        <f>_xlfn.XLOOKUP(C455,customers!$A$1:$A$1001,customers!$B$1:$B$1001,0)</f>
        <v>Nalani Pirrone</v>
      </c>
      <c r="G455" s="2" t="s">
        <v>3050</v>
      </c>
      <c r="H455" s="2" t="str">
        <f>_xlfn.XLOOKUP(C455,customers!$A$1:$A$1001,customers!$G$1:$G$1001,0)</f>
        <v>United States</v>
      </c>
      <c r="I455" t="str">
        <f>_xlfn.XLOOKUP(D455,products!$A$1:$A$49,products!$B$1:$B$49,0)</f>
        <v>Lib</v>
      </c>
      <c r="J455" t="str">
        <f>_xlfn.XLOOKUP('data cleaned'!D455,products!$A$1:$A$49,products!$C$1:$C$49,0)</f>
        <v>L</v>
      </c>
      <c r="K455" s="5">
        <f>_xlfn.XLOOKUP('data cleaned'!D455,products!$A$1:$A$49,products!$D$1:$D$49,0)</f>
        <v>0.5</v>
      </c>
      <c r="L455" s="6">
        <f>_xlfn.XLOOKUP('data cleaned'!D455,products!$A$1:$A$49,products!$E$1:$E$49,0)</f>
        <v>9.51</v>
      </c>
      <c r="M455" s="6">
        <f>'data cleaned'!E455*'data cleaned'!L455</f>
        <v>38.04</v>
      </c>
      <c r="N455" t="str">
        <f t="shared" si="14"/>
        <v>Liberica</v>
      </c>
      <c r="O455" t="str">
        <f t="shared" si="15"/>
        <v>Light</v>
      </c>
      <c r="P455" t="str">
        <f>_xlfn.XLOOKUP(worksheet[[#This Row],[Customer ID]],customers!$A$1:$A$1001,customers!$I$1:$I$1001,0)</f>
        <v>No</v>
      </c>
    </row>
    <row r="456" spans="1:16" x14ac:dyDescent="0.25">
      <c r="A456" s="2" t="s">
        <v>3053</v>
      </c>
      <c r="B456" s="4">
        <v>44421</v>
      </c>
      <c r="C456" s="2" t="s">
        <v>3054</v>
      </c>
      <c r="D456" t="s">
        <v>6149</v>
      </c>
      <c r="E456" s="2">
        <v>4</v>
      </c>
      <c r="F456" s="2" t="str">
        <f>_xlfn.XLOOKUP(C456,customers!$A$1:$A$1001,customers!$B$1:$B$1001,0)</f>
        <v>Reube Cawley</v>
      </c>
      <c r="G456" s="2" t="s">
        <v>3056</v>
      </c>
      <c r="H456" s="2" t="str">
        <f>_xlfn.XLOOKUP(C456,customers!$A$1:$A$1001,customers!$G$1:$G$1001,0)</f>
        <v>Ireland</v>
      </c>
      <c r="I456" t="str">
        <f>_xlfn.XLOOKUP(D456,products!$A$1:$A$49,products!$B$1:$B$49,0)</f>
        <v>Rob</v>
      </c>
      <c r="J456" t="str">
        <f>_xlfn.XLOOKUP('data cleaned'!D456,products!$A$1:$A$49,products!$C$1:$C$49,0)</f>
        <v>D</v>
      </c>
      <c r="K456" s="5">
        <f>_xlfn.XLOOKUP('data cleaned'!D456,products!$A$1:$A$49,products!$D$1:$D$49,0)</f>
        <v>2.5</v>
      </c>
      <c r="L456" s="6">
        <f>_xlfn.XLOOKUP('data cleaned'!D456,products!$A$1:$A$49,products!$E$1:$E$49,0)</f>
        <v>20.584999999999997</v>
      </c>
      <c r="M456" s="6">
        <f>'data cleaned'!E456*'data cleaned'!L456</f>
        <v>82.339999999999989</v>
      </c>
      <c r="N456" t="str">
        <f t="shared" si="14"/>
        <v>Robusta</v>
      </c>
      <c r="O456" t="str">
        <f t="shared" si="15"/>
        <v>Dark</v>
      </c>
      <c r="P456" t="str">
        <f>_xlfn.XLOOKUP(worksheet[[#This Row],[Customer ID]],customers!$A$1:$A$1001,customers!$I$1:$I$1001,0)</f>
        <v>Yes</v>
      </c>
    </row>
    <row r="457" spans="1:16" x14ac:dyDescent="0.25">
      <c r="A457" s="2" t="s">
        <v>3058</v>
      </c>
      <c r="B457" s="4">
        <v>43841</v>
      </c>
      <c r="C457" s="2" t="s">
        <v>3059</v>
      </c>
      <c r="D457" t="s">
        <v>6145</v>
      </c>
      <c r="E457" s="2">
        <v>2</v>
      </c>
      <c r="F457" s="2" t="str">
        <f>_xlfn.XLOOKUP(C457,customers!$A$1:$A$1001,customers!$B$1:$B$1001,0)</f>
        <v>Stan Barribal</v>
      </c>
      <c r="G457" s="2" t="s">
        <v>3061</v>
      </c>
      <c r="H457" s="2" t="str">
        <f>_xlfn.XLOOKUP(C457,customers!$A$1:$A$1001,customers!$G$1:$G$1001,0)</f>
        <v>Ireland</v>
      </c>
      <c r="I457" t="str">
        <f>_xlfn.XLOOKUP(D457,products!$A$1:$A$49,products!$B$1:$B$49,0)</f>
        <v>Lib</v>
      </c>
      <c r="J457" t="str">
        <f>_xlfn.XLOOKUP('data cleaned'!D457,products!$A$1:$A$49,products!$C$1:$C$49,0)</f>
        <v>L</v>
      </c>
      <c r="K457" s="5">
        <f>_xlfn.XLOOKUP('data cleaned'!D457,products!$A$1:$A$49,products!$D$1:$D$49,0)</f>
        <v>0.2</v>
      </c>
      <c r="L457" s="6">
        <f>_xlfn.XLOOKUP('data cleaned'!D457,products!$A$1:$A$49,products!$E$1:$E$49,0)</f>
        <v>4.7549999999999999</v>
      </c>
      <c r="M457" s="6">
        <f>'data cleaned'!E457*'data cleaned'!L457</f>
        <v>9.51</v>
      </c>
      <c r="N457" t="str">
        <f t="shared" si="14"/>
        <v>Liberica</v>
      </c>
      <c r="O457" t="str">
        <f t="shared" si="15"/>
        <v>Light</v>
      </c>
      <c r="P457" t="str">
        <f>_xlfn.XLOOKUP(worksheet[[#This Row],[Customer ID]],customers!$A$1:$A$1001,customers!$I$1:$I$1001,0)</f>
        <v>Yes</v>
      </c>
    </row>
    <row r="458" spans="1:16" x14ac:dyDescent="0.25">
      <c r="A458" s="2" t="s">
        <v>3064</v>
      </c>
      <c r="B458" s="4">
        <v>44017</v>
      </c>
      <c r="C458" s="2" t="s">
        <v>3065</v>
      </c>
      <c r="D458" t="s">
        <v>6149</v>
      </c>
      <c r="E458" s="2">
        <v>2</v>
      </c>
      <c r="F458" s="2" t="str">
        <f>_xlfn.XLOOKUP(C458,customers!$A$1:$A$1001,customers!$B$1:$B$1001,0)</f>
        <v>Agnes Adamides</v>
      </c>
      <c r="G458" s="2" t="s">
        <v>3067</v>
      </c>
      <c r="H458" s="2" t="str">
        <f>_xlfn.XLOOKUP(C458,customers!$A$1:$A$1001,customers!$G$1:$G$1001,0)</f>
        <v>United Kingdom</v>
      </c>
      <c r="I458" t="str">
        <f>_xlfn.XLOOKUP(D458,products!$A$1:$A$49,products!$B$1:$B$49,0)</f>
        <v>Rob</v>
      </c>
      <c r="J458" t="str">
        <f>_xlfn.XLOOKUP('data cleaned'!D458,products!$A$1:$A$49,products!$C$1:$C$49,0)</f>
        <v>D</v>
      </c>
      <c r="K458" s="5">
        <f>_xlfn.XLOOKUP('data cleaned'!D458,products!$A$1:$A$49,products!$D$1:$D$49,0)</f>
        <v>2.5</v>
      </c>
      <c r="L458" s="6">
        <f>_xlfn.XLOOKUP('data cleaned'!D458,products!$A$1:$A$49,products!$E$1:$E$49,0)</f>
        <v>20.584999999999997</v>
      </c>
      <c r="M458" s="6">
        <f>'data cleaned'!E458*'data cleaned'!L458</f>
        <v>41.169999999999995</v>
      </c>
      <c r="N458" t="str">
        <f t="shared" si="14"/>
        <v>Robusta</v>
      </c>
      <c r="O458" t="str">
        <f t="shared" si="15"/>
        <v>Dark</v>
      </c>
      <c r="P458" t="str">
        <f>_xlfn.XLOOKUP(worksheet[[#This Row],[Customer ID]],customers!$A$1:$A$1001,customers!$I$1:$I$1001,0)</f>
        <v>No</v>
      </c>
    </row>
    <row r="459" spans="1:16" x14ac:dyDescent="0.25">
      <c r="A459" s="2" t="s">
        <v>3070</v>
      </c>
      <c r="B459" s="4">
        <v>43671</v>
      </c>
      <c r="C459" s="2" t="s">
        <v>3071</v>
      </c>
      <c r="D459" t="s">
        <v>6161</v>
      </c>
      <c r="E459" s="2">
        <v>5</v>
      </c>
      <c r="F459" s="2" t="str">
        <f>_xlfn.XLOOKUP(C459,customers!$A$1:$A$1001,customers!$B$1:$B$1001,0)</f>
        <v>Carmelita Thowes</v>
      </c>
      <c r="G459" s="2" t="s">
        <v>3073</v>
      </c>
      <c r="H459" s="2" t="str">
        <f>_xlfn.XLOOKUP(C459,customers!$A$1:$A$1001,customers!$G$1:$G$1001,0)</f>
        <v>United States</v>
      </c>
      <c r="I459" t="str">
        <f>_xlfn.XLOOKUP(D459,products!$A$1:$A$49,products!$B$1:$B$49,0)</f>
        <v>Lib</v>
      </c>
      <c r="J459" t="str">
        <f>_xlfn.XLOOKUP('data cleaned'!D459,products!$A$1:$A$49,products!$C$1:$C$49,0)</f>
        <v>L</v>
      </c>
      <c r="K459" s="5">
        <f>_xlfn.XLOOKUP('data cleaned'!D459,products!$A$1:$A$49,products!$D$1:$D$49,0)</f>
        <v>0.5</v>
      </c>
      <c r="L459" s="6">
        <f>_xlfn.XLOOKUP('data cleaned'!D459,products!$A$1:$A$49,products!$E$1:$E$49,0)</f>
        <v>9.51</v>
      </c>
      <c r="M459" s="6">
        <f>'data cleaned'!E459*'data cleaned'!L459</f>
        <v>47.55</v>
      </c>
      <c r="N459" t="str">
        <f t="shared" si="14"/>
        <v>Liberica</v>
      </c>
      <c r="O459" t="str">
        <f t="shared" si="15"/>
        <v>Light</v>
      </c>
      <c r="P459" t="str">
        <f>_xlfn.XLOOKUP(worksheet[[#This Row],[Customer ID]],customers!$A$1:$A$1001,customers!$I$1:$I$1001,0)</f>
        <v>No</v>
      </c>
    </row>
    <row r="460" spans="1:16" x14ac:dyDescent="0.25">
      <c r="A460" s="2" t="s">
        <v>3076</v>
      </c>
      <c r="B460" s="4">
        <v>44707</v>
      </c>
      <c r="C460" s="2" t="s">
        <v>3077</v>
      </c>
      <c r="D460" t="s">
        <v>6155</v>
      </c>
      <c r="E460" s="2">
        <v>4</v>
      </c>
      <c r="F460" s="2" t="str">
        <f>_xlfn.XLOOKUP(C460,customers!$A$1:$A$1001,customers!$B$1:$B$1001,0)</f>
        <v>Rodolfo Willoway</v>
      </c>
      <c r="G460" s="2" t="s">
        <v>3079</v>
      </c>
      <c r="H460" s="2" t="str">
        <f>_xlfn.XLOOKUP(C460,customers!$A$1:$A$1001,customers!$G$1:$G$1001,0)</f>
        <v>United States</v>
      </c>
      <c r="I460" t="str">
        <f>_xlfn.XLOOKUP(D460,products!$A$1:$A$49,products!$B$1:$B$49,0)</f>
        <v>Ara</v>
      </c>
      <c r="J460" t="str">
        <f>_xlfn.XLOOKUP('data cleaned'!D460,products!$A$1:$A$49,products!$C$1:$C$49,0)</f>
        <v>M</v>
      </c>
      <c r="K460" s="5">
        <f>_xlfn.XLOOKUP('data cleaned'!D460,products!$A$1:$A$49,products!$D$1:$D$49,0)</f>
        <v>1</v>
      </c>
      <c r="L460" s="6">
        <f>_xlfn.XLOOKUP('data cleaned'!D460,products!$A$1:$A$49,products!$E$1:$E$49,0)</f>
        <v>11.25</v>
      </c>
      <c r="M460" s="6">
        <f>'data cleaned'!E460*'data cleaned'!L460</f>
        <v>45</v>
      </c>
      <c r="N460" t="str">
        <f t="shared" si="14"/>
        <v>Arabica</v>
      </c>
      <c r="O460" t="str">
        <f t="shared" si="15"/>
        <v>Medium</v>
      </c>
      <c r="P460" t="str">
        <f>_xlfn.XLOOKUP(worksheet[[#This Row],[Customer ID]],customers!$A$1:$A$1001,customers!$I$1:$I$1001,0)</f>
        <v>No</v>
      </c>
    </row>
    <row r="461" spans="1:16" x14ac:dyDescent="0.25">
      <c r="A461" s="2" t="s">
        <v>3082</v>
      </c>
      <c r="B461" s="4">
        <v>43840</v>
      </c>
      <c r="C461" s="2" t="s">
        <v>3083</v>
      </c>
      <c r="D461" t="s">
        <v>6145</v>
      </c>
      <c r="E461" s="2">
        <v>5</v>
      </c>
      <c r="F461" s="2" t="str">
        <f>_xlfn.XLOOKUP(C461,customers!$A$1:$A$1001,customers!$B$1:$B$1001,0)</f>
        <v>Alvis Elwin</v>
      </c>
      <c r="G461" s="2" t="s">
        <v>3085</v>
      </c>
      <c r="H461" s="2" t="str">
        <f>_xlfn.XLOOKUP(C461,customers!$A$1:$A$1001,customers!$G$1:$G$1001,0)</f>
        <v>United States</v>
      </c>
      <c r="I461" t="str">
        <f>_xlfn.XLOOKUP(D461,products!$A$1:$A$49,products!$B$1:$B$49,0)</f>
        <v>Lib</v>
      </c>
      <c r="J461" t="str">
        <f>_xlfn.XLOOKUP('data cleaned'!D461,products!$A$1:$A$49,products!$C$1:$C$49,0)</f>
        <v>L</v>
      </c>
      <c r="K461" s="5">
        <f>_xlfn.XLOOKUP('data cleaned'!D461,products!$A$1:$A$49,products!$D$1:$D$49,0)</f>
        <v>0.2</v>
      </c>
      <c r="L461" s="6">
        <f>_xlfn.XLOOKUP('data cleaned'!D461,products!$A$1:$A$49,products!$E$1:$E$49,0)</f>
        <v>4.7549999999999999</v>
      </c>
      <c r="M461" s="6">
        <f>'data cleaned'!E461*'data cleaned'!L461</f>
        <v>23.774999999999999</v>
      </c>
      <c r="N461" t="str">
        <f t="shared" si="14"/>
        <v>Liberica</v>
      </c>
      <c r="O461" t="str">
        <f t="shared" si="15"/>
        <v>Light</v>
      </c>
      <c r="P461" t="str">
        <f>_xlfn.XLOOKUP(worksheet[[#This Row],[Customer ID]],customers!$A$1:$A$1001,customers!$I$1:$I$1001,0)</f>
        <v>No</v>
      </c>
    </row>
    <row r="462" spans="1:16" x14ac:dyDescent="0.25">
      <c r="A462" s="2" t="s">
        <v>3088</v>
      </c>
      <c r="B462" s="4">
        <v>43602</v>
      </c>
      <c r="C462" s="2" t="s">
        <v>3089</v>
      </c>
      <c r="D462" t="s">
        <v>6172</v>
      </c>
      <c r="E462" s="2">
        <v>3</v>
      </c>
      <c r="F462" s="2" t="str">
        <f>_xlfn.XLOOKUP(C462,customers!$A$1:$A$1001,customers!$B$1:$B$1001,0)</f>
        <v>Araldo Bilbrook</v>
      </c>
      <c r="G462" s="2" t="s">
        <v>3091</v>
      </c>
      <c r="H462" s="2" t="str">
        <f>_xlfn.XLOOKUP(C462,customers!$A$1:$A$1001,customers!$G$1:$G$1001,0)</f>
        <v>Ireland</v>
      </c>
      <c r="I462" t="str">
        <f>_xlfn.XLOOKUP(D462,products!$A$1:$A$49,products!$B$1:$B$49,0)</f>
        <v>Rob</v>
      </c>
      <c r="J462" t="str">
        <f>_xlfn.XLOOKUP('data cleaned'!D462,products!$A$1:$A$49,products!$C$1:$C$49,0)</f>
        <v>D</v>
      </c>
      <c r="K462" s="5">
        <f>_xlfn.XLOOKUP('data cleaned'!D462,products!$A$1:$A$49,products!$D$1:$D$49,0)</f>
        <v>0.5</v>
      </c>
      <c r="L462" s="6">
        <f>_xlfn.XLOOKUP('data cleaned'!D462,products!$A$1:$A$49,products!$E$1:$E$49,0)</f>
        <v>5.3699999999999992</v>
      </c>
      <c r="M462" s="6">
        <f>'data cleaned'!E462*'data cleaned'!L462</f>
        <v>16.11</v>
      </c>
      <c r="N462" t="str">
        <f t="shared" si="14"/>
        <v>Robusta</v>
      </c>
      <c r="O462" t="str">
        <f t="shared" si="15"/>
        <v>Dark</v>
      </c>
      <c r="P462" t="str">
        <f>_xlfn.XLOOKUP(worksheet[[#This Row],[Customer ID]],customers!$A$1:$A$1001,customers!$I$1:$I$1001,0)</f>
        <v>Yes</v>
      </c>
    </row>
    <row r="463" spans="1:16" x14ac:dyDescent="0.25">
      <c r="A463" s="2" t="s">
        <v>3094</v>
      </c>
      <c r="B463" s="4">
        <v>44036</v>
      </c>
      <c r="C463" s="2" t="s">
        <v>3095</v>
      </c>
      <c r="D463" t="s">
        <v>6163</v>
      </c>
      <c r="E463" s="2">
        <v>4</v>
      </c>
      <c r="F463" s="2" t="str">
        <f>_xlfn.XLOOKUP(C463,customers!$A$1:$A$1001,customers!$B$1:$B$1001,0)</f>
        <v>Ransell McKall</v>
      </c>
      <c r="G463" s="2" t="s">
        <v>3097</v>
      </c>
      <c r="H463" s="2" t="str">
        <f>_xlfn.XLOOKUP(C463,customers!$A$1:$A$1001,customers!$G$1:$G$1001,0)</f>
        <v>United Kingdom</v>
      </c>
      <c r="I463" t="str">
        <f>_xlfn.XLOOKUP(D463,products!$A$1:$A$49,products!$B$1:$B$49,0)</f>
        <v>Rob</v>
      </c>
      <c r="J463" t="str">
        <f>_xlfn.XLOOKUP('data cleaned'!D463,products!$A$1:$A$49,products!$C$1:$C$49,0)</f>
        <v>D</v>
      </c>
      <c r="K463" s="5">
        <f>_xlfn.XLOOKUP('data cleaned'!D463,products!$A$1:$A$49,products!$D$1:$D$49,0)</f>
        <v>0.2</v>
      </c>
      <c r="L463" s="6">
        <f>_xlfn.XLOOKUP('data cleaned'!D463,products!$A$1:$A$49,products!$E$1:$E$49,0)</f>
        <v>2.6849999999999996</v>
      </c>
      <c r="M463" s="6">
        <f>'data cleaned'!E463*'data cleaned'!L463</f>
        <v>10.739999999999998</v>
      </c>
      <c r="N463" t="str">
        <f t="shared" si="14"/>
        <v>Robusta</v>
      </c>
      <c r="O463" t="str">
        <f t="shared" si="15"/>
        <v>Dark</v>
      </c>
      <c r="P463" t="str">
        <f>_xlfn.XLOOKUP(worksheet[[#This Row],[Customer ID]],customers!$A$1:$A$1001,customers!$I$1:$I$1001,0)</f>
        <v>Yes</v>
      </c>
    </row>
    <row r="464" spans="1:16" x14ac:dyDescent="0.25">
      <c r="A464" s="2" t="s">
        <v>3100</v>
      </c>
      <c r="B464" s="4">
        <v>44124</v>
      </c>
      <c r="C464" s="2" t="s">
        <v>3101</v>
      </c>
      <c r="D464" t="s">
        <v>6147</v>
      </c>
      <c r="E464" s="2">
        <v>5</v>
      </c>
      <c r="F464" s="2" t="str">
        <f>_xlfn.XLOOKUP(C464,customers!$A$1:$A$1001,customers!$B$1:$B$1001,0)</f>
        <v>Borg Daile</v>
      </c>
      <c r="G464" s="2" t="s">
        <v>3103</v>
      </c>
      <c r="H464" s="2" t="str">
        <f>_xlfn.XLOOKUP(C464,customers!$A$1:$A$1001,customers!$G$1:$G$1001,0)</f>
        <v>United States</v>
      </c>
      <c r="I464" t="str">
        <f>_xlfn.XLOOKUP(D464,products!$A$1:$A$49,products!$B$1:$B$49,0)</f>
        <v>Ara</v>
      </c>
      <c r="J464" t="str">
        <f>_xlfn.XLOOKUP('data cleaned'!D464,products!$A$1:$A$49,products!$C$1:$C$49,0)</f>
        <v>D</v>
      </c>
      <c r="K464" s="5">
        <f>_xlfn.XLOOKUP('data cleaned'!D464,products!$A$1:$A$49,products!$D$1:$D$49,0)</f>
        <v>1</v>
      </c>
      <c r="L464" s="6">
        <f>_xlfn.XLOOKUP('data cleaned'!D464,products!$A$1:$A$49,products!$E$1:$E$49,0)</f>
        <v>9.9499999999999993</v>
      </c>
      <c r="M464" s="6">
        <f>'data cleaned'!E464*'data cleaned'!L464</f>
        <v>49.75</v>
      </c>
      <c r="N464" t="str">
        <f t="shared" si="14"/>
        <v>Arabica</v>
      </c>
      <c r="O464" t="str">
        <f t="shared" si="15"/>
        <v>Dark</v>
      </c>
      <c r="P464" t="str">
        <f>_xlfn.XLOOKUP(worksheet[[#This Row],[Customer ID]],customers!$A$1:$A$1001,customers!$I$1:$I$1001,0)</f>
        <v>Yes</v>
      </c>
    </row>
    <row r="465" spans="1:16" x14ac:dyDescent="0.25">
      <c r="A465" s="2" t="s">
        <v>3106</v>
      </c>
      <c r="B465" s="4">
        <v>43730</v>
      </c>
      <c r="C465" s="2" t="s">
        <v>3107</v>
      </c>
      <c r="D465" t="s">
        <v>6141</v>
      </c>
      <c r="E465" s="2">
        <v>2</v>
      </c>
      <c r="F465" s="2" t="str">
        <f>_xlfn.XLOOKUP(C465,customers!$A$1:$A$1001,customers!$B$1:$B$1001,0)</f>
        <v>Adolphe Treherne</v>
      </c>
      <c r="G465" s="2" t="s">
        <v>3109</v>
      </c>
      <c r="H465" s="2" t="str">
        <f>_xlfn.XLOOKUP(C465,customers!$A$1:$A$1001,customers!$G$1:$G$1001,0)</f>
        <v>Ireland</v>
      </c>
      <c r="I465" t="str">
        <f>_xlfn.XLOOKUP(D465,products!$A$1:$A$49,products!$B$1:$B$49,0)</f>
        <v>Exc</v>
      </c>
      <c r="J465" t="str">
        <f>_xlfn.XLOOKUP('data cleaned'!D465,products!$A$1:$A$49,products!$C$1:$C$49,0)</f>
        <v>M</v>
      </c>
      <c r="K465" s="5">
        <f>_xlfn.XLOOKUP('data cleaned'!D465,products!$A$1:$A$49,products!$D$1:$D$49,0)</f>
        <v>1</v>
      </c>
      <c r="L465" s="6">
        <f>_xlfn.XLOOKUP('data cleaned'!D465,products!$A$1:$A$49,products!$E$1:$E$49,0)</f>
        <v>13.75</v>
      </c>
      <c r="M465" s="6">
        <f>'data cleaned'!E465*'data cleaned'!L465</f>
        <v>27.5</v>
      </c>
      <c r="N465" t="str">
        <f t="shared" si="14"/>
        <v>Excelsa</v>
      </c>
      <c r="O465" t="str">
        <f t="shared" si="15"/>
        <v>Medium</v>
      </c>
      <c r="P465" t="str">
        <f>_xlfn.XLOOKUP(worksheet[[#This Row],[Customer ID]],customers!$A$1:$A$1001,customers!$I$1:$I$1001,0)</f>
        <v>No</v>
      </c>
    </row>
    <row r="466" spans="1:16" x14ac:dyDescent="0.25">
      <c r="A466" s="2" t="s">
        <v>3112</v>
      </c>
      <c r="B466" s="4">
        <v>43989</v>
      </c>
      <c r="C466" s="2" t="s">
        <v>3113</v>
      </c>
      <c r="D466" t="s">
        <v>6165</v>
      </c>
      <c r="E466" s="2">
        <v>4</v>
      </c>
      <c r="F466" s="2" t="str">
        <f>_xlfn.XLOOKUP(C466,customers!$A$1:$A$1001,customers!$B$1:$B$1001,0)</f>
        <v>Annetta Brentnall</v>
      </c>
      <c r="G466" s="2" t="s">
        <v>3115</v>
      </c>
      <c r="H466" s="2" t="str">
        <f>_xlfn.XLOOKUP(C466,customers!$A$1:$A$1001,customers!$G$1:$G$1001,0)</f>
        <v>United Kingdom</v>
      </c>
      <c r="I466" t="str">
        <f>_xlfn.XLOOKUP(D466,products!$A$1:$A$49,products!$B$1:$B$49,0)</f>
        <v>Lib</v>
      </c>
      <c r="J466" t="str">
        <f>_xlfn.XLOOKUP('data cleaned'!D466,products!$A$1:$A$49,products!$C$1:$C$49,0)</f>
        <v>D</v>
      </c>
      <c r="K466" s="5">
        <f>_xlfn.XLOOKUP('data cleaned'!D466,products!$A$1:$A$49,products!$D$1:$D$49,0)</f>
        <v>2.5</v>
      </c>
      <c r="L466" s="6">
        <f>_xlfn.XLOOKUP('data cleaned'!D466,products!$A$1:$A$49,products!$E$1:$E$49,0)</f>
        <v>29.784999999999997</v>
      </c>
      <c r="M466" s="6">
        <f>'data cleaned'!E466*'data cleaned'!L466</f>
        <v>119.13999999999999</v>
      </c>
      <c r="N466" t="str">
        <f t="shared" si="14"/>
        <v>Liberica</v>
      </c>
      <c r="O466" t="str">
        <f t="shared" si="15"/>
        <v>Dark</v>
      </c>
      <c r="P466" t="str">
        <f>_xlfn.XLOOKUP(worksheet[[#This Row],[Customer ID]],customers!$A$1:$A$1001,customers!$I$1:$I$1001,0)</f>
        <v>No</v>
      </c>
    </row>
    <row r="467" spans="1:16" x14ac:dyDescent="0.25">
      <c r="A467" s="2" t="s">
        <v>3118</v>
      </c>
      <c r="B467" s="4">
        <v>43814</v>
      </c>
      <c r="C467" s="2" t="s">
        <v>3119</v>
      </c>
      <c r="D467" t="s">
        <v>6149</v>
      </c>
      <c r="E467" s="2">
        <v>1</v>
      </c>
      <c r="F467" s="2" t="str">
        <f>_xlfn.XLOOKUP(C467,customers!$A$1:$A$1001,customers!$B$1:$B$1001,0)</f>
        <v>Dick Drinkall</v>
      </c>
      <c r="G467" s="2" t="s">
        <v>3121</v>
      </c>
      <c r="H467" s="2" t="str">
        <f>_xlfn.XLOOKUP(C467,customers!$A$1:$A$1001,customers!$G$1:$G$1001,0)</f>
        <v>United States</v>
      </c>
      <c r="I467" t="str">
        <f>_xlfn.XLOOKUP(D467,products!$A$1:$A$49,products!$B$1:$B$49,0)</f>
        <v>Rob</v>
      </c>
      <c r="J467" t="str">
        <f>_xlfn.XLOOKUP('data cleaned'!D467,products!$A$1:$A$49,products!$C$1:$C$49,0)</f>
        <v>D</v>
      </c>
      <c r="K467" s="5">
        <f>_xlfn.XLOOKUP('data cleaned'!D467,products!$A$1:$A$49,products!$D$1:$D$49,0)</f>
        <v>2.5</v>
      </c>
      <c r="L467" s="6">
        <f>_xlfn.XLOOKUP('data cleaned'!D467,products!$A$1:$A$49,products!$E$1:$E$49,0)</f>
        <v>20.584999999999997</v>
      </c>
      <c r="M467" s="6">
        <f>'data cleaned'!E467*'data cleaned'!L467</f>
        <v>20.584999999999997</v>
      </c>
      <c r="N467" t="str">
        <f t="shared" si="14"/>
        <v>Robusta</v>
      </c>
      <c r="O467" t="str">
        <f t="shared" si="15"/>
        <v>Dark</v>
      </c>
      <c r="P467" t="str">
        <f>_xlfn.XLOOKUP(worksheet[[#This Row],[Customer ID]],customers!$A$1:$A$1001,customers!$I$1:$I$1001,0)</f>
        <v>Yes</v>
      </c>
    </row>
    <row r="468" spans="1:16" x14ac:dyDescent="0.25">
      <c r="A468" s="2" t="s">
        <v>3124</v>
      </c>
      <c r="B468" s="4">
        <v>44171</v>
      </c>
      <c r="C468" s="2" t="s">
        <v>3125</v>
      </c>
      <c r="D468" t="s">
        <v>6154</v>
      </c>
      <c r="E468" s="2">
        <v>3</v>
      </c>
      <c r="F468" s="2" t="str">
        <f>_xlfn.XLOOKUP(C468,customers!$A$1:$A$1001,customers!$B$1:$B$1001,0)</f>
        <v>Dagny Kornel</v>
      </c>
      <c r="G468" s="2" t="s">
        <v>3127</v>
      </c>
      <c r="H468" s="2" t="str">
        <f>_xlfn.XLOOKUP(C468,customers!$A$1:$A$1001,customers!$G$1:$G$1001,0)</f>
        <v>United States</v>
      </c>
      <c r="I468" t="str">
        <f>_xlfn.XLOOKUP(D468,products!$A$1:$A$49,products!$B$1:$B$49,0)</f>
        <v>Ara</v>
      </c>
      <c r="J468" t="str">
        <f>_xlfn.XLOOKUP('data cleaned'!D468,products!$A$1:$A$49,products!$C$1:$C$49,0)</f>
        <v>D</v>
      </c>
      <c r="K468" s="5">
        <f>_xlfn.XLOOKUP('data cleaned'!D468,products!$A$1:$A$49,products!$D$1:$D$49,0)</f>
        <v>0.2</v>
      </c>
      <c r="L468" s="6">
        <f>_xlfn.XLOOKUP('data cleaned'!D468,products!$A$1:$A$49,products!$E$1:$E$49,0)</f>
        <v>2.9849999999999999</v>
      </c>
      <c r="M468" s="6">
        <f>'data cleaned'!E468*'data cleaned'!L468</f>
        <v>8.9550000000000001</v>
      </c>
      <c r="N468" t="str">
        <f t="shared" si="14"/>
        <v>Arabica</v>
      </c>
      <c r="O468" t="str">
        <f t="shared" si="15"/>
        <v>Dark</v>
      </c>
      <c r="P468" t="str">
        <f>_xlfn.XLOOKUP(worksheet[[#This Row],[Customer ID]],customers!$A$1:$A$1001,customers!$I$1:$I$1001,0)</f>
        <v>Yes</v>
      </c>
    </row>
    <row r="469" spans="1:16" x14ac:dyDescent="0.25">
      <c r="A469" s="2" t="s">
        <v>3130</v>
      </c>
      <c r="B469" s="4">
        <v>44536</v>
      </c>
      <c r="C469" s="2" t="s">
        <v>3131</v>
      </c>
      <c r="D469" t="s">
        <v>6158</v>
      </c>
      <c r="E469" s="2">
        <v>1</v>
      </c>
      <c r="F469" s="2" t="str">
        <f>_xlfn.XLOOKUP(C469,customers!$A$1:$A$1001,customers!$B$1:$B$1001,0)</f>
        <v>Rhona Lequeux</v>
      </c>
      <c r="G469" s="2" t="s">
        <v>3133</v>
      </c>
      <c r="H469" s="2" t="str">
        <f>_xlfn.XLOOKUP(C469,customers!$A$1:$A$1001,customers!$G$1:$G$1001,0)</f>
        <v>United States</v>
      </c>
      <c r="I469" t="str">
        <f>_xlfn.XLOOKUP(D469,products!$A$1:$A$49,products!$B$1:$B$49,0)</f>
        <v>Ara</v>
      </c>
      <c r="J469" t="str">
        <f>_xlfn.XLOOKUP('data cleaned'!D469,products!$A$1:$A$49,products!$C$1:$C$49,0)</f>
        <v>D</v>
      </c>
      <c r="K469" s="5">
        <f>_xlfn.XLOOKUP('data cleaned'!D469,products!$A$1:$A$49,products!$D$1:$D$49,0)</f>
        <v>0.5</v>
      </c>
      <c r="L469" s="6">
        <f>_xlfn.XLOOKUP('data cleaned'!D469,products!$A$1:$A$49,products!$E$1:$E$49,0)</f>
        <v>5.97</v>
      </c>
      <c r="M469" s="6">
        <f>'data cleaned'!E469*'data cleaned'!L469</f>
        <v>5.97</v>
      </c>
      <c r="N469" t="str">
        <f t="shared" si="14"/>
        <v>Arabica</v>
      </c>
      <c r="O469" t="str">
        <f t="shared" si="15"/>
        <v>Dark</v>
      </c>
      <c r="P469" t="str">
        <f>_xlfn.XLOOKUP(worksheet[[#This Row],[Customer ID]],customers!$A$1:$A$1001,customers!$I$1:$I$1001,0)</f>
        <v>No</v>
      </c>
    </row>
    <row r="470" spans="1:16" x14ac:dyDescent="0.25">
      <c r="A470" s="2" t="s">
        <v>3136</v>
      </c>
      <c r="B470" s="4">
        <v>44023</v>
      </c>
      <c r="C470" s="2" t="s">
        <v>3137</v>
      </c>
      <c r="D470" t="s">
        <v>6141</v>
      </c>
      <c r="E470" s="2">
        <v>3</v>
      </c>
      <c r="F470" s="2" t="str">
        <f>_xlfn.XLOOKUP(C470,customers!$A$1:$A$1001,customers!$B$1:$B$1001,0)</f>
        <v>Julius Mccaull</v>
      </c>
      <c r="G470" s="2" t="s">
        <v>3139</v>
      </c>
      <c r="H470" s="2" t="str">
        <f>_xlfn.XLOOKUP(C470,customers!$A$1:$A$1001,customers!$G$1:$G$1001,0)</f>
        <v>United States</v>
      </c>
      <c r="I470" t="str">
        <f>_xlfn.XLOOKUP(D470,products!$A$1:$A$49,products!$B$1:$B$49,0)</f>
        <v>Exc</v>
      </c>
      <c r="J470" t="str">
        <f>_xlfn.XLOOKUP('data cleaned'!D470,products!$A$1:$A$49,products!$C$1:$C$49,0)</f>
        <v>M</v>
      </c>
      <c r="K470" s="5">
        <f>_xlfn.XLOOKUP('data cleaned'!D470,products!$A$1:$A$49,products!$D$1:$D$49,0)</f>
        <v>1</v>
      </c>
      <c r="L470" s="6">
        <f>_xlfn.XLOOKUP('data cleaned'!D470,products!$A$1:$A$49,products!$E$1:$E$49,0)</f>
        <v>13.75</v>
      </c>
      <c r="M470" s="6">
        <f>'data cleaned'!E470*'data cleaned'!L470</f>
        <v>41.25</v>
      </c>
      <c r="N470" t="str">
        <f t="shared" si="14"/>
        <v>Excelsa</v>
      </c>
      <c r="O470" t="str">
        <f t="shared" si="15"/>
        <v>Medium</v>
      </c>
      <c r="P470" t="str">
        <f>_xlfn.XLOOKUP(worksheet[[#This Row],[Customer ID]],customers!$A$1:$A$1001,customers!$I$1:$I$1001,0)</f>
        <v>Yes</v>
      </c>
    </row>
    <row r="471" spans="1:16" x14ac:dyDescent="0.25">
      <c r="A471" s="2" t="s">
        <v>3141</v>
      </c>
      <c r="B471" s="4">
        <v>44375</v>
      </c>
      <c r="C471" s="2" t="s">
        <v>3194</v>
      </c>
      <c r="D471" t="s">
        <v>6184</v>
      </c>
      <c r="E471" s="2">
        <v>5</v>
      </c>
      <c r="F471" s="2" t="str">
        <f>_xlfn.XLOOKUP(C471,customers!$A$1:$A$1001,customers!$B$1:$B$1001,0)</f>
        <v>Ailey Brash</v>
      </c>
      <c r="G471" s="2" t="s">
        <v>3196</v>
      </c>
      <c r="H471" s="2" t="str">
        <f>_xlfn.XLOOKUP(C471,customers!$A$1:$A$1001,customers!$G$1:$G$1001,0)</f>
        <v>United States</v>
      </c>
      <c r="I471" t="str">
        <f>_xlfn.XLOOKUP(D471,products!$A$1:$A$49,products!$B$1:$B$49,0)</f>
        <v>Exc</v>
      </c>
      <c r="J471" t="str">
        <f>_xlfn.XLOOKUP('data cleaned'!D471,products!$A$1:$A$49,products!$C$1:$C$49,0)</f>
        <v>L</v>
      </c>
      <c r="K471" s="5">
        <f>_xlfn.XLOOKUP('data cleaned'!D471,products!$A$1:$A$49,products!$D$1:$D$49,0)</f>
        <v>0.2</v>
      </c>
      <c r="L471" s="6">
        <f>_xlfn.XLOOKUP('data cleaned'!D471,products!$A$1:$A$49,products!$E$1:$E$49,0)</f>
        <v>4.4550000000000001</v>
      </c>
      <c r="M471" s="6">
        <f>'data cleaned'!E471*'data cleaned'!L471</f>
        <v>22.274999999999999</v>
      </c>
      <c r="N471" t="str">
        <f t="shared" si="14"/>
        <v>Excelsa</v>
      </c>
      <c r="O471" t="str">
        <f t="shared" si="15"/>
        <v>Light</v>
      </c>
      <c r="P471" t="str">
        <f>_xlfn.XLOOKUP(worksheet[[#This Row],[Customer ID]],customers!$A$1:$A$1001,customers!$I$1:$I$1001,0)</f>
        <v>Yes</v>
      </c>
    </row>
    <row r="472" spans="1:16" x14ac:dyDescent="0.25">
      <c r="A472" s="2" t="s">
        <v>3147</v>
      </c>
      <c r="B472" s="4">
        <v>44656</v>
      </c>
      <c r="C472" s="2" t="s">
        <v>3148</v>
      </c>
      <c r="D472" t="s">
        <v>6157</v>
      </c>
      <c r="E472" s="2">
        <v>1</v>
      </c>
      <c r="F472" s="2" t="str">
        <f>_xlfn.XLOOKUP(C472,customers!$A$1:$A$1001,customers!$B$1:$B$1001,0)</f>
        <v>Alberto Hutchinson</v>
      </c>
      <c r="G472" s="2" t="s">
        <v>3150</v>
      </c>
      <c r="H472" s="2" t="str">
        <f>_xlfn.XLOOKUP(C472,customers!$A$1:$A$1001,customers!$G$1:$G$1001,0)</f>
        <v>United States</v>
      </c>
      <c r="I472" t="str">
        <f>_xlfn.XLOOKUP(D472,products!$A$1:$A$49,products!$B$1:$B$49,0)</f>
        <v>Ara</v>
      </c>
      <c r="J472" t="str">
        <f>_xlfn.XLOOKUP('data cleaned'!D472,products!$A$1:$A$49,products!$C$1:$C$49,0)</f>
        <v>M</v>
      </c>
      <c r="K472" s="5">
        <f>_xlfn.XLOOKUP('data cleaned'!D472,products!$A$1:$A$49,products!$D$1:$D$49,0)</f>
        <v>0.5</v>
      </c>
      <c r="L472" s="6">
        <f>_xlfn.XLOOKUP('data cleaned'!D472,products!$A$1:$A$49,products!$E$1:$E$49,0)</f>
        <v>6.75</v>
      </c>
      <c r="M472" s="6">
        <f>'data cleaned'!E472*'data cleaned'!L472</f>
        <v>6.75</v>
      </c>
      <c r="N472" t="str">
        <f t="shared" si="14"/>
        <v>Arabica</v>
      </c>
      <c r="O472" t="str">
        <f t="shared" si="15"/>
        <v>Medium</v>
      </c>
      <c r="P472" t="str">
        <f>_xlfn.XLOOKUP(worksheet[[#This Row],[Customer ID]],customers!$A$1:$A$1001,customers!$I$1:$I$1001,0)</f>
        <v>Yes</v>
      </c>
    </row>
    <row r="473" spans="1:16" x14ac:dyDescent="0.25">
      <c r="A473" s="2" t="s">
        <v>3153</v>
      </c>
      <c r="B473" s="4">
        <v>44644</v>
      </c>
      <c r="C473" s="2" t="s">
        <v>3154</v>
      </c>
      <c r="D473" t="s">
        <v>6181</v>
      </c>
      <c r="E473" s="2">
        <v>4</v>
      </c>
      <c r="F473" s="2" t="str">
        <f>_xlfn.XLOOKUP(C473,customers!$A$1:$A$1001,customers!$B$1:$B$1001,0)</f>
        <v>Lamond Gheeraert</v>
      </c>
      <c r="G473" s="2" t="s">
        <v>6222</v>
      </c>
      <c r="H473" s="2" t="str">
        <f>_xlfn.XLOOKUP(C473,customers!$A$1:$A$1001,customers!$G$1:$G$1001,0)</f>
        <v>United States</v>
      </c>
      <c r="I473" t="str">
        <f>_xlfn.XLOOKUP(D473,products!$A$1:$A$49,products!$B$1:$B$49,0)</f>
        <v>Lib</v>
      </c>
      <c r="J473" t="str">
        <f>_xlfn.XLOOKUP('data cleaned'!D473,products!$A$1:$A$49,products!$C$1:$C$49,0)</f>
        <v>M</v>
      </c>
      <c r="K473" s="5">
        <f>_xlfn.XLOOKUP('data cleaned'!D473,products!$A$1:$A$49,products!$D$1:$D$49,0)</f>
        <v>2.5</v>
      </c>
      <c r="L473" s="6">
        <f>_xlfn.XLOOKUP('data cleaned'!D473,products!$A$1:$A$49,products!$E$1:$E$49,0)</f>
        <v>33.464999999999996</v>
      </c>
      <c r="M473" s="6">
        <f>'data cleaned'!E473*'data cleaned'!L473</f>
        <v>133.85999999999999</v>
      </c>
      <c r="N473" t="str">
        <f t="shared" si="14"/>
        <v>Liberica</v>
      </c>
      <c r="O473" t="str">
        <f t="shared" si="15"/>
        <v>Medium</v>
      </c>
      <c r="P473" t="str">
        <f>_xlfn.XLOOKUP(worksheet[[#This Row],[Customer ID]],customers!$A$1:$A$1001,customers!$I$1:$I$1001,0)</f>
        <v>Yes</v>
      </c>
    </row>
    <row r="474" spans="1:16" x14ac:dyDescent="0.25">
      <c r="A474" s="2" t="s">
        <v>3158</v>
      </c>
      <c r="B474" s="4">
        <v>43869</v>
      </c>
      <c r="C474" s="2" t="s">
        <v>3159</v>
      </c>
      <c r="D474" t="s">
        <v>6154</v>
      </c>
      <c r="E474" s="2">
        <v>2</v>
      </c>
      <c r="F474" s="2" t="str">
        <f>_xlfn.XLOOKUP(C474,customers!$A$1:$A$1001,customers!$B$1:$B$1001,0)</f>
        <v>Roxine Drivers</v>
      </c>
      <c r="G474" s="2" t="s">
        <v>3161</v>
      </c>
      <c r="H474" s="2" t="str">
        <f>_xlfn.XLOOKUP(C474,customers!$A$1:$A$1001,customers!$G$1:$G$1001,0)</f>
        <v>United States</v>
      </c>
      <c r="I474" t="str">
        <f>_xlfn.XLOOKUP(D474,products!$A$1:$A$49,products!$B$1:$B$49,0)</f>
        <v>Ara</v>
      </c>
      <c r="J474" t="str">
        <f>_xlfn.XLOOKUP('data cleaned'!D474,products!$A$1:$A$49,products!$C$1:$C$49,0)</f>
        <v>D</v>
      </c>
      <c r="K474" s="5">
        <f>_xlfn.XLOOKUP('data cleaned'!D474,products!$A$1:$A$49,products!$D$1:$D$49,0)</f>
        <v>0.2</v>
      </c>
      <c r="L474" s="6">
        <f>_xlfn.XLOOKUP('data cleaned'!D474,products!$A$1:$A$49,products!$E$1:$E$49,0)</f>
        <v>2.9849999999999999</v>
      </c>
      <c r="M474" s="6">
        <f>'data cleaned'!E474*'data cleaned'!L474</f>
        <v>5.97</v>
      </c>
      <c r="N474" t="str">
        <f t="shared" si="14"/>
        <v>Arabica</v>
      </c>
      <c r="O474" t="str">
        <f t="shared" si="15"/>
        <v>Dark</v>
      </c>
      <c r="P474" t="str">
        <f>_xlfn.XLOOKUP(worksheet[[#This Row],[Customer ID]],customers!$A$1:$A$1001,customers!$I$1:$I$1001,0)</f>
        <v>No</v>
      </c>
    </row>
    <row r="475" spans="1:16" x14ac:dyDescent="0.25">
      <c r="A475" s="2" t="s">
        <v>3164</v>
      </c>
      <c r="B475" s="4">
        <v>44603</v>
      </c>
      <c r="C475" s="2" t="s">
        <v>3165</v>
      </c>
      <c r="D475" t="s">
        <v>6140</v>
      </c>
      <c r="E475" s="2">
        <v>2</v>
      </c>
      <c r="F475" s="2" t="str">
        <f>_xlfn.XLOOKUP(C475,customers!$A$1:$A$1001,customers!$B$1:$B$1001,0)</f>
        <v>Heloise Zeal</v>
      </c>
      <c r="G475" s="2" t="s">
        <v>3167</v>
      </c>
      <c r="H475" s="2" t="str">
        <f>_xlfn.XLOOKUP(C475,customers!$A$1:$A$1001,customers!$G$1:$G$1001,0)</f>
        <v>United States</v>
      </c>
      <c r="I475" t="str">
        <f>_xlfn.XLOOKUP(D475,products!$A$1:$A$49,products!$B$1:$B$49,0)</f>
        <v>Ara</v>
      </c>
      <c r="J475" t="str">
        <f>_xlfn.XLOOKUP('data cleaned'!D475,products!$A$1:$A$49,products!$C$1:$C$49,0)</f>
        <v>L</v>
      </c>
      <c r="K475" s="5">
        <f>_xlfn.XLOOKUP('data cleaned'!D475,products!$A$1:$A$49,products!$D$1:$D$49,0)</f>
        <v>1</v>
      </c>
      <c r="L475" s="6">
        <f>_xlfn.XLOOKUP('data cleaned'!D475,products!$A$1:$A$49,products!$E$1:$E$49,0)</f>
        <v>12.95</v>
      </c>
      <c r="M475" s="6">
        <f>'data cleaned'!E475*'data cleaned'!L475</f>
        <v>25.9</v>
      </c>
      <c r="N475" t="str">
        <f t="shared" si="14"/>
        <v>Arabica</v>
      </c>
      <c r="O475" t="str">
        <f t="shared" si="15"/>
        <v>Light</v>
      </c>
      <c r="P475" t="str">
        <f>_xlfn.XLOOKUP(worksheet[[#This Row],[Customer ID]],customers!$A$1:$A$1001,customers!$I$1:$I$1001,0)</f>
        <v>No</v>
      </c>
    </row>
    <row r="476" spans="1:16" x14ac:dyDescent="0.25">
      <c r="A476" s="2" t="s">
        <v>3170</v>
      </c>
      <c r="B476" s="4">
        <v>44014</v>
      </c>
      <c r="C476" s="2" t="s">
        <v>3171</v>
      </c>
      <c r="D476" t="s">
        <v>6166</v>
      </c>
      <c r="E476" s="2">
        <v>1</v>
      </c>
      <c r="F476" s="2" t="str">
        <f>_xlfn.XLOOKUP(C476,customers!$A$1:$A$1001,customers!$B$1:$B$1001,0)</f>
        <v>Granger Smallcombe</v>
      </c>
      <c r="G476" s="2" t="s">
        <v>3173</v>
      </c>
      <c r="H476" s="2" t="str">
        <f>_xlfn.XLOOKUP(C476,customers!$A$1:$A$1001,customers!$G$1:$G$1001,0)</f>
        <v>Ireland</v>
      </c>
      <c r="I476" t="str">
        <f>_xlfn.XLOOKUP(D476,products!$A$1:$A$49,products!$B$1:$B$49,0)</f>
        <v>Exc</v>
      </c>
      <c r="J476" t="str">
        <f>_xlfn.XLOOKUP('data cleaned'!D476,products!$A$1:$A$49,products!$C$1:$C$49,0)</f>
        <v>M</v>
      </c>
      <c r="K476" s="5">
        <f>_xlfn.XLOOKUP('data cleaned'!D476,products!$A$1:$A$49,products!$D$1:$D$49,0)</f>
        <v>2.5</v>
      </c>
      <c r="L476" s="6">
        <f>_xlfn.XLOOKUP('data cleaned'!D476,products!$A$1:$A$49,products!$E$1:$E$49,0)</f>
        <v>31.624999999999996</v>
      </c>
      <c r="M476" s="6">
        <f>'data cleaned'!E476*'data cleaned'!L476</f>
        <v>31.624999999999996</v>
      </c>
      <c r="N476" t="str">
        <f t="shared" si="14"/>
        <v>Excelsa</v>
      </c>
      <c r="O476" t="str">
        <f t="shared" si="15"/>
        <v>Medium</v>
      </c>
      <c r="P476" t="str">
        <f>_xlfn.XLOOKUP(worksheet[[#This Row],[Customer ID]],customers!$A$1:$A$1001,customers!$I$1:$I$1001,0)</f>
        <v>Yes</v>
      </c>
    </row>
    <row r="477" spans="1:16" x14ac:dyDescent="0.25">
      <c r="A477" s="2" t="s">
        <v>3176</v>
      </c>
      <c r="B477" s="4">
        <v>44767</v>
      </c>
      <c r="C477" s="2" t="s">
        <v>3177</v>
      </c>
      <c r="D477" t="s">
        <v>6159</v>
      </c>
      <c r="E477" s="2">
        <v>2</v>
      </c>
      <c r="F477" s="2" t="str">
        <f>_xlfn.XLOOKUP(C477,customers!$A$1:$A$1001,customers!$B$1:$B$1001,0)</f>
        <v>Daryn Dibley</v>
      </c>
      <c r="G477" s="2" t="s">
        <v>3179</v>
      </c>
      <c r="H477" s="2" t="str">
        <f>_xlfn.XLOOKUP(C477,customers!$A$1:$A$1001,customers!$G$1:$G$1001,0)</f>
        <v>United States</v>
      </c>
      <c r="I477" t="str">
        <f>_xlfn.XLOOKUP(D477,products!$A$1:$A$49,products!$B$1:$B$49,0)</f>
        <v>Lib</v>
      </c>
      <c r="J477" t="str">
        <f>_xlfn.XLOOKUP('data cleaned'!D477,products!$A$1:$A$49,products!$C$1:$C$49,0)</f>
        <v>M</v>
      </c>
      <c r="K477" s="5">
        <f>_xlfn.XLOOKUP('data cleaned'!D477,products!$A$1:$A$49,products!$D$1:$D$49,0)</f>
        <v>0.2</v>
      </c>
      <c r="L477" s="6">
        <f>_xlfn.XLOOKUP('data cleaned'!D477,products!$A$1:$A$49,products!$E$1:$E$49,0)</f>
        <v>4.3650000000000002</v>
      </c>
      <c r="M477" s="6">
        <f>'data cleaned'!E477*'data cleaned'!L477</f>
        <v>8.73</v>
      </c>
      <c r="N477" t="str">
        <f t="shared" si="14"/>
        <v>Liberica</v>
      </c>
      <c r="O477" t="str">
        <f t="shared" si="15"/>
        <v>Medium</v>
      </c>
      <c r="P477" t="str">
        <f>_xlfn.XLOOKUP(worksheet[[#This Row],[Customer ID]],customers!$A$1:$A$1001,customers!$I$1:$I$1001,0)</f>
        <v>No</v>
      </c>
    </row>
    <row r="478" spans="1:16" x14ac:dyDescent="0.25">
      <c r="A478" s="2" t="s">
        <v>3181</v>
      </c>
      <c r="B478" s="4">
        <v>44274</v>
      </c>
      <c r="C478" s="2" t="s">
        <v>3182</v>
      </c>
      <c r="D478" t="s">
        <v>6184</v>
      </c>
      <c r="E478" s="2">
        <v>6</v>
      </c>
      <c r="F478" s="2" t="str">
        <f>_xlfn.XLOOKUP(C478,customers!$A$1:$A$1001,customers!$B$1:$B$1001,0)</f>
        <v>Gardy Dimitriou</v>
      </c>
      <c r="G478" s="2" t="s">
        <v>3184</v>
      </c>
      <c r="H478" s="2" t="str">
        <f>_xlfn.XLOOKUP(C478,customers!$A$1:$A$1001,customers!$G$1:$G$1001,0)</f>
        <v>United States</v>
      </c>
      <c r="I478" t="str">
        <f>_xlfn.XLOOKUP(D478,products!$A$1:$A$49,products!$B$1:$B$49,0)</f>
        <v>Exc</v>
      </c>
      <c r="J478" t="str">
        <f>_xlfn.XLOOKUP('data cleaned'!D478,products!$A$1:$A$49,products!$C$1:$C$49,0)</f>
        <v>L</v>
      </c>
      <c r="K478" s="5">
        <f>_xlfn.XLOOKUP('data cleaned'!D478,products!$A$1:$A$49,products!$D$1:$D$49,0)</f>
        <v>0.2</v>
      </c>
      <c r="L478" s="6">
        <f>_xlfn.XLOOKUP('data cleaned'!D478,products!$A$1:$A$49,products!$E$1:$E$49,0)</f>
        <v>4.4550000000000001</v>
      </c>
      <c r="M478" s="6">
        <f>'data cleaned'!E478*'data cleaned'!L478</f>
        <v>26.73</v>
      </c>
      <c r="N478" t="str">
        <f t="shared" si="14"/>
        <v>Excelsa</v>
      </c>
      <c r="O478" t="str">
        <f t="shared" si="15"/>
        <v>Light</v>
      </c>
      <c r="P478" t="str">
        <f>_xlfn.XLOOKUP(worksheet[[#This Row],[Customer ID]],customers!$A$1:$A$1001,customers!$I$1:$I$1001,0)</f>
        <v>Yes</v>
      </c>
    </row>
    <row r="479" spans="1:16" x14ac:dyDescent="0.25">
      <c r="A479" s="2" t="s">
        <v>3187</v>
      </c>
      <c r="B479" s="4">
        <v>43962</v>
      </c>
      <c r="C479" s="2" t="s">
        <v>3188</v>
      </c>
      <c r="D479" t="s">
        <v>6159</v>
      </c>
      <c r="E479" s="2">
        <v>6</v>
      </c>
      <c r="F479" s="2" t="str">
        <f>_xlfn.XLOOKUP(C479,customers!$A$1:$A$1001,customers!$B$1:$B$1001,0)</f>
        <v>Fanny Flanagan</v>
      </c>
      <c r="G479" s="2" t="s">
        <v>3190</v>
      </c>
      <c r="H479" s="2" t="str">
        <f>_xlfn.XLOOKUP(C479,customers!$A$1:$A$1001,customers!$G$1:$G$1001,0)</f>
        <v>United States</v>
      </c>
      <c r="I479" t="str">
        <f>_xlfn.XLOOKUP(D479,products!$A$1:$A$49,products!$B$1:$B$49,0)</f>
        <v>Lib</v>
      </c>
      <c r="J479" t="str">
        <f>_xlfn.XLOOKUP('data cleaned'!D479,products!$A$1:$A$49,products!$C$1:$C$49,0)</f>
        <v>M</v>
      </c>
      <c r="K479" s="5">
        <f>_xlfn.XLOOKUP('data cleaned'!D479,products!$A$1:$A$49,products!$D$1:$D$49,0)</f>
        <v>0.2</v>
      </c>
      <c r="L479" s="6">
        <f>_xlfn.XLOOKUP('data cleaned'!D479,products!$A$1:$A$49,products!$E$1:$E$49,0)</f>
        <v>4.3650000000000002</v>
      </c>
      <c r="M479" s="6">
        <f>'data cleaned'!E479*'data cleaned'!L479</f>
        <v>26.19</v>
      </c>
      <c r="N479" t="str">
        <f t="shared" si="14"/>
        <v>Liberica</v>
      </c>
      <c r="O479" t="str">
        <f t="shared" si="15"/>
        <v>Medium</v>
      </c>
      <c r="P479" t="str">
        <f>_xlfn.XLOOKUP(worksheet[[#This Row],[Customer ID]],customers!$A$1:$A$1001,customers!$I$1:$I$1001,0)</f>
        <v>No</v>
      </c>
    </row>
    <row r="480" spans="1:16" x14ac:dyDescent="0.25">
      <c r="A480" s="2" t="s">
        <v>3193</v>
      </c>
      <c r="B480" s="4">
        <v>43624</v>
      </c>
      <c r="C480" s="2" t="s">
        <v>3194</v>
      </c>
      <c r="D480" t="s">
        <v>6177</v>
      </c>
      <c r="E480" s="2">
        <v>6</v>
      </c>
      <c r="F480" s="2" t="str">
        <f>_xlfn.XLOOKUP(C480,customers!$A$1:$A$1001,customers!$B$1:$B$1001,0)</f>
        <v>Ailey Brash</v>
      </c>
      <c r="G480" s="2" t="s">
        <v>3196</v>
      </c>
      <c r="H480" s="2" t="str">
        <f>_xlfn.XLOOKUP(C480,customers!$A$1:$A$1001,customers!$G$1:$G$1001,0)</f>
        <v>United States</v>
      </c>
      <c r="I480" t="str">
        <f>_xlfn.XLOOKUP(D480,products!$A$1:$A$49,products!$B$1:$B$49,0)</f>
        <v>Rob</v>
      </c>
      <c r="J480" t="str">
        <f>_xlfn.XLOOKUP('data cleaned'!D480,products!$A$1:$A$49,products!$C$1:$C$49,0)</f>
        <v>D</v>
      </c>
      <c r="K480" s="5">
        <f>_xlfn.XLOOKUP('data cleaned'!D480,products!$A$1:$A$49,products!$D$1:$D$49,0)</f>
        <v>1</v>
      </c>
      <c r="L480" s="6">
        <f>_xlfn.XLOOKUP('data cleaned'!D480,products!$A$1:$A$49,products!$E$1:$E$49,0)</f>
        <v>8.9499999999999993</v>
      </c>
      <c r="M480" s="6">
        <f>'data cleaned'!E480*'data cleaned'!L480</f>
        <v>53.699999999999996</v>
      </c>
      <c r="N480" t="str">
        <f t="shared" si="14"/>
        <v>Robusta</v>
      </c>
      <c r="O480" t="str">
        <f t="shared" si="15"/>
        <v>Dark</v>
      </c>
      <c r="P480" t="str">
        <f>_xlfn.XLOOKUP(worksheet[[#This Row],[Customer ID]],customers!$A$1:$A$1001,customers!$I$1:$I$1001,0)</f>
        <v>Yes</v>
      </c>
    </row>
    <row r="481" spans="1:16" x14ac:dyDescent="0.25">
      <c r="A481" s="2" t="s">
        <v>3193</v>
      </c>
      <c r="B481" s="4">
        <v>43624</v>
      </c>
      <c r="C481" s="2" t="s">
        <v>3194</v>
      </c>
      <c r="D481" t="s">
        <v>6166</v>
      </c>
      <c r="E481" s="2">
        <v>4</v>
      </c>
      <c r="F481" s="2" t="str">
        <f>_xlfn.XLOOKUP(C481,customers!$A$1:$A$1001,customers!$B$1:$B$1001,0)</f>
        <v>Ailey Brash</v>
      </c>
      <c r="G481" s="2" t="s">
        <v>3196</v>
      </c>
      <c r="H481" s="2" t="str">
        <f>_xlfn.XLOOKUP(C481,customers!$A$1:$A$1001,customers!$G$1:$G$1001,0)</f>
        <v>United States</v>
      </c>
      <c r="I481" t="str">
        <f>_xlfn.XLOOKUP(D481,products!$A$1:$A$49,products!$B$1:$B$49,0)</f>
        <v>Exc</v>
      </c>
      <c r="J481" t="str">
        <f>_xlfn.XLOOKUP('data cleaned'!D481,products!$A$1:$A$49,products!$C$1:$C$49,0)</f>
        <v>M</v>
      </c>
      <c r="K481" s="5">
        <f>_xlfn.XLOOKUP('data cleaned'!D481,products!$A$1:$A$49,products!$D$1:$D$49,0)</f>
        <v>2.5</v>
      </c>
      <c r="L481" s="6">
        <f>_xlfn.XLOOKUP('data cleaned'!D481,products!$A$1:$A$49,products!$E$1:$E$49,0)</f>
        <v>31.624999999999996</v>
      </c>
      <c r="M481" s="6">
        <f>'data cleaned'!E481*'data cleaned'!L481</f>
        <v>126.49999999999999</v>
      </c>
      <c r="N481" t="str">
        <f t="shared" si="14"/>
        <v>Excelsa</v>
      </c>
      <c r="O481" t="str">
        <f t="shared" si="15"/>
        <v>Medium</v>
      </c>
      <c r="P481" t="str">
        <f>_xlfn.XLOOKUP(worksheet[[#This Row],[Customer ID]],customers!$A$1:$A$1001,customers!$I$1:$I$1001,0)</f>
        <v>Yes</v>
      </c>
    </row>
    <row r="482" spans="1:16" x14ac:dyDescent="0.25">
      <c r="A482" s="2" t="s">
        <v>3193</v>
      </c>
      <c r="B482" s="4">
        <v>43624</v>
      </c>
      <c r="C482" s="2" t="s">
        <v>3194</v>
      </c>
      <c r="D482" t="s">
        <v>6156</v>
      </c>
      <c r="E482" s="2">
        <v>1</v>
      </c>
      <c r="F482" s="2" t="str">
        <f>_xlfn.XLOOKUP(C482,customers!$A$1:$A$1001,customers!$B$1:$B$1001,0)</f>
        <v>Ailey Brash</v>
      </c>
      <c r="G482" s="2" t="s">
        <v>3196</v>
      </c>
      <c r="H482" s="2" t="str">
        <f>_xlfn.XLOOKUP(C482,customers!$A$1:$A$1001,customers!$G$1:$G$1001,0)</f>
        <v>United States</v>
      </c>
      <c r="I482" t="str">
        <f>_xlfn.XLOOKUP(D482,products!$A$1:$A$49,products!$B$1:$B$49,0)</f>
        <v>Exc</v>
      </c>
      <c r="J482" t="str">
        <f>_xlfn.XLOOKUP('data cleaned'!D482,products!$A$1:$A$49,products!$C$1:$C$49,0)</f>
        <v>M</v>
      </c>
      <c r="K482" s="5">
        <f>_xlfn.XLOOKUP('data cleaned'!D482,products!$A$1:$A$49,products!$D$1:$D$49,0)</f>
        <v>0.2</v>
      </c>
      <c r="L482" s="6">
        <f>_xlfn.XLOOKUP('data cleaned'!D482,products!$A$1:$A$49,products!$E$1:$E$49,0)</f>
        <v>4.125</v>
      </c>
      <c r="M482" s="6">
        <f>'data cleaned'!E482*'data cleaned'!L482</f>
        <v>4.125</v>
      </c>
      <c r="N482" t="str">
        <f t="shared" si="14"/>
        <v>Excelsa</v>
      </c>
      <c r="O482" t="str">
        <f t="shared" si="15"/>
        <v>Medium</v>
      </c>
      <c r="P482" t="str">
        <f>_xlfn.XLOOKUP(worksheet[[#This Row],[Customer ID]],customers!$A$1:$A$1001,customers!$I$1:$I$1001,0)</f>
        <v>Yes</v>
      </c>
    </row>
    <row r="483" spans="1:16" x14ac:dyDescent="0.25">
      <c r="A483" s="2" t="s">
        <v>3208</v>
      </c>
      <c r="B483" s="4">
        <v>43747</v>
      </c>
      <c r="C483" s="2" t="s">
        <v>3209</v>
      </c>
      <c r="D483" t="s">
        <v>6179</v>
      </c>
      <c r="E483" s="2">
        <v>2</v>
      </c>
      <c r="F483" s="2" t="str">
        <f>_xlfn.XLOOKUP(C483,customers!$A$1:$A$1001,customers!$B$1:$B$1001,0)</f>
        <v>Nanny Izhakov</v>
      </c>
      <c r="G483" s="2" t="s">
        <v>3211</v>
      </c>
      <c r="H483" s="2" t="str">
        <f>_xlfn.XLOOKUP(C483,customers!$A$1:$A$1001,customers!$G$1:$G$1001,0)</f>
        <v>United Kingdom</v>
      </c>
      <c r="I483" t="str">
        <f>_xlfn.XLOOKUP(D483,products!$A$1:$A$49,products!$B$1:$B$49,0)</f>
        <v>Rob</v>
      </c>
      <c r="J483" t="str">
        <f>_xlfn.XLOOKUP('data cleaned'!D483,products!$A$1:$A$49,products!$C$1:$C$49,0)</f>
        <v>L</v>
      </c>
      <c r="K483" s="5">
        <f>_xlfn.XLOOKUP('data cleaned'!D483,products!$A$1:$A$49,products!$D$1:$D$49,0)</f>
        <v>1</v>
      </c>
      <c r="L483" s="6">
        <f>_xlfn.XLOOKUP('data cleaned'!D483,products!$A$1:$A$49,products!$E$1:$E$49,0)</f>
        <v>11.95</v>
      </c>
      <c r="M483" s="6">
        <f>'data cleaned'!E483*'data cleaned'!L483</f>
        <v>23.9</v>
      </c>
      <c r="N483" t="str">
        <f t="shared" si="14"/>
        <v>Robusta</v>
      </c>
      <c r="O483" t="str">
        <f t="shared" si="15"/>
        <v>Light</v>
      </c>
      <c r="P483" t="str">
        <f>_xlfn.XLOOKUP(worksheet[[#This Row],[Customer ID]],customers!$A$1:$A$1001,customers!$I$1:$I$1001,0)</f>
        <v>No</v>
      </c>
    </row>
    <row r="484" spans="1:16" x14ac:dyDescent="0.25">
      <c r="A484" s="2" t="s">
        <v>3214</v>
      </c>
      <c r="B484" s="4">
        <v>44247</v>
      </c>
      <c r="C484" s="2" t="s">
        <v>3215</v>
      </c>
      <c r="D484" t="s">
        <v>6185</v>
      </c>
      <c r="E484" s="2">
        <v>5</v>
      </c>
      <c r="F484" s="2" t="str">
        <f>_xlfn.XLOOKUP(C484,customers!$A$1:$A$1001,customers!$B$1:$B$1001,0)</f>
        <v>Stanly Keets</v>
      </c>
      <c r="G484" s="2" t="s">
        <v>3217</v>
      </c>
      <c r="H484" s="2" t="str">
        <f>_xlfn.XLOOKUP(C484,customers!$A$1:$A$1001,customers!$G$1:$G$1001,0)</f>
        <v>United States</v>
      </c>
      <c r="I484" t="str">
        <f>_xlfn.XLOOKUP(D484,products!$A$1:$A$49,products!$B$1:$B$49,0)</f>
        <v>Exc</v>
      </c>
      <c r="J484" t="str">
        <f>_xlfn.XLOOKUP('data cleaned'!D484,products!$A$1:$A$49,products!$C$1:$C$49,0)</f>
        <v>D</v>
      </c>
      <c r="K484" s="5">
        <f>_xlfn.XLOOKUP('data cleaned'!D484,products!$A$1:$A$49,products!$D$1:$D$49,0)</f>
        <v>2.5</v>
      </c>
      <c r="L484" s="6">
        <f>_xlfn.XLOOKUP('data cleaned'!D484,products!$A$1:$A$49,products!$E$1:$E$49,0)</f>
        <v>27.945</v>
      </c>
      <c r="M484" s="6">
        <f>'data cleaned'!E484*'data cleaned'!L484</f>
        <v>139.72499999999999</v>
      </c>
      <c r="N484" t="str">
        <f t="shared" si="14"/>
        <v>Excelsa</v>
      </c>
      <c r="O484" t="str">
        <f t="shared" si="15"/>
        <v>Dark</v>
      </c>
      <c r="P484" t="str">
        <f>_xlfn.XLOOKUP(worksheet[[#This Row],[Customer ID]],customers!$A$1:$A$1001,customers!$I$1:$I$1001,0)</f>
        <v>Yes</v>
      </c>
    </row>
    <row r="485" spans="1:16" x14ac:dyDescent="0.25">
      <c r="A485" s="2" t="s">
        <v>3220</v>
      </c>
      <c r="B485" s="4">
        <v>43790</v>
      </c>
      <c r="C485" s="2" t="s">
        <v>3221</v>
      </c>
      <c r="D485" t="s">
        <v>6165</v>
      </c>
      <c r="E485" s="2">
        <v>2</v>
      </c>
      <c r="F485" s="2" t="str">
        <f>_xlfn.XLOOKUP(C485,customers!$A$1:$A$1001,customers!$B$1:$B$1001,0)</f>
        <v>Orion Dyott</v>
      </c>
      <c r="G485" s="2" t="s">
        <v>6222</v>
      </c>
      <c r="H485" s="2" t="str">
        <f>_xlfn.XLOOKUP(C485,customers!$A$1:$A$1001,customers!$G$1:$G$1001,0)</f>
        <v>United States</v>
      </c>
      <c r="I485" t="str">
        <f>_xlfn.XLOOKUP(D485,products!$A$1:$A$49,products!$B$1:$B$49,0)</f>
        <v>Lib</v>
      </c>
      <c r="J485" t="str">
        <f>_xlfn.XLOOKUP('data cleaned'!D485,products!$A$1:$A$49,products!$C$1:$C$49,0)</f>
        <v>D</v>
      </c>
      <c r="K485" s="5">
        <f>_xlfn.XLOOKUP('data cleaned'!D485,products!$A$1:$A$49,products!$D$1:$D$49,0)</f>
        <v>2.5</v>
      </c>
      <c r="L485" s="6">
        <f>_xlfn.XLOOKUP('data cleaned'!D485,products!$A$1:$A$49,products!$E$1:$E$49,0)</f>
        <v>29.784999999999997</v>
      </c>
      <c r="M485" s="6">
        <f>'data cleaned'!E485*'data cleaned'!L485</f>
        <v>59.569999999999993</v>
      </c>
      <c r="N485" t="str">
        <f t="shared" si="14"/>
        <v>Liberica</v>
      </c>
      <c r="O485" t="str">
        <f t="shared" si="15"/>
        <v>Dark</v>
      </c>
      <c r="P485" t="str">
        <f>_xlfn.XLOOKUP(worksheet[[#This Row],[Customer ID]],customers!$A$1:$A$1001,customers!$I$1:$I$1001,0)</f>
        <v>Yes</v>
      </c>
    </row>
    <row r="486" spans="1:16" x14ac:dyDescent="0.25">
      <c r="A486" s="2" t="s">
        <v>3225</v>
      </c>
      <c r="B486" s="4">
        <v>44479</v>
      </c>
      <c r="C486" s="2" t="s">
        <v>3226</v>
      </c>
      <c r="D486" t="s">
        <v>6161</v>
      </c>
      <c r="E486" s="2">
        <v>6</v>
      </c>
      <c r="F486" s="2" t="str">
        <f>_xlfn.XLOOKUP(C486,customers!$A$1:$A$1001,customers!$B$1:$B$1001,0)</f>
        <v>Keefer Cake</v>
      </c>
      <c r="G486" s="2" t="s">
        <v>3228</v>
      </c>
      <c r="H486" s="2" t="str">
        <f>_xlfn.XLOOKUP(C486,customers!$A$1:$A$1001,customers!$G$1:$G$1001,0)</f>
        <v>United States</v>
      </c>
      <c r="I486" t="str">
        <f>_xlfn.XLOOKUP(D486,products!$A$1:$A$49,products!$B$1:$B$49,0)</f>
        <v>Lib</v>
      </c>
      <c r="J486" t="str">
        <f>_xlfn.XLOOKUP('data cleaned'!D486,products!$A$1:$A$49,products!$C$1:$C$49,0)</f>
        <v>L</v>
      </c>
      <c r="K486" s="5">
        <f>_xlfn.XLOOKUP('data cleaned'!D486,products!$A$1:$A$49,products!$D$1:$D$49,0)</f>
        <v>0.5</v>
      </c>
      <c r="L486" s="6">
        <f>_xlfn.XLOOKUP('data cleaned'!D486,products!$A$1:$A$49,products!$E$1:$E$49,0)</f>
        <v>9.51</v>
      </c>
      <c r="M486" s="6">
        <f>'data cleaned'!E486*'data cleaned'!L486</f>
        <v>57.06</v>
      </c>
      <c r="N486" t="str">
        <f t="shared" si="14"/>
        <v>Liberica</v>
      </c>
      <c r="O486" t="str">
        <f t="shared" si="15"/>
        <v>Light</v>
      </c>
      <c r="P486" t="str">
        <f>_xlfn.XLOOKUP(worksheet[[#This Row],[Customer ID]],customers!$A$1:$A$1001,customers!$I$1:$I$1001,0)</f>
        <v>No</v>
      </c>
    </row>
    <row r="487" spans="1:16" x14ac:dyDescent="0.25">
      <c r="A487" s="2" t="s">
        <v>3230</v>
      </c>
      <c r="B487" s="4">
        <v>44413</v>
      </c>
      <c r="C487" s="2" t="s">
        <v>3231</v>
      </c>
      <c r="D487" t="s">
        <v>6178</v>
      </c>
      <c r="E487" s="2">
        <v>6</v>
      </c>
      <c r="F487" s="2" t="str">
        <f>_xlfn.XLOOKUP(C487,customers!$A$1:$A$1001,customers!$B$1:$B$1001,0)</f>
        <v>Morna Hansed</v>
      </c>
      <c r="G487" s="2" t="s">
        <v>3233</v>
      </c>
      <c r="H487" s="2" t="str">
        <f>_xlfn.XLOOKUP(C487,customers!$A$1:$A$1001,customers!$G$1:$G$1001,0)</f>
        <v>Ireland</v>
      </c>
      <c r="I487" t="str">
        <f>_xlfn.XLOOKUP(D487,products!$A$1:$A$49,products!$B$1:$B$49,0)</f>
        <v>Rob</v>
      </c>
      <c r="J487" t="str">
        <f>_xlfn.XLOOKUP('data cleaned'!D487,products!$A$1:$A$49,products!$C$1:$C$49,0)</f>
        <v>L</v>
      </c>
      <c r="K487" s="5">
        <f>_xlfn.XLOOKUP('data cleaned'!D487,products!$A$1:$A$49,products!$D$1:$D$49,0)</f>
        <v>0.2</v>
      </c>
      <c r="L487" s="6">
        <f>_xlfn.XLOOKUP('data cleaned'!D487,products!$A$1:$A$49,products!$E$1:$E$49,0)</f>
        <v>3.5849999999999995</v>
      </c>
      <c r="M487" s="6">
        <f>'data cleaned'!E487*'data cleaned'!L487</f>
        <v>21.509999999999998</v>
      </c>
      <c r="N487" t="str">
        <f t="shared" si="14"/>
        <v>Robusta</v>
      </c>
      <c r="O487" t="str">
        <f t="shared" si="15"/>
        <v>Light</v>
      </c>
      <c r="P487" t="str">
        <f>_xlfn.XLOOKUP(worksheet[[#This Row],[Customer ID]],customers!$A$1:$A$1001,customers!$I$1:$I$1001,0)</f>
        <v>Yes</v>
      </c>
    </row>
    <row r="488" spans="1:16" x14ac:dyDescent="0.25">
      <c r="A488" s="2" t="s">
        <v>3236</v>
      </c>
      <c r="B488" s="4">
        <v>44043</v>
      </c>
      <c r="C488" s="2" t="s">
        <v>3237</v>
      </c>
      <c r="D488" t="s">
        <v>6160</v>
      </c>
      <c r="E488" s="2">
        <v>6</v>
      </c>
      <c r="F488" s="2" t="str">
        <f>_xlfn.XLOOKUP(C488,customers!$A$1:$A$1001,customers!$B$1:$B$1001,0)</f>
        <v>Franny Kienlein</v>
      </c>
      <c r="G488" s="2" t="s">
        <v>3239</v>
      </c>
      <c r="H488" s="2" t="str">
        <f>_xlfn.XLOOKUP(C488,customers!$A$1:$A$1001,customers!$G$1:$G$1001,0)</f>
        <v>Ireland</v>
      </c>
      <c r="I488" t="str">
        <f>_xlfn.XLOOKUP(D488,products!$A$1:$A$49,products!$B$1:$B$49,0)</f>
        <v>Lib</v>
      </c>
      <c r="J488" t="str">
        <f>_xlfn.XLOOKUP('data cleaned'!D488,products!$A$1:$A$49,products!$C$1:$C$49,0)</f>
        <v>M</v>
      </c>
      <c r="K488" s="5">
        <f>_xlfn.XLOOKUP('data cleaned'!D488,products!$A$1:$A$49,products!$D$1:$D$49,0)</f>
        <v>0.5</v>
      </c>
      <c r="L488" s="6">
        <f>_xlfn.XLOOKUP('data cleaned'!D488,products!$A$1:$A$49,products!$E$1:$E$49,0)</f>
        <v>8.73</v>
      </c>
      <c r="M488" s="6">
        <f>'data cleaned'!E488*'data cleaned'!L488</f>
        <v>52.38</v>
      </c>
      <c r="N488" t="str">
        <f t="shared" si="14"/>
        <v>Liberica</v>
      </c>
      <c r="O488" t="str">
        <f t="shared" si="15"/>
        <v>Medium</v>
      </c>
      <c r="P488" t="str">
        <f>_xlfn.XLOOKUP(worksheet[[#This Row],[Customer ID]],customers!$A$1:$A$1001,customers!$I$1:$I$1001,0)</f>
        <v>Yes</v>
      </c>
    </row>
    <row r="489" spans="1:16" x14ac:dyDescent="0.25">
      <c r="A489" s="2" t="s">
        <v>3242</v>
      </c>
      <c r="B489" s="4">
        <v>44093</v>
      </c>
      <c r="C489" s="2" t="s">
        <v>3243</v>
      </c>
      <c r="D489" t="s">
        <v>6183</v>
      </c>
      <c r="E489" s="2">
        <v>6</v>
      </c>
      <c r="F489" s="2" t="str">
        <f>_xlfn.XLOOKUP(C489,customers!$A$1:$A$1001,customers!$B$1:$B$1001,0)</f>
        <v>Klarika Egglestone</v>
      </c>
      <c r="G489" s="2" t="s">
        <v>3245</v>
      </c>
      <c r="H489" s="2" t="str">
        <f>_xlfn.XLOOKUP(C489,customers!$A$1:$A$1001,customers!$G$1:$G$1001,0)</f>
        <v>Ireland</v>
      </c>
      <c r="I489" t="str">
        <f>_xlfn.XLOOKUP(D489,products!$A$1:$A$49,products!$B$1:$B$49,0)</f>
        <v>Exc</v>
      </c>
      <c r="J489" t="str">
        <f>_xlfn.XLOOKUP('data cleaned'!D489,products!$A$1:$A$49,products!$C$1:$C$49,0)</f>
        <v>D</v>
      </c>
      <c r="K489" s="5">
        <f>_xlfn.XLOOKUP('data cleaned'!D489,products!$A$1:$A$49,products!$D$1:$D$49,0)</f>
        <v>1</v>
      </c>
      <c r="L489" s="6">
        <f>_xlfn.XLOOKUP('data cleaned'!D489,products!$A$1:$A$49,products!$E$1:$E$49,0)</f>
        <v>12.15</v>
      </c>
      <c r="M489" s="6">
        <f>'data cleaned'!E489*'data cleaned'!L489</f>
        <v>72.900000000000006</v>
      </c>
      <c r="N489" t="str">
        <f t="shared" si="14"/>
        <v>Excelsa</v>
      </c>
      <c r="O489" t="str">
        <f t="shared" si="15"/>
        <v>Dark</v>
      </c>
      <c r="P489" t="str">
        <f>_xlfn.XLOOKUP(worksheet[[#This Row],[Customer ID]],customers!$A$1:$A$1001,customers!$I$1:$I$1001,0)</f>
        <v>No</v>
      </c>
    </row>
    <row r="490" spans="1:16" x14ac:dyDescent="0.25">
      <c r="A490" s="2" t="s">
        <v>3248</v>
      </c>
      <c r="B490" s="4">
        <v>43954</v>
      </c>
      <c r="C490" s="2" t="s">
        <v>3249</v>
      </c>
      <c r="D490" t="s">
        <v>6174</v>
      </c>
      <c r="E490" s="2">
        <v>5</v>
      </c>
      <c r="F490" s="2" t="str">
        <f>_xlfn.XLOOKUP(C490,customers!$A$1:$A$1001,customers!$B$1:$B$1001,0)</f>
        <v>Becky Semkins</v>
      </c>
      <c r="G490" s="2" t="s">
        <v>3251</v>
      </c>
      <c r="H490" s="2" t="str">
        <f>_xlfn.XLOOKUP(C490,customers!$A$1:$A$1001,customers!$G$1:$G$1001,0)</f>
        <v>Ireland</v>
      </c>
      <c r="I490" t="str">
        <f>_xlfn.XLOOKUP(D490,products!$A$1:$A$49,products!$B$1:$B$49,0)</f>
        <v>Rob</v>
      </c>
      <c r="J490" t="str">
        <f>_xlfn.XLOOKUP('data cleaned'!D490,products!$A$1:$A$49,products!$C$1:$C$49,0)</f>
        <v>M</v>
      </c>
      <c r="K490" s="5">
        <f>_xlfn.XLOOKUP('data cleaned'!D490,products!$A$1:$A$49,products!$D$1:$D$49,0)</f>
        <v>0.2</v>
      </c>
      <c r="L490" s="6">
        <f>_xlfn.XLOOKUP('data cleaned'!D490,products!$A$1:$A$49,products!$E$1:$E$49,0)</f>
        <v>2.9849999999999999</v>
      </c>
      <c r="M490" s="6">
        <f>'data cleaned'!E490*'data cleaned'!L490</f>
        <v>14.924999999999999</v>
      </c>
      <c r="N490" t="str">
        <f t="shared" si="14"/>
        <v>Robusta</v>
      </c>
      <c r="O490" t="str">
        <f t="shared" si="15"/>
        <v>Medium</v>
      </c>
      <c r="P490" t="str">
        <f>_xlfn.XLOOKUP(worksheet[[#This Row],[Customer ID]],customers!$A$1:$A$1001,customers!$I$1:$I$1001,0)</f>
        <v>Yes</v>
      </c>
    </row>
    <row r="491" spans="1:16" x14ac:dyDescent="0.25">
      <c r="A491" s="2" t="s">
        <v>3254</v>
      </c>
      <c r="B491" s="4">
        <v>43654</v>
      </c>
      <c r="C491" s="2" t="s">
        <v>3255</v>
      </c>
      <c r="D491" t="s">
        <v>6170</v>
      </c>
      <c r="E491" s="2">
        <v>6</v>
      </c>
      <c r="F491" s="2" t="str">
        <f>_xlfn.XLOOKUP(C491,customers!$A$1:$A$1001,customers!$B$1:$B$1001,0)</f>
        <v>Sean Lorenzetti</v>
      </c>
      <c r="G491" s="2" t="s">
        <v>3257</v>
      </c>
      <c r="H491" s="2" t="str">
        <f>_xlfn.XLOOKUP(C491,customers!$A$1:$A$1001,customers!$G$1:$G$1001,0)</f>
        <v>United States</v>
      </c>
      <c r="I491" t="str">
        <f>_xlfn.XLOOKUP(D491,products!$A$1:$A$49,products!$B$1:$B$49,0)</f>
        <v>Lib</v>
      </c>
      <c r="J491" t="str">
        <f>_xlfn.XLOOKUP('data cleaned'!D491,products!$A$1:$A$49,products!$C$1:$C$49,0)</f>
        <v>L</v>
      </c>
      <c r="K491" s="5">
        <f>_xlfn.XLOOKUP('data cleaned'!D491,products!$A$1:$A$49,products!$D$1:$D$49,0)</f>
        <v>1</v>
      </c>
      <c r="L491" s="6">
        <f>_xlfn.XLOOKUP('data cleaned'!D491,products!$A$1:$A$49,products!$E$1:$E$49,0)</f>
        <v>15.85</v>
      </c>
      <c r="M491" s="6">
        <f>'data cleaned'!E491*'data cleaned'!L491</f>
        <v>95.1</v>
      </c>
      <c r="N491" t="str">
        <f t="shared" si="14"/>
        <v>Liberica</v>
      </c>
      <c r="O491" t="str">
        <f t="shared" si="15"/>
        <v>Light</v>
      </c>
      <c r="P491" t="str">
        <f>_xlfn.XLOOKUP(worksheet[[#This Row],[Customer ID]],customers!$A$1:$A$1001,customers!$I$1:$I$1001,0)</f>
        <v>No</v>
      </c>
    </row>
    <row r="492" spans="1:16" x14ac:dyDescent="0.25">
      <c r="A492" s="2" t="s">
        <v>3260</v>
      </c>
      <c r="B492" s="4">
        <v>43764</v>
      </c>
      <c r="C492" s="2" t="s">
        <v>3261</v>
      </c>
      <c r="D492" t="s">
        <v>6169</v>
      </c>
      <c r="E492" s="2">
        <v>2</v>
      </c>
      <c r="F492" s="2" t="str">
        <f>_xlfn.XLOOKUP(C492,customers!$A$1:$A$1001,customers!$B$1:$B$1001,0)</f>
        <v>Bob Giannazzi</v>
      </c>
      <c r="G492" s="2" t="s">
        <v>3263</v>
      </c>
      <c r="H492" s="2" t="str">
        <f>_xlfn.XLOOKUP(C492,customers!$A$1:$A$1001,customers!$G$1:$G$1001,0)</f>
        <v>United States</v>
      </c>
      <c r="I492" t="str">
        <f>_xlfn.XLOOKUP(D492,products!$A$1:$A$49,products!$B$1:$B$49,0)</f>
        <v>Lib</v>
      </c>
      <c r="J492" t="str">
        <f>_xlfn.XLOOKUP('data cleaned'!D492,products!$A$1:$A$49,products!$C$1:$C$49,0)</f>
        <v>D</v>
      </c>
      <c r="K492" s="5">
        <f>_xlfn.XLOOKUP('data cleaned'!D492,products!$A$1:$A$49,products!$D$1:$D$49,0)</f>
        <v>0.5</v>
      </c>
      <c r="L492" s="6">
        <f>_xlfn.XLOOKUP('data cleaned'!D492,products!$A$1:$A$49,products!$E$1:$E$49,0)</f>
        <v>7.77</v>
      </c>
      <c r="M492" s="6">
        <f>'data cleaned'!E492*'data cleaned'!L492</f>
        <v>15.54</v>
      </c>
      <c r="N492" t="str">
        <f t="shared" si="14"/>
        <v>Liberica</v>
      </c>
      <c r="O492" t="str">
        <f t="shared" si="15"/>
        <v>Dark</v>
      </c>
      <c r="P492" t="str">
        <f>_xlfn.XLOOKUP(worksheet[[#This Row],[Customer ID]],customers!$A$1:$A$1001,customers!$I$1:$I$1001,0)</f>
        <v>No</v>
      </c>
    </row>
    <row r="493" spans="1:16" x14ac:dyDescent="0.25">
      <c r="A493" s="2" t="s">
        <v>3266</v>
      </c>
      <c r="B493" s="4">
        <v>44101</v>
      </c>
      <c r="C493" s="2" t="s">
        <v>3267</v>
      </c>
      <c r="D493" t="s">
        <v>6150</v>
      </c>
      <c r="E493" s="2">
        <v>6</v>
      </c>
      <c r="F493" s="2" t="str">
        <f>_xlfn.XLOOKUP(C493,customers!$A$1:$A$1001,customers!$B$1:$B$1001,0)</f>
        <v>Kendra Backshell</v>
      </c>
      <c r="G493" s="2" t="s">
        <v>6222</v>
      </c>
      <c r="H493" s="2" t="str">
        <f>_xlfn.XLOOKUP(C493,customers!$A$1:$A$1001,customers!$G$1:$G$1001,0)</f>
        <v>United States</v>
      </c>
      <c r="I493" t="str">
        <f>_xlfn.XLOOKUP(D493,products!$A$1:$A$49,products!$B$1:$B$49,0)</f>
        <v>Lib</v>
      </c>
      <c r="J493" t="str">
        <f>_xlfn.XLOOKUP('data cleaned'!D493,products!$A$1:$A$49,products!$C$1:$C$49,0)</f>
        <v>D</v>
      </c>
      <c r="K493" s="5">
        <f>_xlfn.XLOOKUP('data cleaned'!D493,products!$A$1:$A$49,products!$D$1:$D$49,0)</f>
        <v>0.2</v>
      </c>
      <c r="L493" s="6">
        <f>_xlfn.XLOOKUP('data cleaned'!D493,products!$A$1:$A$49,products!$E$1:$E$49,0)</f>
        <v>3.8849999999999998</v>
      </c>
      <c r="M493" s="6">
        <f>'data cleaned'!E493*'data cleaned'!L493</f>
        <v>23.31</v>
      </c>
      <c r="N493" t="str">
        <f t="shared" si="14"/>
        <v>Liberica</v>
      </c>
      <c r="O493" t="str">
        <f t="shared" si="15"/>
        <v>Dark</v>
      </c>
      <c r="P493" t="str">
        <f>_xlfn.XLOOKUP(worksheet[[#This Row],[Customer ID]],customers!$A$1:$A$1001,customers!$I$1:$I$1001,0)</f>
        <v>No</v>
      </c>
    </row>
    <row r="494" spans="1:16" x14ac:dyDescent="0.25">
      <c r="A494" s="2" t="s">
        <v>3271</v>
      </c>
      <c r="B494" s="4">
        <v>44620</v>
      </c>
      <c r="C494" s="2" t="s">
        <v>3272</v>
      </c>
      <c r="D494" t="s">
        <v>6156</v>
      </c>
      <c r="E494" s="2">
        <v>1</v>
      </c>
      <c r="F494" s="2" t="str">
        <f>_xlfn.XLOOKUP(C494,customers!$A$1:$A$1001,customers!$B$1:$B$1001,0)</f>
        <v>Uriah Lethbrig</v>
      </c>
      <c r="G494" s="2" t="s">
        <v>3274</v>
      </c>
      <c r="H494" s="2" t="str">
        <f>_xlfn.XLOOKUP(C494,customers!$A$1:$A$1001,customers!$G$1:$G$1001,0)</f>
        <v>United States</v>
      </c>
      <c r="I494" t="str">
        <f>_xlfn.XLOOKUP(D494,products!$A$1:$A$49,products!$B$1:$B$49,0)</f>
        <v>Exc</v>
      </c>
      <c r="J494" t="str">
        <f>_xlfn.XLOOKUP('data cleaned'!D494,products!$A$1:$A$49,products!$C$1:$C$49,0)</f>
        <v>M</v>
      </c>
      <c r="K494" s="5">
        <f>_xlfn.XLOOKUP('data cleaned'!D494,products!$A$1:$A$49,products!$D$1:$D$49,0)</f>
        <v>0.2</v>
      </c>
      <c r="L494" s="6">
        <f>_xlfn.XLOOKUP('data cleaned'!D494,products!$A$1:$A$49,products!$E$1:$E$49,0)</f>
        <v>4.125</v>
      </c>
      <c r="M494" s="6">
        <f>'data cleaned'!E494*'data cleaned'!L494</f>
        <v>4.125</v>
      </c>
      <c r="N494" t="str">
        <f t="shared" si="14"/>
        <v>Excelsa</v>
      </c>
      <c r="O494" t="str">
        <f t="shared" si="15"/>
        <v>Medium</v>
      </c>
      <c r="P494" t="str">
        <f>_xlfn.XLOOKUP(worksheet[[#This Row],[Customer ID]],customers!$A$1:$A$1001,customers!$I$1:$I$1001,0)</f>
        <v>Yes</v>
      </c>
    </row>
    <row r="495" spans="1:16" x14ac:dyDescent="0.25">
      <c r="A495" s="2" t="s">
        <v>3277</v>
      </c>
      <c r="B495" s="4">
        <v>44090</v>
      </c>
      <c r="C495" s="2" t="s">
        <v>3278</v>
      </c>
      <c r="D495" t="s">
        <v>6146</v>
      </c>
      <c r="E495" s="2">
        <v>6</v>
      </c>
      <c r="F495" s="2" t="str">
        <f>_xlfn.XLOOKUP(C495,customers!$A$1:$A$1001,customers!$B$1:$B$1001,0)</f>
        <v>Sky Farnish</v>
      </c>
      <c r="G495" s="2" t="s">
        <v>3280</v>
      </c>
      <c r="H495" s="2" t="str">
        <f>_xlfn.XLOOKUP(C495,customers!$A$1:$A$1001,customers!$G$1:$G$1001,0)</f>
        <v>United Kingdom</v>
      </c>
      <c r="I495" t="str">
        <f>_xlfn.XLOOKUP(D495,products!$A$1:$A$49,products!$B$1:$B$49,0)</f>
        <v>Rob</v>
      </c>
      <c r="J495" t="str">
        <f>_xlfn.XLOOKUP('data cleaned'!D495,products!$A$1:$A$49,products!$C$1:$C$49,0)</f>
        <v>M</v>
      </c>
      <c r="K495" s="5">
        <f>_xlfn.XLOOKUP('data cleaned'!D495,products!$A$1:$A$49,products!$D$1:$D$49,0)</f>
        <v>0.5</v>
      </c>
      <c r="L495" s="6">
        <f>_xlfn.XLOOKUP('data cleaned'!D495,products!$A$1:$A$49,products!$E$1:$E$49,0)</f>
        <v>5.97</v>
      </c>
      <c r="M495" s="6">
        <f>'data cleaned'!E495*'data cleaned'!L495</f>
        <v>35.82</v>
      </c>
      <c r="N495" t="str">
        <f t="shared" si="14"/>
        <v>Robusta</v>
      </c>
      <c r="O495" t="str">
        <f t="shared" si="15"/>
        <v>Medium</v>
      </c>
      <c r="P495" t="str">
        <f>_xlfn.XLOOKUP(worksheet[[#This Row],[Customer ID]],customers!$A$1:$A$1001,customers!$I$1:$I$1001,0)</f>
        <v>No</v>
      </c>
    </row>
    <row r="496" spans="1:16" x14ac:dyDescent="0.25">
      <c r="A496" s="2" t="s">
        <v>3283</v>
      </c>
      <c r="B496" s="4">
        <v>44132</v>
      </c>
      <c r="C496" s="2" t="s">
        <v>3284</v>
      </c>
      <c r="D496" t="s">
        <v>6170</v>
      </c>
      <c r="E496" s="2">
        <v>2</v>
      </c>
      <c r="F496" s="2" t="str">
        <f>_xlfn.XLOOKUP(C496,customers!$A$1:$A$1001,customers!$B$1:$B$1001,0)</f>
        <v>Felicia Jecock</v>
      </c>
      <c r="G496" s="2" t="s">
        <v>3286</v>
      </c>
      <c r="H496" s="2" t="str">
        <f>_xlfn.XLOOKUP(C496,customers!$A$1:$A$1001,customers!$G$1:$G$1001,0)</f>
        <v>United States</v>
      </c>
      <c r="I496" t="str">
        <f>_xlfn.XLOOKUP(D496,products!$A$1:$A$49,products!$B$1:$B$49,0)</f>
        <v>Lib</v>
      </c>
      <c r="J496" t="str">
        <f>_xlfn.XLOOKUP('data cleaned'!D496,products!$A$1:$A$49,products!$C$1:$C$49,0)</f>
        <v>L</v>
      </c>
      <c r="K496" s="5">
        <f>_xlfn.XLOOKUP('data cleaned'!D496,products!$A$1:$A$49,products!$D$1:$D$49,0)</f>
        <v>1</v>
      </c>
      <c r="L496" s="6">
        <f>_xlfn.XLOOKUP('data cleaned'!D496,products!$A$1:$A$49,products!$E$1:$E$49,0)</f>
        <v>15.85</v>
      </c>
      <c r="M496" s="6">
        <f>'data cleaned'!E496*'data cleaned'!L496</f>
        <v>31.7</v>
      </c>
      <c r="N496" t="str">
        <f t="shared" si="14"/>
        <v>Liberica</v>
      </c>
      <c r="O496" t="str">
        <f t="shared" si="15"/>
        <v>Light</v>
      </c>
      <c r="P496" t="str">
        <f>_xlfn.XLOOKUP(worksheet[[#This Row],[Customer ID]],customers!$A$1:$A$1001,customers!$I$1:$I$1001,0)</f>
        <v>No</v>
      </c>
    </row>
    <row r="497" spans="1:16" x14ac:dyDescent="0.25">
      <c r="A497" s="2" t="s">
        <v>3289</v>
      </c>
      <c r="B497" s="4">
        <v>43710</v>
      </c>
      <c r="C497" s="2" t="s">
        <v>3290</v>
      </c>
      <c r="D497" t="s">
        <v>6170</v>
      </c>
      <c r="E497" s="2">
        <v>5</v>
      </c>
      <c r="F497" s="2" t="str">
        <f>_xlfn.XLOOKUP(C497,customers!$A$1:$A$1001,customers!$B$1:$B$1001,0)</f>
        <v>Currey MacAllister</v>
      </c>
      <c r="G497" s="2" t="s">
        <v>6222</v>
      </c>
      <c r="H497" s="2" t="str">
        <f>_xlfn.XLOOKUP(C497,customers!$A$1:$A$1001,customers!$G$1:$G$1001,0)</f>
        <v>United States</v>
      </c>
      <c r="I497" t="str">
        <f>_xlfn.XLOOKUP(D497,products!$A$1:$A$49,products!$B$1:$B$49,0)</f>
        <v>Lib</v>
      </c>
      <c r="J497" t="str">
        <f>_xlfn.XLOOKUP('data cleaned'!D497,products!$A$1:$A$49,products!$C$1:$C$49,0)</f>
        <v>L</v>
      </c>
      <c r="K497" s="5">
        <f>_xlfn.XLOOKUP('data cleaned'!D497,products!$A$1:$A$49,products!$D$1:$D$49,0)</f>
        <v>1</v>
      </c>
      <c r="L497" s="6">
        <f>_xlfn.XLOOKUP('data cleaned'!D497,products!$A$1:$A$49,products!$E$1:$E$49,0)</f>
        <v>15.85</v>
      </c>
      <c r="M497" s="6">
        <f>'data cleaned'!E497*'data cleaned'!L497</f>
        <v>79.25</v>
      </c>
      <c r="N497" t="str">
        <f t="shared" si="14"/>
        <v>Liberica</v>
      </c>
      <c r="O497" t="str">
        <f t="shared" si="15"/>
        <v>Light</v>
      </c>
      <c r="P497" t="str">
        <f>_xlfn.XLOOKUP(worksheet[[#This Row],[Customer ID]],customers!$A$1:$A$1001,customers!$I$1:$I$1001,0)</f>
        <v>Yes</v>
      </c>
    </row>
    <row r="498" spans="1:16" x14ac:dyDescent="0.25">
      <c r="A498" s="2" t="s">
        <v>3294</v>
      </c>
      <c r="B498" s="4">
        <v>44438</v>
      </c>
      <c r="C498" s="2" t="s">
        <v>3295</v>
      </c>
      <c r="D498" t="s">
        <v>6153</v>
      </c>
      <c r="E498" s="2">
        <v>3</v>
      </c>
      <c r="F498" s="2" t="str">
        <f>_xlfn.XLOOKUP(C498,customers!$A$1:$A$1001,customers!$B$1:$B$1001,0)</f>
        <v>Hamlen Pallister</v>
      </c>
      <c r="G498" s="2" t="s">
        <v>3297</v>
      </c>
      <c r="H498" s="2" t="str">
        <f>_xlfn.XLOOKUP(C498,customers!$A$1:$A$1001,customers!$G$1:$G$1001,0)</f>
        <v>United States</v>
      </c>
      <c r="I498" t="str">
        <f>_xlfn.XLOOKUP(D498,products!$A$1:$A$49,products!$B$1:$B$49,0)</f>
        <v>Exc</v>
      </c>
      <c r="J498" t="str">
        <f>_xlfn.XLOOKUP('data cleaned'!D498,products!$A$1:$A$49,products!$C$1:$C$49,0)</f>
        <v>D</v>
      </c>
      <c r="K498" s="5">
        <f>_xlfn.XLOOKUP('data cleaned'!D498,products!$A$1:$A$49,products!$D$1:$D$49,0)</f>
        <v>0.2</v>
      </c>
      <c r="L498" s="6">
        <f>_xlfn.XLOOKUP('data cleaned'!D498,products!$A$1:$A$49,products!$E$1:$E$49,0)</f>
        <v>3.645</v>
      </c>
      <c r="M498" s="6">
        <f>'data cleaned'!E498*'data cleaned'!L498</f>
        <v>10.935</v>
      </c>
      <c r="N498" t="str">
        <f t="shared" si="14"/>
        <v>Excelsa</v>
      </c>
      <c r="O498" t="str">
        <f t="shared" si="15"/>
        <v>Dark</v>
      </c>
      <c r="P498" t="str">
        <f>_xlfn.XLOOKUP(worksheet[[#This Row],[Customer ID]],customers!$A$1:$A$1001,customers!$I$1:$I$1001,0)</f>
        <v>No</v>
      </c>
    </row>
    <row r="499" spans="1:16" x14ac:dyDescent="0.25">
      <c r="A499" s="2" t="s">
        <v>3300</v>
      </c>
      <c r="B499" s="4">
        <v>44351</v>
      </c>
      <c r="C499" s="2" t="s">
        <v>3301</v>
      </c>
      <c r="D499" t="s">
        <v>6147</v>
      </c>
      <c r="E499" s="2">
        <v>4</v>
      </c>
      <c r="F499" s="2" t="str">
        <f>_xlfn.XLOOKUP(C499,customers!$A$1:$A$1001,customers!$B$1:$B$1001,0)</f>
        <v>Chantal Mersh</v>
      </c>
      <c r="G499" s="2" t="s">
        <v>3303</v>
      </c>
      <c r="H499" s="2" t="str">
        <f>_xlfn.XLOOKUP(C499,customers!$A$1:$A$1001,customers!$G$1:$G$1001,0)</f>
        <v>Ireland</v>
      </c>
      <c r="I499" t="str">
        <f>_xlfn.XLOOKUP(D499,products!$A$1:$A$49,products!$B$1:$B$49,0)</f>
        <v>Ara</v>
      </c>
      <c r="J499" t="str">
        <f>_xlfn.XLOOKUP('data cleaned'!D499,products!$A$1:$A$49,products!$C$1:$C$49,0)</f>
        <v>D</v>
      </c>
      <c r="K499" s="5">
        <f>_xlfn.XLOOKUP('data cleaned'!D499,products!$A$1:$A$49,products!$D$1:$D$49,0)</f>
        <v>1</v>
      </c>
      <c r="L499" s="6">
        <f>_xlfn.XLOOKUP('data cleaned'!D499,products!$A$1:$A$49,products!$E$1:$E$49,0)</f>
        <v>9.9499999999999993</v>
      </c>
      <c r="M499" s="6">
        <f>'data cleaned'!E499*'data cleaned'!L499</f>
        <v>39.799999999999997</v>
      </c>
      <c r="N499" t="str">
        <f t="shared" si="14"/>
        <v>Arabica</v>
      </c>
      <c r="O499" t="str">
        <f t="shared" si="15"/>
        <v>Dark</v>
      </c>
      <c r="P499" t="str">
        <f>_xlfn.XLOOKUP(worksheet[[#This Row],[Customer ID]],customers!$A$1:$A$1001,customers!$I$1:$I$1001,0)</f>
        <v>No</v>
      </c>
    </row>
    <row r="500" spans="1:16" x14ac:dyDescent="0.25">
      <c r="A500" s="2" t="s">
        <v>3307</v>
      </c>
      <c r="B500" s="4">
        <v>44159</v>
      </c>
      <c r="C500" s="2" t="s">
        <v>3368</v>
      </c>
      <c r="D500" t="s">
        <v>6138</v>
      </c>
      <c r="E500" s="2">
        <v>5</v>
      </c>
      <c r="F500" s="2" t="str">
        <f>_xlfn.XLOOKUP(C500,customers!$A$1:$A$1001,customers!$B$1:$B$1001,0)</f>
        <v>Marja Urion</v>
      </c>
      <c r="G500" s="2" t="s">
        <v>3370</v>
      </c>
      <c r="H500" s="2" t="str">
        <f>_xlfn.XLOOKUP(C500,customers!$A$1:$A$1001,customers!$G$1:$G$1001,0)</f>
        <v>Ireland</v>
      </c>
      <c r="I500" t="str">
        <f>_xlfn.XLOOKUP(D500,products!$A$1:$A$49,products!$B$1:$B$49,0)</f>
        <v>Rob</v>
      </c>
      <c r="J500" t="str">
        <f>_xlfn.XLOOKUP('data cleaned'!D500,products!$A$1:$A$49,products!$C$1:$C$49,0)</f>
        <v>M</v>
      </c>
      <c r="K500" s="5">
        <f>_xlfn.XLOOKUP('data cleaned'!D500,products!$A$1:$A$49,products!$D$1:$D$49,0)</f>
        <v>1</v>
      </c>
      <c r="L500" s="6">
        <f>_xlfn.XLOOKUP('data cleaned'!D500,products!$A$1:$A$49,products!$E$1:$E$49,0)</f>
        <v>9.9499999999999993</v>
      </c>
      <c r="M500" s="6">
        <f>'data cleaned'!E500*'data cleaned'!L500</f>
        <v>49.75</v>
      </c>
      <c r="N500" t="str">
        <f t="shared" si="14"/>
        <v>Robusta</v>
      </c>
      <c r="O500" t="str">
        <f t="shared" si="15"/>
        <v>Medium</v>
      </c>
      <c r="P500" t="str">
        <f>_xlfn.XLOOKUP(worksheet[[#This Row],[Customer ID]],customers!$A$1:$A$1001,customers!$I$1:$I$1001,0)</f>
        <v>Yes</v>
      </c>
    </row>
    <row r="501" spans="1:16" x14ac:dyDescent="0.25">
      <c r="A501" s="2" t="s">
        <v>3313</v>
      </c>
      <c r="B501" s="4">
        <v>44003</v>
      </c>
      <c r="C501" s="2" t="s">
        <v>3314</v>
      </c>
      <c r="D501" t="s">
        <v>6163</v>
      </c>
      <c r="E501" s="2">
        <v>3</v>
      </c>
      <c r="F501" s="2" t="str">
        <f>_xlfn.XLOOKUP(C501,customers!$A$1:$A$1001,customers!$B$1:$B$1001,0)</f>
        <v>Malynda Purbrick</v>
      </c>
      <c r="G501" s="2" t="s">
        <v>6222</v>
      </c>
      <c r="H501" s="2" t="str">
        <f>_xlfn.XLOOKUP(C501,customers!$A$1:$A$1001,customers!$G$1:$G$1001,0)</f>
        <v>Ireland</v>
      </c>
      <c r="I501" t="str">
        <f>_xlfn.XLOOKUP(D501,products!$A$1:$A$49,products!$B$1:$B$49,0)</f>
        <v>Rob</v>
      </c>
      <c r="J501" t="str">
        <f>_xlfn.XLOOKUP('data cleaned'!D501,products!$A$1:$A$49,products!$C$1:$C$49,0)</f>
        <v>D</v>
      </c>
      <c r="K501" s="5">
        <f>_xlfn.XLOOKUP('data cleaned'!D501,products!$A$1:$A$49,products!$D$1:$D$49,0)</f>
        <v>0.2</v>
      </c>
      <c r="L501" s="6">
        <f>_xlfn.XLOOKUP('data cleaned'!D501,products!$A$1:$A$49,products!$E$1:$E$49,0)</f>
        <v>2.6849999999999996</v>
      </c>
      <c r="M501" s="6">
        <f>'data cleaned'!E501*'data cleaned'!L501</f>
        <v>8.0549999999999997</v>
      </c>
      <c r="N501" t="str">
        <f t="shared" si="14"/>
        <v>Robusta</v>
      </c>
      <c r="O501" t="str">
        <f t="shared" si="15"/>
        <v>Dark</v>
      </c>
      <c r="P501" t="str">
        <f>_xlfn.XLOOKUP(worksheet[[#This Row],[Customer ID]],customers!$A$1:$A$1001,customers!$I$1:$I$1001,0)</f>
        <v>Yes</v>
      </c>
    </row>
    <row r="502" spans="1:16" x14ac:dyDescent="0.25">
      <c r="A502" s="2" t="s">
        <v>3318</v>
      </c>
      <c r="B502" s="4">
        <v>44025</v>
      </c>
      <c r="C502" s="2" t="s">
        <v>3319</v>
      </c>
      <c r="D502" t="s">
        <v>6179</v>
      </c>
      <c r="E502" s="2">
        <v>4</v>
      </c>
      <c r="F502" s="2" t="str">
        <f>_xlfn.XLOOKUP(C502,customers!$A$1:$A$1001,customers!$B$1:$B$1001,0)</f>
        <v>Alf Housaman</v>
      </c>
      <c r="G502" s="2" t="s">
        <v>6222</v>
      </c>
      <c r="H502" s="2" t="str">
        <f>_xlfn.XLOOKUP(C502,customers!$A$1:$A$1001,customers!$G$1:$G$1001,0)</f>
        <v>United States</v>
      </c>
      <c r="I502" t="str">
        <f>_xlfn.XLOOKUP(D502,products!$A$1:$A$49,products!$B$1:$B$49,0)</f>
        <v>Rob</v>
      </c>
      <c r="J502" t="str">
        <f>_xlfn.XLOOKUP('data cleaned'!D502,products!$A$1:$A$49,products!$C$1:$C$49,0)</f>
        <v>L</v>
      </c>
      <c r="K502" s="5">
        <f>_xlfn.XLOOKUP('data cleaned'!D502,products!$A$1:$A$49,products!$D$1:$D$49,0)</f>
        <v>1</v>
      </c>
      <c r="L502" s="6">
        <f>_xlfn.XLOOKUP('data cleaned'!D502,products!$A$1:$A$49,products!$E$1:$E$49,0)</f>
        <v>11.95</v>
      </c>
      <c r="M502" s="6">
        <f>'data cleaned'!E502*'data cleaned'!L502</f>
        <v>47.8</v>
      </c>
      <c r="N502" t="str">
        <f t="shared" si="14"/>
        <v>Robusta</v>
      </c>
      <c r="O502" t="str">
        <f t="shared" si="15"/>
        <v>Light</v>
      </c>
      <c r="P502" t="str">
        <f>_xlfn.XLOOKUP(worksheet[[#This Row],[Customer ID]],customers!$A$1:$A$1001,customers!$I$1:$I$1001,0)</f>
        <v>No</v>
      </c>
    </row>
    <row r="503" spans="1:16" x14ac:dyDescent="0.25">
      <c r="A503" s="2" t="s">
        <v>3323</v>
      </c>
      <c r="B503" s="4">
        <v>43467</v>
      </c>
      <c r="C503" s="2" t="s">
        <v>3324</v>
      </c>
      <c r="D503" t="s">
        <v>6174</v>
      </c>
      <c r="E503" s="2">
        <v>4</v>
      </c>
      <c r="F503" s="2" t="str">
        <f>_xlfn.XLOOKUP(C503,customers!$A$1:$A$1001,customers!$B$1:$B$1001,0)</f>
        <v>Gladi Ducker</v>
      </c>
      <c r="G503" s="2" t="s">
        <v>3326</v>
      </c>
      <c r="H503" s="2" t="str">
        <f>_xlfn.XLOOKUP(C503,customers!$A$1:$A$1001,customers!$G$1:$G$1001,0)</f>
        <v>United Kingdom</v>
      </c>
      <c r="I503" t="str">
        <f>_xlfn.XLOOKUP(D503,products!$A$1:$A$49,products!$B$1:$B$49,0)</f>
        <v>Rob</v>
      </c>
      <c r="J503" t="str">
        <f>_xlfn.XLOOKUP('data cleaned'!D503,products!$A$1:$A$49,products!$C$1:$C$49,0)</f>
        <v>M</v>
      </c>
      <c r="K503" s="5">
        <f>_xlfn.XLOOKUP('data cleaned'!D503,products!$A$1:$A$49,products!$D$1:$D$49,0)</f>
        <v>0.2</v>
      </c>
      <c r="L503" s="6">
        <f>_xlfn.XLOOKUP('data cleaned'!D503,products!$A$1:$A$49,products!$E$1:$E$49,0)</f>
        <v>2.9849999999999999</v>
      </c>
      <c r="M503" s="6">
        <f>'data cleaned'!E503*'data cleaned'!L503</f>
        <v>11.94</v>
      </c>
      <c r="N503" t="str">
        <f t="shared" si="14"/>
        <v>Robusta</v>
      </c>
      <c r="O503" t="str">
        <f t="shared" si="15"/>
        <v>Medium</v>
      </c>
      <c r="P503" t="str">
        <f>_xlfn.XLOOKUP(worksheet[[#This Row],[Customer ID]],customers!$A$1:$A$1001,customers!$I$1:$I$1001,0)</f>
        <v>No</v>
      </c>
    </row>
    <row r="504" spans="1:16" x14ac:dyDescent="0.25">
      <c r="A504" s="2" t="s">
        <v>3323</v>
      </c>
      <c r="B504" s="4">
        <v>43467</v>
      </c>
      <c r="C504" s="2" t="s">
        <v>3324</v>
      </c>
      <c r="D504" t="s">
        <v>6156</v>
      </c>
      <c r="E504" s="2">
        <v>4</v>
      </c>
      <c r="F504" s="2" t="str">
        <f>_xlfn.XLOOKUP(C504,customers!$A$1:$A$1001,customers!$B$1:$B$1001,0)</f>
        <v>Gladi Ducker</v>
      </c>
      <c r="G504" s="2" t="s">
        <v>3326</v>
      </c>
      <c r="H504" s="2" t="str">
        <f>_xlfn.XLOOKUP(C504,customers!$A$1:$A$1001,customers!$G$1:$G$1001,0)</f>
        <v>United Kingdom</v>
      </c>
      <c r="I504" t="str">
        <f>_xlfn.XLOOKUP(D504,products!$A$1:$A$49,products!$B$1:$B$49,0)</f>
        <v>Exc</v>
      </c>
      <c r="J504" t="str">
        <f>_xlfn.XLOOKUP('data cleaned'!D504,products!$A$1:$A$49,products!$C$1:$C$49,0)</f>
        <v>M</v>
      </c>
      <c r="K504" s="5">
        <f>_xlfn.XLOOKUP('data cleaned'!D504,products!$A$1:$A$49,products!$D$1:$D$49,0)</f>
        <v>0.2</v>
      </c>
      <c r="L504" s="6">
        <f>_xlfn.XLOOKUP('data cleaned'!D504,products!$A$1:$A$49,products!$E$1:$E$49,0)</f>
        <v>4.125</v>
      </c>
      <c r="M504" s="6">
        <f>'data cleaned'!E504*'data cleaned'!L504</f>
        <v>16.5</v>
      </c>
      <c r="N504" t="str">
        <f t="shared" si="14"/>
        <v>Excelsa</v>
      </c>
      <c r="O504" t="str">
        <f t="shared" si="15"/>
        <v>Medium</v>
      </c>
      <c r="P504" t="str">
        <f>_xlfn.XLOOKUP(worksheet[[#This Row],[Customer ID]],customers!$A$1:$A$1001,customers!$I$1:$I$1001,0)</f>
        <v>No</v>
      </c>
    </row>
    <row r="505" spans="1:16" x14ac:dyDescent="0.25">
      <c r="A505" s="2" t="s">
        <v>3323</v>
      </c>
      <c r="B505" s="4">
        <v>43467</v>
      </c>
      <c r="C505" s="2" t="s">
        <v>3324</v>
      </c>
      <c r="D505" t="s">
        <v>6143</v>
      </c>
      <c r="E505" s="2">
        <v>4</v>
      </c>
      <c r="F505" s="2" t="str">
        <f>_xlfn.XLOOKUP(C505,customers!$A$1:$A$1001,customers!$B$1:$B$1001,0)</f>
        <v>Gladi Ducker</v>
      </c>
      <c r="G505" s="2" t="s">
        <v>3326</v>
      </c>
      <c r="H505" s="2" t="str">
        <f>_xlfn.XLOOKUP(C505,customers!$A$1:$A$1001,customers!$G$1:$G$1001,0)</f>
        <v>United Kingdom</v>
      </c>
      <c r="I505" t="str">
        <f>_xlfn.XLOOKUP(D505,products!$A$1:$A$49,products!$B$1:$B$49,0)</f>
        <v>Lib</v>
      </c>
      <c r="J505" t="str">
        <f>_xlfn.XLOOKUP('data cleaned'!D505,products!$A$1:$A$49,products!$C$1:$C$49,0)</f>
        <v>D</v>
      </c>
      <c r="K505" s="5">
        <f>_xlfn.XLOOKUP('data cleaned'!D505,products!$A$1:$A$49,products!$D$1:$D$49,0)</f>
        <v>1</v>
      </c>
      <c r="L505" s="6">
        <f>_xlfn.XLOOKUP('data cleaned'!D505,products!$A$1:$A$49,products!$E$1:$E$49,0)</f>
        <v>12.95</v>
      </c>
      <c r="M505" s="6">
        <f>'data cleaned'!E505*'data cleaned'!L505</f>
        <v>51.8</v>
      </c>
      <c r="N505" t="str">
        <f t="shared" si="14"/>
        <v>Liberica</v>
      </c>
      <c r="O505" t="str">
        <f t="shared" si="15"/>
        <v>Dark</v>
      </c>
      <c r="P505" t="str">
        <f>_xlfn.XLOOKUP(worksheet[[#This Row],[Customer ID]],customers!$A$1:$A$1001,customers!$I$1:$I$1001,0)</f>
        <v>No</v>
      </c>
    </row>
    <row r="506" spans="1:16" x14ac:dyDescent="0.25">
      <c r="A506" s="2" t="s">
        <v>3323</v>
      </c>
      <c r="B506" s="4">
        <v>43467</v>
      </c>
      <c r="C506" s="2" t="s">
        <v>3324</v>
      </c>
      <c r="D506" t="s">
        <v>6145</v>
      </c>
      <c r="E506" s="2">
        <v>3</v>
      </c>
      <c r="F506" s="2" t="str">
        <f>_xlfn.XLOOKUP(C506,customers!$A$1:$A$1001,customers!$B$1:$B$1001,0)</f>
        <v>Gladi Ducker</v>
      </c>
      <c r="G506" s="2" t="s">
        <v>3326</v>
      </c>
      <c r="H506" s="2" t="str">
        <f>_xlfn.XLOOKUP(C506,customers!$A$1:$A$1001,customers!$G$1:$G$1001,0)</f>
        <v>United Kingdom</v>
      </c>
      <c r="I506" t="str">
        <f>_xlfn.XLOOKUP(D506,products!$A$1:$A$49,products!$B$1:$B$49,0)</f>
        <v>Lib</v>
      </c>
      <c r="J506" t="str">
        <f>_xlfn.XLOOKUP('data cleaned'!D506,products!$A$1:$A$49,products!$C$1:$C$49,0)</f>
        <v>L</v>
      </c>
      <c r="K506" s="5">
        <f>_xlfn.XLOOKUP('data cleaned'!D506,products!$A$1:$A$49,products!$D$1:$D$49,0)</f>
        <v>0.2</v>
      </c>
      <c r="L506" s="6">
        <f>_xlfn.XLOOKUP('data cleaned'!D506,products!$A$1:$A$49,products!$E$1:$E$49,0)</f>
        <v>4.7549999999999999</v>
      </c>
      <c r="M506" s="6">
        <f>'data cleaned'!E506*'data cleaned'!L506</f>
        <v>14.265000000000001</v>
      </c>
      <c r="N506" t="str">
        <f t="shared" si="14"/>
        <v>Liberica</v>
      </c>
      <c r="O506" t="str">
        <f t="shared" si="15"/>
        <v>Light</v>
      </c>
      <c r="P506" t="str">
        <f>_xlfn.XLOOKUP(worksheet[[#This Row],[Customer ID]],customers!$A$1:$A$1001,customers!$I$1:$I$1001,0)</f>
        <v>No</v>
      </c>
    </row>
    <row r="507" spans="1:16" x14ac:dyDescent="0.25">
      <c r="A507" s="2" t="s">
        <v>3343</v>
      </c>
      <c r="B507" s="4">
        <v>44609</v>
      </c>
      <c r="C507" s="2" t="s">
        <v>3344</v>
      </c>
      <c r="D507" t="s">
        <v>6159</v>
      </c>
      <c r="E507" s="2">
        <v>6</v>
      </c>
      <c r="F507" s="2" t="str">
        <f>_xlfn.XLOOKUP(C507,customers!$A$1:$A$1001,customers!$B$1:$B$1001,0)</f>
        <v>Wain Stearley</v>
      </c>
      <c r="G507" s="2" t="s">
        <v>3346</v>
      </c>
      <c r="H507" s="2" t="str">
        <f>_xlfn.XLOOKUP(C507,customers!$A$1:$A$1001,customers!$G$1:$G$1001,0)</f>
        <v>United States</v>
      </c>
      <c r="I507" t="str">
        <f>_xlfn.XLOOKUP(D507,products!$A$1:$A$49,products!$B$1:$B$49,0)</f>
        <v>Lib</v>
      </c>
      <c r="J507" t="str">
        <f>_xlfn.XLOOKUP('data cleaned'!D507,products!$A$1:$A$49,products!$C$1:$C$49,0)</f>
        <v>M</v>
      </c>
      <c r="K507" s="5">
        <f>_xlfn.XLOOKUP('data cleaned'!D507,products!$A$1:$A$49,products!$D$1:$D$49,0)</f>
        <v>0.2</v>
      </c>
      <c r="L507" s="6">
        <f>_xlfn.XLOOKUP('data cleaned'!D507,products!$A$1:$A$49,products!$E$1:$E$49,0)</f>
        <v>4.3650000000000002</v>
      </c>
      <c r="M507" s="6">
        <f>'data cleaned'!E507*'data cleaned'!L507</f>
        <v>26.19</v>
      </c>
      <c r="N507" t="str">
        <f t="shared" si="14"/>
        <v>Liberica</v>
      </c>
      <c r="O507" t="str">
        <f t="shared" si="15"/>
        <v>Medium</v>
      </c>
      <c r="P507" t="str">
        <f>_xlfn.XLOOKUP(worksheet[[#This Row],[Customer ID]],customers!$A$1:$A$1001,customers!$I$1:$I$1001,0)</f>
        <v>No</v>
      </c>
    </row>
    <row r="508" spans="1:16" x14ac:dyDescent="0.25">
      <c r="A508" s="2" t="s">
        <v>3349</v>
      </c>
      <c r="B508" s="4">
        <v>44184</v>
      </c>
      <c r="C508" s="2" t="s">
        <v>3350</v>
      </c>
      <c r="D508" t="s">
        <v>6140</v>
      </c>
      <c r="E508" s="2">
        <v>2</v>
      </c>
      <c r="F508" s="2" t="str">
        <f>_xlfn.XLOOKUP(C508,customers!$A$1:$A$1001,customers!$B$1:$B$1001,0)</f>
        <v>Diane-marie Wincer</v>
      </c>
      <c r="G508" s="2" t="s">
        <v>3352</v>
      </c>
      <c r="H508" s="2" t="str">
        <f>_xlfn.XLOOKUP(C508,customers!$A$1:$A$1001,customers!$G$1:$G$1001,0)</f>
        <v>United States</v>
      </c>
      <c r="I508" t="str">
        <f>_xlfn.XLOOKUP(D508,products!$A$1:$A$49,products!$B$1:$B$49,0)</f>
        <v>Ara</v>
      </c>
      <c r="J508" t="str">
        <f>_xlfn.XLOOKUP('data cleaned'!D508,products!$A$1:$A$49,products!$C$1:$C$49,0)</f>
        <v>L</v>
      </c>
      <c r="K508" s="5">
        <f>_xlfn.XLOOKUP('data cleaned'!D508,products!$A$1:$A$49,products!$D$1:$D$49,0)</f>
        <v>1</v>
      </c>
      <c r="L508" s="6">
        <f>_xlfn.XLOOKUP('data cleaned'!D508,products!$A$1:$A$49,products!$E$1:$E$49,0)</f>
        <v>12.95</v>
      </c>
      <c r="M508" s="6">
        <f>'data cleaned'!E508*'data cleaned'!L508</f>
        <v>25.9</v>
      </c>
      <c r="N508" t="str">
        <f t="shared" si="14"/>
        <v>Arabica</v>
      </c>
      <c r="O508" t="str">
        <f t="shared" si="15"/>
        <v>Light</v>
      </c>
      <c r="P508" t="str">
        <f>_xlfn.XLOOKUP(worksheet[[#This Row],[Customer ID]],customers!$A$1:$A$1001,customers!$I$1:$I$1001,0)</f>
        <v>Yes</v>
      </c>
    </row>
    <row r="509" spans="1:16" x14ac:dyDescent="0.25">
      <c r="A509" s="2" t="s">
        <v>3355</v>
      </c>
      <c r="B509" s="4">
        <v>43516</v>
      </c>
      <c r="C509" s="2" t="s">
        <v>3356</v>
      </c>
      <c r="D509" t="s">
        <v>6182</v>
      </c>
      <c r="E509" s="2">
        <v>3</v>
      </c>
      <c r="F509" s="2" t="str">
        <f>_xlfn.XLOOKUP(C509,customers!$A$1:$A$1001,customers!$B$1:$B$1001,0)</f>
        <v>Perry Lyfield</v>
      </c>
      <c r="G509" s="2" t="s">
        <v>3358</v>
      </c>
      <c r="H509" s="2" t="str">
        <f>_xlfn.XLOOKUP(C509,customers!$A$1:$A$1001,customers!$G$1:$G$1001,0)</f>
        <v>United States</v>
      </c>
      <c r="I509" t="str">
        <f>_xlfn.XLOOKUP(D509,products!$A$1:$A$49,products!$B$1:$B$49,0)</f>
        <v>Ara</v>
      </c>
      <c r="J509" t="str">
        <f>_xlfn.XLOOKUP('data cleaned'!D509,products!$A$1:$A$49,products!$C$1:$C$49,0)</f>
        <v>L</v>
      </c>
      <c r="K509" s="5">
        <f>_xlfn.XLOOKUP('data cleaned'!D509,products!$A$1:$A$49,products!$D$1:$D$49,0)</f>
        <v>2.5</v>
      </c>
      <c r="L509" s="6">
        <f>_xlfn.XLOOKUP('data cleaned'!D509,products!$A$1:$A$49,products!$E$1:$E$49,0)</f>
        <v>29.784999999999997</v>
      </c>
      <c r="M509" s="6">
        <f>'data cleaned'!E509*'data cleaned'!L509</f>
        <v>89.35499999999999</v>
      </c>
      <c r="N509" t="str">
        <f t="shared" si="14"/>
        <v>Arabica</v>
      </c>
      <c r="O509" t="str">
        <f t="shared" si="15"/>
        <v>Light</v>
      </c>
      <c r="P509" t="str">
        <f>_xlfn.XLOOKUP(worksheet[[#This Row],[Customer ID]],customers!$A$1:$A$1001,customers!$I$1:$I$1001,0)</f>
        <v>Yes</v>
      </c>
    </row>
    <row r="510" spans="1:16" x14ac:dyDescent="0.25">
      <c r="A510" s="2" t="s">
        <v>3361</v>
      </c>
      <c r="B510" s="4">
        <v>44210</v>
      </c>
      <c r="C510" s="2" t="s">
        <v>3362</v>
      </c>
      <c r="D510" t="s">
        <v>6169</v>
      </c>
      <c r="E510" s="2">
        <v>6</v>
      </c>
      <c r="F510" s="2" t="str">
        <f>_xlfn.XLOOKUP(C510,customers!$A$1:$A$1001,customers!$B$1:$B$1001,0)</f>
        <v>Heall Perris</v>
      </c>
      <c r="G510" s="2" t="s">
        <v>3364</v>
      </c>
      <c r="H510" s="2" t="str">
        <f>_xlfn.XLOOKUP(C510,customers!$A$1:$A$1001,customers!$G$1:$G$1001,0)</f>
        <v>Ireland</v>
      </c>
      <c r="I510" t="str">
        <f>_xlfn.XLOOKUP(D510,products!$A$1:$A$49,products!$B$1:$B$49,0)</f>
        <v>Lib</v>
      </c>
      <c r="J510" t="str">
        <f>_xlfn.XLOOKUP('data cleaned'!D510,products!$A$1:$A$49,products!$C$1:$C$49,0)</f>
        <v>D</v>
      </c>
      <c r="K510" s="5">
        <f>_xlfn.XLOOKUP('data cleaned'!D510,products!$A$1:$A$49,products!$D$1:$D$49,0)</f>
        <v>0.5</v>
      </c>
      <c r="L510" s="6">
        <f>_xlfn.XLOOKUP('data cleaned'!D510,products!$A$1:$A$49,products!$E$1:$E$49,0)</f>
        <v>7.77</v>
      </c>
      <c r="M510" s="6">
        <f>'data cleaned'!E510*'data cleaned'!L510</f>
        <v>46.62</v>
      </c>
      <c r="N510" t="str">
        <f t="shared" si="14"/>
        <v>Liberica</v>
      </c>
      <c r="O510" t="str">
        <f t="shared" si="15"/>
        <v>Dark</v>
      </c>
      <c r="P510" t="str">
        <f>_xlfn.XLOOKUP(worksheet[[#This Row],[Customer ID]],customers!$A$1:$A$1001,customers!$I$1:$I$1001,0)</f>
        <v>No</v>
      </c>
    </row>
    <row r="511" spans="1:16" x14ac:dyDescent="0.25">
      <c r="A511" s="2" t="s">
        <v>3367</v>
      </c>
      <c r="B511" s="4">
        <v>43785</v>
      </c>
      <c r="C511" s="2" t="s">
        <v>3368</v>
      </c>
      <c r="D511" t="s">
        <v>6147</v>
      </c>
      <c r="E511" s="2">
        <v>3</v>
      </c>
      <c r="F511" s="2" t="str">
        <f>_xlfn.XLOOKUP(C511,customers!$A$1:$A$1001,customers!$B$1:$B$1001,0)</f>
        <v>Marja Urion</v>
      </c>
      <c r="G511" s="2" t="s">
        <v>3370</v>
      </c>
      <c r="H511" s="2" t="str">
        <f>_xlfn.XLOOKUP(C511,customers!$A$1:$A$1001,customers!$G$1:$G$1001,0)</f>
        <v>Ireland</v>
      </c>
      <c r="I511" t="str">
        <f>_xlfn.XLOOKUP(D511,products!$A$1:$A$49,products!$B$1:$B$49,0)</f>
        <v>Ara</v>
      </c>
      <c r="J511" t="str">
        <f>_xlfn.XLOOKUP('data cleaned'!D511,products!$A$1:$A$49,products!$C$1:$C$49,0)</f>
        <v>D</v>
      </c>
      <c r="K511" s="5">
        <f>_xlfn.XLOOKUP('data cleaned'!D511,products!$A$1:$A$49,products!$D$1:$D$49,0)</f>
        <v>1</v>
      </c>
      <c r="L511" s="6">
        <f>_xlfn.XLOOKUP('data cleaned'!D511,products!$A$1:$A$49,products!$E$1:$E$49,0)</f>
        <v>9.9499999999999993</v>
      </c>
      <c r="M511" s="6">
        <f>'data cleaned'!E511*'data cleaned'!L511</f>
        <v>29.849999999999998</v>
      </c>
      <c r="N511" t="str">
        <f t="shared" si="14"/>
        <v>Arabica</v>
      </c>
      <c r="O511" t="str">
        <f t="shared" si="15"/>
        <v>Dark</v>
      </c>
      <c r="P511" t="str">
        <f>_xlfn.XLOOKUP(worksheet[[#This Row],[Customer ID]],customers!$A$1:$A$1001,customers!$I$1:$I$1001,0)</f>
        <v>Yes</v>
      </c>
    </row>
    <row r="512" spans="1:16" x14ac:dyDescent="0.25">
      <c r="A512" s="2" t="s">
        <v>3373</v>
      </c>
      <c r="B512" s="4">
        <v>43803</v>
      </c>
      <c r="C512" s="2" t="s">
        <v>3374</v>
      </c>
      <c r="D512" t="s">
        <v>6178</v>
      </c>
      <c r="E512" s="2">
        <v>3</v>
      </c>
      <c r="F512" s="2" t="str">
        <f>_xlfn.XLOOKUP(C512,customers!$A$1:$A$1001,customers!$B$1:$B$1001,0)</f>
        <v>Camellia Kid</v>
      </c>
      <c r="G512" s="2" t="s">
        <v>3376</v>
      </c>
      <c r="H512" s="2" t="str">
        <f>_xlfn.XLOOKUP(C512,customers!$A$1:$A$1001,customers!$G$1:$G$1001,0)</f>
        <v>Ireland</v>
      </c>
      <c r="I512" t="str">
        <f>_xlfn.XLOOKUP(D512,products!$A$1:$A$49,products!$B$1:$B$49,0)</f>
        <v>Rob</v>
      </c>
      <c r="J512" t="str">
        <f>_xlfn.XLOOKUP('data cleaned'!D512,products!$A$1:$A$49,products!$C$1:$C$49,0)</f>
        <v>L</v>
      </c>
      <c r="K512" s="5">
        <f>_xlfn.XLOOKUP('data cleaned'!D512,products!$A$1:$A$49,products!$D$1:$D$49,0)</f>
        <v>0.2</v>
      </c>
      <c r="L512" s="6">
        <f>_xlfn.XLOOKUP('data cleaned'!D512,products!$A$1:$A$49,products!$E$1:$E$49,0)</f>
        <v>3.5849999999999995</v>
      </c>
      <c r="M512" s="6">
        <f>'data cleaned'!E512*'data cleaned'!L512</f>
        <v>10.754999999999999</v>
      </c>
      <c r="N512" t="str">
        <f t="shared" si="14"/>
        <v>Robusta</v>
      </c>
      <c r="O512" t="str">
        <f t="shared" si="15"/>
        <v>Light</v>
      </c>
      <c r="P512" t="str">
        <f>_xlfn.XLOOKUP(worksheet[[#This Row],[Customer ID]],customers!$A$1:$A$1001,customers!$I$1:$I$1001,0)</f>
        <v>Yes</v>
      </c>
    </row>
    <row r="513" spans="1:16" x14ac:dyDescent="0.25">
      <c r="A513" s="2" t="s">
        <v>3379</v>
      </c>
      <c r="B513" s="4">
        <v>44043</v>
      </c>
      <c r="C513" s="2" t="s">
        <v>3380</v>
      </c>
      <c r="D513" t="s">
        <v>6152</v>
      </c>
      <c r="E513" s="2">
        <v>4</v>
      </c>
      <c r="F513" s="2" t="str">
        <f>_xlfn.XLOOKUP(C513,customers!$A$1:$A$1001,customers!$B$1:$B$1001,0)</f>
        <v>Carolann Beine</v>
      </c>
      <c r="G513" s="2" t="s">
        <v>3382</v>
      </c>
      <c r="H513" s="2" t="str">
        <f>_xlfn.XLOOKUP(C513,customers!$A$1:$A$1001,customers!$G$1:$G$1001,0)</f>
        <v>United States</v>
      </c>
      <c r="I513" t="str">
        <f>_xlfn.XLOOKUP(D513,products!$A$1:$A$49,products!$B$1:$B$49,0)</f>
        <v>Ara</v>
      </c>
      <c r="J513" t="str">
        <f>_xlfn.XLOOKUP('data cleaned'!D513,products!$A$1:$A$49,products!$C$1:$C$49,0)</f>
        <v>M</v>
      </c>
      <c r="K513" s="5">
        <f>_xlfn.XLOOKUP('data cleaned'!D513,products!$A$1:$A$49,products!$D$1:$D$49,0)</f>
        <v>0.2</v>
      </c>
      <c r="L513" s="6">
        <f>_xlfn.XLOOKUP('data cleaned'!D513,products!$A$1:$A$49,products!$E$1:$E$49,0)</f>
        <v>3.375</v>
      </c>
      <c r="M513" s="6">
        <f>'data cleaned'!E513*'data cleaned'!L513</f>
        <v>13.5</v>
      </c>
      <c r="N513" t="str">
        <f t="shared" si="14"/>
        <v>Arabica</v>
      </c>
      <c r="O513" t="str">
        <f t="shared" si="15"/>
        <v>Medium</v>
      </c>
      <c r="P513" t="str">
        <f>_xlfn.XLOOKUP(worksheet[[#This Row],[Customer ID]],customers!$A$1:$A$1001,customers!$I$1:$I$1001,0)</f>
        <v>Yes</v>
      </c>
    </row>
    <row r="514" spans="1:16" x14ac:dyDescent="0.25">
      <c r="A514" s="2" t="s">
        <v>3385</v>
      </c>
      <c r="B514" s="4">
        <v>43535</v>
      </c>
      <c r="C514" s="2" t="s">
        <v>3386</v>
      </c>
      <c r="D514" t="s">
        <v>6170</v>
      </c>
      <c r="E514" s="2">
        <v>3</v>
      </c>
      <c r="F514" s="2" t="str">
        <f>_xlfn.XLOOKUP(C514,customers!$A$1:$A$1001,customers!$B$1:$B$1001,0)</f>
        <v>Celia Bakeup</v>
      </c>
      <c r="G514" s="2" t="s">
        <v>3388</v>
      </c>
      <c r="H514" s="2" t="str">
        <f>_xlfn.XLOOKUP(C514,customers!$A$1:$A$1001,customers!$G$1:$G$1001,0)</f>
        <v>United States</v>
      </c>
      <c r="I514" t="str">
        <f>_xlfn.XLOOKUP(D514,products!$A$1:$A$49,products!$B$1:$B$49,0)</f>
        <v>Lib</v>
      </c>
      <c r="J514" t="str">
        <f>_xlfn.XLOOKUP('data cleaned'!D514,products!$A$1:$A$49,products!$C$1:$C$49,0)</f>
        <v>L</v>
      </c>
      <c r="K514" s="5">
        <f>_xlfn.XLOOKUP('data cleaned'!D514,products!$A$1:$A$49,products!$D$1:$D$49,0)</f>
        <v>1</v>
      </c>
      <c r="L514" s="6">
        <f>_xlfn.XLOOKUP('data cleaned'!D514,products!$A$1:$A$49,products!$E$1:$E$49,0)</f>
        <v>15.85</v>
      </c>
      <c r="M514" s="6">
        <f>'data cleaned'!E514*'data cleaned'!L514</f>
        <v>47.55</v>
      </c>
      <c r="N514" t="str">
        <f t="shared" si="14"/>
        <v>Liberica</v>
      </c>
      <c r="O514" t="str">
        <f t="shared" si="15"/>
        <v>Light</v>
      </c>
      <c r="P514" t="str">
        <f>_xlfn.XLOOKUP(worksheet[[#This Row],[Customer ID]],customers!$A$1:$A$1001,customers!$I$1:$I$1001,0)</f>
        <v>No</v>
      </c>
    </row>
    <row r="515" spans="1:16" x14ac:dyDescent="0.25">
      <c r="A515" s="2" t="s">
        <v>3391</v>
      </c>
      <c r="B515" s="4">
        <v>44691</v>
      </c>
      <c r="C515" s="2" t="s">
        <v>3392</v>
      </c>
      <c r="D515" t="s">
        <v>6170</v>
      </c>
      <c r="E515" s="2">
        <v>5</v>
      </c>
      <c r="F515" s="2" t="str">
        <f>_xlfn.XLOOKUP(C515,customers!$A$1:$A$1001,customers!$B$1:$B$1001,0)</f>
        <v>Nataniel Helkin</v>
      </c>
      <c r="G515" s="2" t="s">
        <v>3394</v>
      </c>
      <c r="H515" s="2" t="str">
        <f>_xlfn.XLOOKUP(C515,customers!$A$1:$A$1001,customers!$G$1:$G$1001,0)</f>
        <v>United States</v>
      </c>
      <c r="I515" t="str">
        <f>_xlfn.XLOOKUP(D515,products!$A$1:$A$49,products!$B$1:$B$49,0)</f>
        <v>Lib</v>
      </c>
      <c r="J515" t="str">
        <f>_xlfn.XLOOKUP('data cleaned'!D515,products!$A$1:$A$49,products!$C$1:$C$49,0)</f>
        <v>L</v>
      </c>
      <c r="K515" s="5">
        <f>_xlfn.XLOOKUP('data cleaned'!D515,products!$A$1:$A$49,products!$D$1:$D$49,0)</f>
        <v>1</v>
      </c>
      <c r="L515" s="6">
        <f>_xlfn.XLOOKUP('data cleaned'!D515,products!$A$1:$A$49,products!$E$1:$E$49,0)</f>
        <v>15.85</v>
      </c>
      <c r="M515" s="6">
        <f>'data cleaned'!E515*'data cleaned'!L515</f>
        <v>79.25</v>
      </c>
      <c r="N515" t="str">
        <f t="shared" ref="N515:N578" si="16">IF(I515="Rob","Robusta",IF(I515="Exc","Excelsa",IF(I515="Ara","Arabica",IF(I515="Lib","Liberica",""))))</f>
        <v>Liberica</v>
      </c>
      <c r="O515" t="str">
        <f t="shared" ref="O515:O578" si="17">IF(J515="M","Medium",IF(J515="L","Light",IF(J515="D","Dark","")))</f>
        <v>Light</v>
      </c>
      <c r="P515" t="str">
        <f>_xlfn.XLOOKUP(worksheet[[#This Row],[Customer ID]],customers!$A$1:$A$1001,customers!$I$1:$I$1001,0)</f>
        <v>No</v>
      </c>
    </row>
    <row r="516" spans="1:16" x14ac:dyDescent="0.25">
      <c r="A516" s="2" t="s">
        <v>3396</v>
      </c>
      <c r="B516" s="4">
        <v>44555</v>
      </c>
      <c r="C516" s="2" t="s">
        <v>3397</v>
      </c>
      <c r="D516" t="s">
        <v>6159</v>
      </c>
      <c r="E516" s="2">
        <v>6</v>
      </c>
      <c r="F516" s="2" t="str">
        <f>_xlfn.XLOOKUP(C516,customers!$A$1:$A$1001,customers!$B$1:$B$1001,0)</f>
        <v>Pippo Witherington</v>
      </c>
      <c r="G516" s="2" t="s">
        <v>3399</v>
      </c>
      <c r="H516" s="2" t="str">
        <f>_xlfn.XLOOKUP(C516,customers!$A$1:$A$1001,customers!$G$1:$G$1001,0)</f>
        <v>United States</v>
      </c>
      <c r="I516" t="str">
        <f>_xlfn.XLOOKUP(D516,products!$A$1:$A$49,products!$B$1:$B$49,0)</f>
        <v>Lib</v>
      </c>
      <c r="J516" t="str">
        <f>_xlfn.XLOOKUP('data cleaned'!D516,products!$A$1:$A$49,products!$C$1:$C$49,0)</f>
        <v>M</v>
      </c>
      <c r="K516" s="5">
        <f>_xlfn.XLOOKUP('data cleaned'!D516,products!$A$1:$A$49,products!$D$1:$D$49,0)</f>
        <v>0.2</v>
      </c>
      <c r="L516" s="6">
        <f>_xlfn.XLOOKUP('data cleaned'!D516,products!$A$1:$A$49,products!$E$1:$E$49,0)</f>
        <v>4.3650000000000002</v>
      </c>
      <c r="M516" s="6">
        <f>'data cleaned'!E516*'data cleaned'!L516</f>
        <v>26.19</v>
      </c>
      <c r="N516" t="str">
        <f t="shared" si="16"/>
        <v>Liberica</v>
      </c>
      <c r="O516" t="str">
        <f t="shared" si="17"/>
        <v>Medium</v>
      </c>
      <c r="P516" t="str">
        <f>_xlfn.XLOOKUP(worksheet[[#This Row],[Customer ID]],customers!$A$1:$A$1001,customers!$I$1:$I$1001,0)</f>
        <v>Yes</v>
      </c>
    </row>
    <row r="517" spans="1:16" x14ac:dyDescent="0.25">
      <c r="A517" s="2" t="s">
        <v>3402</v>
      </c>
      <c r="B517" s="4">
        <v>44673</v>
      </c>
      <c r="C517" s="2" t="s">
        <v>3403</v>
      </c>
      <c r="D517" t="s">
        <v>6173</v>
      </c>
      <c r="E517" s="2">
        <v>3</v>
      </c>
      <c r="F517" s="2" t="str">
        <f>_xlfn.XLOOKUP(C517,customers!$A$1:$A$1001,customers!$B$1:$B$1001,0)</f>
        <v>Tildie Tilzey</v>
      </c>
      <c r="G517" s="2" t="s">
        <v>3405</v>
      </c>
      <c r="H517" s="2" t="str">
        <f>_xlfn.XLOOKUP(C517,customers!$A$1:$A$1001,customers!$G$1:$G$1001,0)</f>
        <v>United States</v>
      </c>
      <c r="I517" t="str">
        <f>_xlfn.XLOOKUP(D517,products!$A$1:$A$49,products!$B$1:$B$49,0)</f>
        <v>Rob</v>
      </c>
      <c r="J517" t="str">
        <f>_xlfn.XLOOKUP('data cleaned'!D517,products!$A$1:$A$49,products!$C$1:$C$49,0)</f>
        <v>L</v>
      </c>
      <c r="K517" s="5">
        <f>_xlfn.XLOOKUP('data cleaned'!D517,products!$A$1:$A$49,products!$D$1:$D$49,0)</f>
        <v>0.5</v>
      </c>
      <c r="L517" s="6">
        <f>_xlfn.XLOOKUP('data cleaned'!D517,products!$A$1:$A$49,products!$E$1:$E$49,0)</f>
        <v>7.169999999999999</v>
      </c>
      <c r="M517" s="6">
        <f>'data cleaned'!E517*'data cleaned'!L517</f>
        <v>21.509999999999998</v>
      </c>
      <c r="N517" t="str">
        <f t="shared" si="16"/>
        <v>Robusta</v>
      </c>
      <c r="O517" t="str">
        <f t="shared" si="17"/>
        <v>Light</v>
      </c>
      <c r="P517" t="str">
        <f>_xlfn.XLOOKUP(worksheet[[#This Row],[Customer ID]],customers!$A$1:$A$1001,customers!$I$1:$I$1001,0)</f>
        <v>No</v>
      </c>
    </row>
    <row r="518" spans="1:16" x14ac:dyDescent="0.25">
      <c r="A518" s="2" t="s">
        <v>3408</v>
      </c>
      <c r="B518" s="4">
        <v>44723</v>
      </c>
      <c r="C518" s="2" t="s">
        <v>3409</v>
      </c>
      <c r="D518" t="s">
        <v>6149</v>
      </c>
      <c r="E518" s="2">
        <v>5</v>
      </c>
      <c r="F518" s="2" t="str">
        <f>_xlfn.XLOOKUP(C518,customers!$A$1:$A$1001,customers!$B$1:$B$1001,0)</f>
        <v>Cindra Burling</v>
      </c>
      <c r="G518" s="2" t="s">
        <v>6222</v>
      </c>
      <c r="H518" s="2" t="str">
        <f>_xlfn.XLOOKUP(C518,customers!$A$1:$A$1001,customers!$G$1:$G$1001,0)</f>
        <v>United States</v>
      </c>
      <c r="I518" t="str">
        <f>_xlfn.XLOOKUP(D518,products!$A$1:$A$49,products!$B$1:$B$49,0)</f>
        <v>Rob</v>
      </c>
      <c r="J518" t="str">
        <f>_xlfn.XLOOKUP('data cleaned'!D518,products!$A$1:$A$49,products!$C$1:$C$49,0)</f>
        <v>D</v>
      </c>
      <c r="K518" s="5">
        <f>_xlfn.XLOOKUP('data cleaned'!D518,products!$A$1:$A$49,products!$D$1:$D$49,0)</f>
        <v>2.5</v>
      </c>
      <c r="L518" s="6">
        <f>_xlfn.XLOOKUP('data cleaned'!D518,products!$A$1:$A$49,products!$E$1:$E$49,0)</f>
        <v>20.584999999999997</v>
      </c>
      <c r="M518" s="6">
        <f>'data cleaned'!E518*'data cleaned'!L518</f>
        <v>102.92499999999998</v>
      </c>
      <c r="N518" t="str">
        <f t="shared" si="16"/>
        <v>Robusta</v>
      </c>
      <c r="O518" t="str">
        <f t="shared" si="17"/>
        <v>Dark</v>
      </c>
      <c r="P518" t="str">
        <f>_xlfn.XLOOKUP(worksheet[[#This Row],[Customer ID]],customers!$A$1:$A$1001,customers!$I$1:$I$1001,0)</f>
        <v>Yes</v>
      </c>
    </row>
    <row r="519" spans="1:16" x14ac:dyDescent="0.25">
      <c r="A519" s="2" t="s">
        <v>3413</v>
      </c>
      <c r="B519" s="4">
        <v>44678</v>
      </c>
      <c r="C519" s="2" t="s">
        <v>3414</v>
      </c>
      <c r="D519" t="s">
        <v>6150</v>
      </c>
      <c r="E519" s="2">
        <v>2</v>
      </c>
      <c r="F519" s="2" t="str">
        <f>_xlfn.XLOOKUP(C519,customers!$A$1:$A$1001,customers!$B$1:$B$1001,0)</f>
        <v>Channa Belamy</v>
      </c>
      <c r="G519" s="2" t="s">
        <v>6222</v>
      </c>
      <c r="H519" s="2" t="str">
        <f>_xlfn.XLOOKUP(C519,customers!$A$1:$A$1001,customers!$G$1:$G$1001,0)</f>
        <v>United States</v>
      </c>
      <c r="I519" t="str">
        <f>_xlfn.XLOOKUP(D519,products!$A$1:$A$49,products!$B$1:$B$49,0)</f>
        <v>Lib</v>
      </c>
      <c r="J519" t="str">
        <f>_xlfn.XLOOKUP('data cleaned'!D519,products!$A$1:$A$49,products!$C$1:$C$49,0)</f>
        <v>D</v>
      </c>
      <c r="K519" s="5">
        <f>_xlfn.XLOOKUP('data cleaned'!D519,products!$A$1:$A$49,products!$D$1:$D$49,0)</f>
        <v>0.2</v>
      </c>
      <c r="L519" s="6">
        <f>_xlfn.XLOOKUP('data cleaned'!D519,products!$A$1:$A$49,products!$E$1:$E$49,0)</f>
        <v>3.8849999999999998</v>
      </c>
      <c r="M519" s="6">
        <f>'data cleaned'!E519*'data cleaned'!L519</f>
        <v>7.77</v>
      </c>
      <c r="N519" t="str">
        <f t="shared" si="16"/>
        <v>Liberica</v>
      </c>
      <c r="O519" t="str">
        <f t="shared" si="17"/>
        <v>Dark</v>
      </c>
      <c r="P519" t="str">
        <f>_xlfn.XLOOKUP(worksheet[[#This Row],[Customer ID]],customers!$A$1:$A$1001,customers!$I$1:$I$1001,0)</f>
        <v>No</v>
      </c>
    </row>
    <row r="520" spans="1:16" x14ac:dyDescent="0.25">
      <c r="A520" s="2" t="s">
        <v>3418</v>
      </c>
      <c r="B520" s="4">
        <v>44194</v>
      </c>
      <c r="C520" s="2" t="s">
        <v>3419</v>
      </c>
      <c r="D520" t="s">
        <v>6185</v>
      </c>
      <c r="E520" s="2">
        <v>5</v>
      </c>
      <c r="F520" s="2" t="str">
        <f>_xlfn.XLOOKUP(C520,customers!$A$1:$A$1001,customers!$B$1:$B$1001,0)</f>
        <v>Karl Imorts</v>
      </c>
      <c r="G520" s="2" t="s">
        <v>3421</v>
      </c>
      <c r="H520" s="2" t="str">
        <f>_xlfn.XLOOKUP(C520,customers!$A$1:$A$1001,customers!$G$1:$G$1001,0)</f>
        <v>United States</v>
      </c>
      <c r="I520" t="str">
        <f>_xlfn.XLOOKUP(D520,products!$A$1:$A$49,products!$B$1:$B$49,0)</f>
        <v>Exc</v>
      </c>
      <c r="J520" t="str">
        <f>_xlfn.XLOOKUP('data cleaned'!D520,products!$A$1:$A$49,products!$C$1:$C$49,0)</f>
        <v>D</v>
      </c>
      <c r="K520" s="5">
        <f>_xlfn.XLOOKUP('data cleaned'!D520,products!$A$1:$A$49,products!$D$1:$D$49,0)</f>
        <v>2.5</v>
      </c>
      <c r="L520" s="6">
        <f>_xlfn.XLOOKUP('data cleaned'!D520,products!$A$1:$A$49,products!$E$1:$E$49,0)</f>
        <v>27.945</v>
      </c>
      <c r="M520" s="6">
        <f>'data cleaned'!E520*'data cleaned'!L520</f>
        <v>139.72499999999999</v>
      </c>
      <c r="N520" t="str">
        <f t="shared" si="16"/>
        <v>Excelsa</v>
      </c>
      <c r="O520" t="str">
        <f t="shared" si="17"/>
        <v>Dark</v>
      </c>
      <c r="P520" t="str">
        <f>_xlfn.XLOOKUP(worksheet[[#This Row],[Customer ID]],customers!$A$1:$A$1001,customers!$I$1:$I$1001,0)</f>
        <v>No</v>
      </c>
    </row>
    <row r="521" spans="1:16" x14ac:dyDescent="0.25">
      <c r="A521" s="2" t="s">
        <v>3424</v>
      </c>
      <c r="B521" s="4">
        <v>44026</v>
      </c>
      <c r="C521" s="2" t="s">
        <v>3368</v>
      </c>
      <c r="D521" t="s">
        <v>6158</v>
      </c>
      <c r="E521" s="2">
        <v>2</v>
      </c>
      <c r="F521" s="2" t="str">
        <f>_xlfn.XLOOKUP(C521,customers!$A$1:$A$1001,customers!$B$1:$B$1001,0)</f>
        <v>Marja Urion</v>
      </c>
      <c r="G521" s="2" t="s">
        <v>3370</v>
      </c>
      <c r="H521" s="2" t="str">
        <f>_xlfn.XLOOKUP(C521,customers!$A$1:$A$1001,customers!$G$1:$G$1001,0)</f>
        <v>Ireland</v>
      </c>
      <c r="I521" t="str">
        <f>_xlfn.XLOOKUP(D521,products!$A$1:$A$49,products!$B$1:$B$49,0)</f>
        <v>Ara</v>
      </c>
      <c r="J521" t="str">
        <f>_xlfn.XLOOKUP('data cleaned'!D521,products!$A$1:$A$49,products!$C$1:$C$49,0)</f>
        <v>D</v>
      </c>
      <c r="K521" s="5">
        <f>_xlfn.XLOOKUP('data cleaned'!D521,products!$A$1:$A$49,products!$D$1:$D$49,0)</f>
        <v>0.5</v>
      </c>
      <c r="L521" s="6">
        <f>_xlfn.XLOOKUP('data cleaned'!D521,products!$A$1:$A$49,products!$E$1:$E$49,0)</f>
        <v>5.97</v>
      </c>
      <c r="M521" s="6">
        <f>'data cleaned'!E521*'data cleaned'!L521</f>
        <v>11.94</v>
      </c>
      <c r="N521" t="str">
        <f t="shared" si="16"/>
        <v>Arabica</v>
      </c>
      <c r="O521" t="str">
        <f t="shared" si="17"/>
        <v>Dark</v>
      </c>
      <c r="P521" t="str">
        <f>_xlfn.XLOOKUP(worksheet[[#This Row],[Customer ID]],customers!$A$1:$A$1001,customers!$I$1:$I$1001,0)</f>
        <v>Yes</v>
      </c>
    </row>
    <row r="522" spans="1:16" x14ac:dyDescent="0.25">
      <c r="A522" s="2" t="s">
        <v>3430</v>
      </c>
      <c r="B522" s="4">
        <v>44446</v>
      </c>
      <c r="C522" s="2" t="s">
        <v>3431</v>
      </c>
      <c r="D522" t="s">
        <v>6150</v>
      </c>
      <c r="E522" s="2">
        <v>1</v>
      </c>
      <c r="F522" s="2" t="str">
        <f>_xlfn.XLOOKUP(C522,customers!$A$1:$A$1001,customers!$B$1:$B$1001,0)</f>
        <v>Mag Armistead</v>
      </c>
      <c r="G522" s="2" t="s">
        <v>3433</v>
      </c>
      <c r="H522" s="2" t="str">
        <f>_xlfn.XLOOKUP(C522,customers!$A$1:$A$1001,customers!$G$1:$G$1001,0)</f>
        <v>United States</v>
      </c>
      <c r="I522" t="str">
        <f>_xlfn.XLOOKUP(D522,products!$A$1:$A$49,products!$B$1:$B$49,0)</f>
        <v>Lib</v>
      </c>
      <c r="J522" t="str">
        <f>_xlfn.XLOOKUP('data cleaned'!D522,products!$A$1:$A$49,products!$C$1:$C$49,0)</f>
        <v>D</v>
      </c>
      <c r="K522" s="5">
        <f>_xlfn.XLOOKUP('data cleaned'!D522,products!$A$1:$A$49,products!$D$1:$D$49,0)</f>
        <v>0.2</v>
      </c>
      <c r="L522" s="6">
        <f>_xlfn.XLOOKUP('data cleaned'!D522,products!$A$1:$A$49,products!$E$1:$E$49,0)</f>
        <v>3.8849999999999998</v>
      </c>
      <c r="M522" s="6">
        <f>'data cleaned'!E522*'data cleaned'!L522</f>
        <v>3.8849999999999998</v>
      </c>
      <c r="N522" t="str">
        <f t="shared" si="16"/>
        <v>Liberica</v>
      </c>
      <c r="O522" t="str">
        <f t="shared" si="17"/>
        <v>Dark</v>
      </c>
      <c r="P522" t="str">
        <f>_xlfn.XLOOKUP(worksheet[[#This Row],[Customer ID]],customers!$A$1:$A$1001,customers!$I$1:$I$1001,0)</f>
        <v>No</v>
      </c>
    </row>
    <row r="523" spans="1:16" x14ac:dyDescent="0.25">
      <c r="A523" s="2" t="s">
        <v>3430</v>
      </c>
      <c r="B523" s="4">
        <v>44446</v>
      </c>
      <c r="C523" s="2" t="s">
        <v>3431</v>
      </c>
      <c r="D523" t="s">
        <v>6138</v>
      </c>
      <c r="E523" s="2">
        <v>4</v>
      </c>
      <c r="F523" s="2" t="str">
        <f>_xlfn.XLOOKUP(C523,customers!$A$1:$A$1001,customers!$B$1:$B$1001,0)</f>
        <v>Mag Armistead</v>
      </c>
      <c r="G523" s="2" t="s">
        <v>3433</v>
      </c>
      <c r="H523" s="2" t="str">
        <f>_xlfn.XLOOKUP(C523,customers!$A$1:$A$1001,customers!$G$1:$G$1001,0)</f>
        <v>United States</v>
      </c>
      <c r="I523" t="str">
        <f>_xlfn.XLOOKUP(D523,products!$A$1:$A$49,products!$B$1:$B$49,0)</f>
        <v>Rob</v>
      </c>
      <c r="J523" t="str">
        <f>_xlfn.XLOOKUP('data cleaned'!D523,products!$A$1:$A$49,products!$C$1:$C$49,0)</f>
        <v>M</v>
      </c>
      <c r="K523" s="5">
        <f>_xlfn.XLOOKUP('data cleaned'!D523,products!$A$1:$A$49,products!$D$1:$D$49,0)</f>
        <v>1</v>
      </c>
      <c r="L523" s="6">
        <f>_xlfn.XLOOKUP('data cleaned'!D523,products!$A$1:$A$49,products!$E$1:$E$49,0)</f>
        <v>9.9499999999999993</v>
      </c>
      <c r="M523" s="6">
        <f>'data cleaned'!E523*'data cleaned'!L523</f>
        <v>39.799999999999997</v>
      </c>
      <c r="N523" t="str">
        <f t="shared" si="16"/>
        <v>Robusta</v>
      </c>
      <c r="O523" t="str">
        <f t="shared" si="17"/>
        <v>Medium</v>
      </c>
      <c r="P523" t="str">
        <f>_xlfn.XLOOKUP(worksheet[[#This Row],[Customer ID]],customers!$A$1:$A$1001,customers!$I$1:$I$1001,0)</f>
        <v>No</v>
      </c>
    </row>
    <row r="524" spans="1:16" x14ac:dyDescent="0.25">
      <c r="A524" s="2" t="s">
        <v>3441</v>
      </c>
      <c r="B524" s="4">
        <v>43625</v>
      </c>
      <c r="C524" s="2" t="s">
        <v>3442</v>
      </c>
      <c r="D524" t="s">
        <v>6146</v>
      </c>
      <c r="E524" s="2">
        <v>5</v>
      </c>
      <c r="F524" s="2" t="str">
        <f>_xlfn.XLOOKUP(C524,customers!$A$1:$A$1001,customers!$B$1:$B$1001,0)</f>
        <v>Vasili Upstone</v>
      </c>
      <c r="G524" s="2" t="s">
        <v>3444</v>
      </c>
      <c r="H524" s="2" t="str">
        <f>_xlfn.XLOOKUP(C524,customers!$A$1:$A$1001,customers!$G$1:$G$1001,0)</f>
        <v>United States</v>
      </c>
      <c r="I524" t="str">
        <f>_xlfn.XLOOKUP(D524,products!$A$1:$A$49,products!$B$1:$B$49,0)</f>
        <v>Rob</v>
      </c>
      <c r="J524" t="str">
        <f>_xlfn.XLOOKUP('data cleaned'!D524,products!$A$1:$A$49,products!$C$1:$C$49,0)</f>
        <v>M</v>
      </c>
      <c r="K524" s="5">
        <f>_xlfn.XLOOKUP('data cleaned'!D524,products!$A$1:$A$49,products!$D$1:$D$49,0)</f>
        <v>0.5</v>
      </c>
      <c r="L524" s="6">
        <f>_xlfn.XLOOKUP('data cleaned'!D524,products!$A$1:$A$49,products!$E$1:$E$49,0)</f>
        <v>5.97</v>
      </c>
      <c r="M524" s="6">
        <f>'data cleaned'!E524*'data cleaned'!L524</f>
        <v>29.849999999999998</v>
      </c>
      <c r="N524" t="str">
        <f t="shared" si="16"/>
        <v>Robusta</v>
      </c>
      <c r="O524" t="str">
        <f t="shared" si="17"/>
        <v>Medium</v>
      </c>
      <c r="P524" t="str">
        <f>_xlfn.XLOOKUP(worksheet[[#This Row],[Customer ID]],customers!$A$1:$A$1001,customers!$I$1:$I$1001,0)</f>
        <v>No</v>
      </c>
    </row>
    <row r="525" spans="1:16" x14ac:dyDescent="0.25">
      <c r="A525" s="2" t="s">
        <v>3447</v>
      </c>
      <c r="B525" s="4">
        <v>44129</v>
      </c>
      <c r="C525" s="2" t="s">
        <v>3448</v>
      </c>
      <c r="D525" t="s">
        <v>6165</v>
      </c>
      <c r="E525" s="2">
        <v>1</v>
      </c>
      <c r="F525" s="2" t="str">
        <f>_xlfn.XLOOKUP(C525,customers!$A$1:$A$1001,customers!$B$1:$B$1001,0)</f>
        <v>Berty Beelby</v>
      </c>
      <c r="G525" s="2" t="s">
        <v>3450</v>
      </c>
      <c r="H525" s="2" t="str">
        <f>_xlfn.XLOOKUP(C525,customers!$A$1:$A$1001,customers!$G$1:$G$1001,0)</f>
        <v>Ireland</v>
      </c>
      <c r="I525" t="str">
        <f>_xlfn.XLOOKUP(D525,products!$A$1:$A$49,products!$B$1:$B$49,0)</f>
        <v>Lib</v>
      </c>
      <c r="J525" t="str">
        <f>_xlfn.XLOOKUP('data cleaned'!D525,products!$A$1:$A$49,products!$C$1:$C$49,0)</f>
        <v>D</v>
      </c>
      <c r="K525" s="5">
        <f>_xlfn.XLOOKUP('data cleaned'!D525,products!$A$1:$A$49,products!$D$1:$D$49,0)</f>
        <v>2.5</v>
      </c>
      <c r="L525" s="6">
        <f>_xlfn.XLOOKUP('data cleaned'!D525,products!$A$1:$A$49,products!$E$1:$E$49,0)</f>
        <v>29.784999999999997</v>
      </c>
      <c r="M525" s="6">
        <f>'data cleaned'!E525*'data cleaned'!L525</f>
        <v>29.784999999999997</v>
      </c>
      <c r="N525" t="str">
        <f t="shared" si="16"/>
        <v>Liberica</v>
      </c>
      <c r="O525" t="str">
        <f t="shared" si="17"/>
        <v>Dark</v>
      </c>
      <c r="P525" t="str">
        <f>_xlfn.XLOOKUP(worksheet[[#This Row],[Customer ID]],customers!$A$1:$A$1001,customers!$I$1:$I$1001,0)</f>
        <v>No</v>
      </c>
    </row>
    <row r="526" spans="1:16" x14ac:dyDescent="0.25">
      <c r="A526" s="2" t="s">
        <v>3453</v>
      </c>
      <c r="B526" s="4">
        <v>44255</v>
      </c>
      <c r="C526" s="2" t="s">
        <v>3454</v>
      </c>
      <c r="D526" t="s">
        <v>6164</v>
      </c>
      <c r="E526" s="2">
        <v>2</v>
      </c>
      <c r="F526" s="2" t="str">
        <f>_xlfn.XLOOKUP(C526,customers!$A$1:$A$1001,customers!$B$1:$B$1001,0)</f>
        <v>Erny Stenyng</v>
      </c>
      <c r="G526" s="2" t="s">
        <v>6222</v>
      </c>
      <c r="H526" s="2" t="str">
        <f>_xlfn.XLOOKUP(C526,customers!$A$1:$A$1001,customers!$G$1:$G$1001,0)</f>
        <v>United States</v>
      </c>
      <c r="I526" t="str">
        <f>_xlfn.XLOOKUP(D526,products!$A$1:$A$49,products!$B$1:$B$49,0)</f>
        <v>Lib</v>
      </c>
      <c r="J526" t="str">
        <f>_xlfn.XLOOKUP('data cleaned'!D526,products!$A$1:$A$49,products!$C$1:$C$49,0)</f>
        <v>L</v>
      </c>
      <c r="K526" s="5">
        <f>_xlfn.XLOOKUP('data cleaned'!D526,products!$A$1:$A$49,products!$D$1:$D$49,0)</f>
        <v>2.5</v>
      </c>
      <c r="L526" s="6">
        <f>_xlfn.XLOOKUP('data cleaned'!D526,products!$A$1:$A$49,products!$E$1:$E$49,0)</f>
        <v>36.454999999999998</v>
      </c>
      <c r="M526" s="6">
        <f>'data cleaned'!E526*'data cleaned'!L526</f>
        <v>72.91</v>
      </c>
      <c r="N526" t="str">
        <f t="shared" si="16"/>
        <v>Liberica</v>
      </c>
      <c r="O526" t="str">
        <f t="shared" si="17"/>
        <v>Light</v>
      </c>
      <c r="P526" t="str">
        <f>_xlfn.XLOOKUP(worksheet[[#This Row],[Customer ID]],customers!$A$1:$A$1001,customers!$I$1:$I$1001,0)</f>
        <v>No</v>
      </c>
    </row>
    <row r="527" spans="1:16" x14ac:dyDescent="0.25">
      <c r="A527" s="2" t="s">
        <v>3458</v>
      </c>
      <c r="B527" s="4">
        <v>44038</v>
      </c>
      <c r="C527" s="2" t="s">
        <v>3459</v>
      </c>
      <c r="D527" t="s">
        <v>6163</v>
      </c>
      <c r="E527" s="2">
        <v>5</v>
      </c>
      <c r="F527" s="2" t="str">
        <f>_xlfn.XLOOKUP(C527,customers!$A$1:$A$1001,customers!$B$1:$B$1001,0)</f>
        <v>Edin Yantsurev</v>
      </c>
      <c r="G527" s="2" t="s">
        <v>6222</v>
      </c>
      <c r="H527" s="2" t="str">
        <f>_xlfn.XLOOKUP(C527,customers!$A$1:$A$1001,customers!$G$1:$G$1001,0)</f>
        <v>United States</v>
      </c>
      <c r="I527" t="str">
        <f>_xlfn.XLOOKUP(D527,products!$A$1:$A$49,products!$B$1:$B$49,0)</f>
        <v>Rob</v>
      </c>
      <c r="J527" t="str">
        <f>_xlfn.XLOOKUP('data cleaned'!D527,products!$A$1:$A$49,products!$C$1:$C$49,0)</f>
        <v>D</v>
      </c>
      <c r="K527" s="5">
        <f>_xlfn.XLOOKUP('data cleaned'!D527,products!$A$1:$A$49,products!$D$1:$D$49,0)</f>
        <v>0.2</v>
      </c>
      <c r="L527" s="6">
        <f>_xlfn.XLOOKUP('data cleaned'!D527,products!$A$1:$A$49,products!$E$1:$E$49,0)</f>
        <v>2.6849999999999996</v>
      </c>
      <c r="M527" s="6">
        <f>'data cleaned'!E527*'data cleaned'!L527</f>
        <v>13.424999999999997</v>
      </c>
      <c r="N527" t="str">
        <f t="shared" si="16"/>
        <v>Robusta</v>
      </c>
      <c r="O527" t="str">
        <f t="shared" si="17"/>
        <v>Dark</v>
      </c>
      <c r="P527" t="str">
        <f>_xlfn.XLOOKUP(worksheet[[#This Row],[Customer ID]],customers!$A$1:$A$1001,customers!$I$1:$I$1001,0)</f>
        <v>Yes</v>
      </c>
    </row>
    <row r="528" spans="1:16" x14ac:dyDescent="0.25">
      <c r="A528" s="2" t="s">
        <v>3463</v>
      </c>
      <c r="B528" s="4">
        <v>44717</v>
      </c>
      <c r="C528" s="2" t="s">
        <v>3464</v>
      </c>
      <c r="D528" t="s">
        <v>6166</v>
      </c>
      <c r="E528" s="2">
        <v>4</v>
      </c>
      <c r="F528" s="2" t="str">
        <f>_xlfn.XLOOKUP(C528,customers!$A$1:$A$1001,customers!$B$1:$B$1001,0)</f>
        <v>Webb Speechly</v>
      </c>
      <c r="G528" s="2" t="s">
        <v>3466</v>
      </c>
      <c r="H528" s="2" t="str">
        <f>_xlfn.XLOOKUP(C528,customers!$A$1:$A$1001,customers!$G$1:$G$1001,0)</f>
        <v>United States</v>
      </c>
      <c r="I528" t="str">
        <f>_xlfn.XLOOKUP(D528,products!$A$1:$A$49,products!$B$1:$B$49,0)</f>
        <v>Exc</v>
      </c>
      <c r="J528" t="str">
        <f>_xlfn.XLOOKUP('data cleaned'!D528,products!$A$1:$A$49,products!$C$1:$C$49,0)</f>
        <v>M</v>
      </c>
      <c r="K528" s="5">
        <f>_xlfn.XLOOKUP('data cleaned'!D528,products!$A$1:$A$49,products!$D$1:$D$49,0)</f>
        <v>2.5</v>
      </c>
      <c r="L528" s="6">
        <f>_xlfn.XLOOKUP('data cleaned'!D528,products!$A$1:$A$49,products!$E$1:$E$49,0)</f>
        <v>31.624999999999996</v>
      </c>
      <c r="M528" s="6">
        <f>'data cleaned'!E528*'data cleaned'!L528</f>
        <v>126.49999999999999</v>
      </c>
      <c r="N528" t="str">
        <f t="shared" si="16"/>
        <v>Excelsa</v>
      </c>
      <c r="O528" t="str">
        <f t="shared" si="17"/>
        <v>Medium</v>
      </c>
      <c r="P528" t="str">
        <f>_xlfn.XLOOKUP(worksheet[[#This Row],[Customer ID]],customers!$A$1:$A$1001,customers!$I$1:$I$1001,0)</f>
        <v>Yes</v>
      </c>
    </row>
    <row r="529" spans="1:16" x14ac:dyDescent="0.25">
      <c r="A529" s="2" t="s">
        <v>3469</v>
      </c>
      <c r="B529" s="4">
        <v>43517</v>
      </c>
      <c r="C529" s="2" t="s">
        <v>3470</v>
      </c>
      <c r="D529" t="s">
        <v>6139</v>
      </c>
      <c r="E529" s="2">
        <v>5</v>
      </c>
      <c r="F529" s="2" t="str">
        <f>_xlfn.XLOOKUP(C529,customers!$A$1:$A$1001,customers!$B$1:$B$1001,0)</f>
        <v>Irvine Phillpot</v>
      </c>
      <c r="G529" s="2" t="s">
        <v>3472</v>
      </c>
      <c r="H529" s="2" t="str">
        <f>_xlfn.XLOOKUP(C529,customers!$A$1:$A$1001,customers!$G$1:$G$1001,0)</f>
        <v>United Kingdom</v>
      </c>
      <c r="I529" t="str">
        <f>_xlfn.XLOOKUP(D529,products!$A$1:$A$49,products!$B$1:$B$49,0)</f>
        <v>Exc</v>
      </c>
      <c r="J529" t="str">
        <f>_xlfn.XLOOKUP('data cleaned'!D529,products!$A$1:$A$49,products!$C$1:$C$49,0)</f>
        <v>M</v>
      </c>
      <c r="K529" s="5">
        <f>_xlfn.XLOOKUP('data cleaned'!D529,products!$A$1:$A$49,products!$D$1:$D$49,0)</f>
        <v>0.5</v>
      </c>
      <c r="L529" s="6">
        <f>_xlfn.XLOOKUP('data cleaned'!D529,products!$A$1:$A$49,products!$E$1:$E$49,0)</f>
        <v>8.25</v>
      </c>
      <c r="M529" s="6">
        <f>'data cleaned'!E529*'data cleaned'!L529</f>
        <v>41.25</v>
      </c>
      <c r="N529" t="str">
        <f t="shared" si="16"/>
        <v>Excelsa</v>
      </c>
      <c r="O529" t="str">
        <f t="shared" si="17"/>
        <v>Medium</v>
      </c>
      <c r="P529" t="str">
        <f>_xlfn.XLOOKUP(worksheet[[#This Row],[Customer ID]],customers!$A$1:$A$1001,customers!$I$1:$I$1001,0)</f>
        <v>No</v>
      </c>
    </row>
    <row r="530" spans="1:16" x14ac:dyDescent="0.25">
      <c r="A530" s="2" t="s">
        <v>3475</v>
      </c>
      <c r="B530" s="4">
        <v>43926</v>
      </c>
      <c r="C530" s="2" t="s">
        <v>3476</v>
      </c>
      <c r="D530" t="s">
        <v>6176</v>
      </c>
      <c r="E530" s="2">
        <v>6</v>
      </c>
      <c r="F530" s="2" t="str">
        <f>_xlfn.XLOOKUP(C530,customers!$A$1:$A$1001,customers!$B$1:$B$1001,0)</f>
        <v>Lem Pennacci</v>
      </c>
      <c r="G530" s="2" t="s">
        <v>3478</v>
      </c>
      <c r="H530" s="2" t="str">
        <f>_xlfn.XLOOKUP(C530,customers!$A$1:$A$1001,customers!$G$1:$G$1001,0)</f>
        <v>United States</v>
      </c>
      <c r="I530" t="str">
        <f>_xlfn.XLOOKUP(D530,products!$A$1:$A$49,products!$B$1:$B$49,0)</f>
        <v>Exc</v>
      </c>
      <c r="J530" t="str">
        <f>_xlfn.XLOOKUP('data cleaned'!D530,products!$A$1:$A$49,products!$C$1:$C$49,0)</f>
        <v>L</v>
      </c>
      <c r="K530" s="5">
        <f>_xlfn.XLOOKUP('data cleaned'!D530,products!$A$1:$A$49,products!$D$1:$D$49,0)</f>
        <v>0.5</v>
      </c>
      <c r="L530" s="6">
        <f>_xlfn.XLOOKUP('data cleaned'!D530,products!$A$1:$A$49,products!$E$1:$E$49,0)</f>
        <v>8.91</v>
      </c>
      <c r="M530" s="6">
        <f>'data cleaned'!E530*'data cleaned'!L530</f>
        <v>53.46</v>
      </c>
      <c r="N530" t="str">
        <f t="shared" si="16"/>
        <v>Excelsa</v>
      </c>
      <c r="O530" t="str">
        <f t="shared" si="17"/>
        <v>Light</v>
      </c>
      <c r="P530" t="str">
        <f>_xlfn.XLOOKUP(worksheet[[#This Row],[Customer ID]],customers!$A$1:$A$1001,customers!$I$1:$I$1001,0)</f>
        <v>No</v>
      </c>
    </row>
    <row r="531" spans="1:16" x14ac:dyDescent="0.25">
      <c r="A531" s="2" t="s">
        <v>3481</v>
      </c>
      <c r="B531" s="4">
        <v>43475</v>
      </c>
      <c r="C531" s="2" t="s">
        <v>3482</v>
      </c>
      <c r="D531" t="s">
        <v>6138</v>
      </c>
      <c r="E531" s="2">
        <v>6</v>
      </c>
      <c r="F531" s="2" t="str">
        <f>_xlfn.XLOOKUP(C531,customers!$A$1:$A$1001,customers!$B$1:$B$1001,0)</f>
        <v>Starr Arpin</v>
      </c>
      <c r="G531" s="2" t="s">
        <v>3484</v>
      </c>
      <c r="H531" s="2" t="str">
        <f>_xlfn.XLOOKUP(C531,customers!$A$1:$A$1001,customers!$G$1:$G$1001,0)</f>
        <v>United States</v>
      </c>
      <c r="I531" t="str">
        <f>_xlfn.XLOOKUP(D531,products!$A$1:$A$49,products!$B$1:$B$49,0)</f>
        <v>Rob</v>
      </c>
      <c r="J531" t="str">
        <f>_xlfn.XLOOKUP('data cleaned'!D531,products!$A$1:$A$49,products!$C$1:$C$49,0)</f>
        <v>M</v>
      </c>
      <c r="K531" s="5">
        <f>_xlfn.XLOOKUP('data cleaned'!D531,products!$A$1:$A$49,products!$D$1:$D$49,0)</f>
        <v>1</v>
      </c>
      <c r="L531" s="6">
        <f>_xlfn.XLOOKUP('data cleaned'!D531,products!$A$1:$A$49,products!$E$1:$E$49,0)</f>
        <v>9.9499999999999993</v>
      </c>
      <c r="M531" s="6">
        <f>'data cleaned'!E531*'data cleaned'!L531</f>
        <v>59.699999999999996</v>
      </c>
      <c r="N531" t="str">
        <f t="shared" si="16"/>
        <v>Robusta</v>
      </c>
      <c r="O531" t="str">
        <f t="shared" si="17"/>
        <v>Medium</v>
      </c>
      <c r="P531" t="str">
        <f>_xlfn.XLOOKUP(worksheet[[#This Row],[Customer ID]],customers!$A$1:$A$1001,customers!$I$1:$I$1001,0)</f>
        <v>No</v>
      </c>
    </row>
    <row r="532" spans="1:16" x14ac:dyDescent="0.25">
      <c r="A532" s="2" t="s">
        <v>3487</v>
      </c>
      <c r="B532" s="4">
        <v>44663</v>
      </c>
      <c r="C532" s="2" t="s">
        <v>3488</v>
      </c>
      <c r="D532" t="s">
        <v>6138</v>
      </c>
      <c r="E532" s="2">
        <v>6</v>
      </c>
      <c r="F532" s="2" t="str">
        <f>_xlfn.XLOOKUP(C532,customers!$A$1:$A$1001,customers!$B$1:$B$1001,0)</f>
        <v>Donny Fries</v>
      </c>
      <c r="G532" s="2" t="s">
        <v>3490</v>
      </c>
      <c r="H532" s="2" t="str">
        <f>_xlfn.XLOOKUP(C532,customers!$A$1:$A$1001,customers!$G$1:$G$1001,0)</f>
        <v>United States</v>
      </c>
      <c r="I532" t="str">
        <f>_xlfn.XLOOKUP(D532,products!$A$1:$A$49,products!$B$1:$B$49,0)</f>
        <v>Rob</v>
      </c>
      <c r="J532" t="str">
        <f>_xlfn.XLOOKUP('data cleaned'!D532,products!$A$1:$A$49,products!$C$1:$C$49,0)</f>
        <v>M</v>
      </c>
      <c r="K532" s="5">
        <f>_xlfn.XLOOKUP('data cleaned'!D532,products!$A$1:$A$49,products!$D$1:$D$49,0)</f>
        <v>1</v>
      </c>
      <c r="L532" s="6">
        <f>_xlfn.XLOOKUP('data cleaned'!D532,products!$A$1:$A$49,products!$E$1:$E$49,0)</f>
        <v>9.9499999999999993</v>
      </c>
      <c r="M532" s="6">
        <f>'data cleaned'!E532*'data cleaned'!L532</f>
        <v>59.699999999999996</v>
      </c>
      <c r="N532" t="str">
        <f t="shared" si="16"/>
        <v>Robusta</v>
      </c>
      <c r="O532" t="str">
        <f t="shared" si="17"/>
        <v>Medium</v>
      </c>
      <c r="P532" t="str">
        <f>_xlfn.XLOOKUP(worksheet[[#This Row],[Customer ID]],customers!$A$1:$A$1001,customers!$I$1:$I$1001,0)</f>
        <v>No</v>
      </c>
    </row>
    <row r="533" spans="1:16" x14ac:dyDescent="0.25">
      <c r="A533" s="2" t="s">
        <v>3493</v>
      </c>
      <c r="B533" s="4">
        <v>44591</v>
      </c>
      <c r="C533" s="2" t="s">
        <v>3494</v>
      </c>
      <c r="D533" t="s">
        <v>6177</v>
      </c>
      <c r="E533" s="2">
        <v>5</v>
      </c>
      <c r="F533" s="2" t="str">
        <f>_xlfn.XLOOKUP(C533,customers!$A$1:$A$1001,customers!$B$1:$B$1001,0)</f>
        <v>Rana Sharer</v>
      </c>
      <c r="G533" s="2" t="s">
        <v>3496</v>
      </c>
      <c r="H533" s="2" t="str">
        <f>_xlfn.XLOOKUP(C533,customers!$A$1:$A$1001,customers!$G$1:$G$1001,0)</f>
        <v>United States</v>
      </c>
      <c r="I533" t="str">
        <f>_xlfn.XLOOKUP(D533,products!$A$1:$A$49,products!$B$1:$B$49,0)</f>
        <v>Rob</v>
      </c>
      <c r="J533" t="str">
        <f>_xlfn.XLOOKUP('data cleaned'!D533,products!$A$1:$A$49,products!$C$1:$C$49,0)</f>
        <v>D</v>
      </c>
      <c r="K533" s="5">
        <f>_xlfn.XLOOKUP('data cleaned'!D533,products!$A$1:$A$49,products!$D$1:$D$49,0)</f>
        <v>1</v>
      </c>
      <c r="L533" s="6">
        <f>_xlfn.XLOOKUP('data cleaned'!D533,products!$A$1:$A$49,products!$E$1:$E$49,0)</f>
        <v>8.9499999999999993</v>
      </c>
      <c r="M533" s="6">
        <f>'data cleaned'!E533*'data cleaned'!L533</f>
        <v>44.75</v>
      </c>
      <c r="N533" t="str">
        <f t="shared" si="16"/>
        <v>Robusta</v>
      </c>
      <c r="O533" t="str">
        <f t="shared" si="17"/>
        <v>Dark</v>
      </c>
      <c r="P533" t="str">
        <f>_xlfn.XLOOKUP(worksheet[[#This Row],[Customer ID]],customers!$A$1:$A$1001,customers!$I$1:$I$1001,0)</f>
        <v>No</v>
      </c>
    </row>
    <row r="534" spans="1:16" x14ac:dyDescent="0.25">
      <c r="A534" s="2" t="s">
        <v>3499</v>
      </c>
      <c r="B534" s="4">
        <v>44330</v>
      </c>
      <c r="C534" s="2" t="s">
        <v>3500</v>
      </c>
      <c r="D534" t="s">
        <v>6139</v>
      </c>
      <c r="E534" s="2">
        <v>2</v>
      </c>
      <c r="F534" s="2" t="str">
        <f>_xlfn.XLOOKUP(C534,customers!$A$1:$A$1001,customers!$B$1:$B$1001,0)</f>
        <v>Nannie Naseby</v>
      </c>
      <c r="G534" s="2" t="s">
        <v>3502</v>
      </c>
      <c r="H534" s="2" t="str">
        <f>_xlfn.XLOOKUP(C534,customers!$A$1:$A$1001,customers!$G$1:$G$1001,0)</f>
        <v>United States</v>
      </c>
      <c r="I534" t="str">
        <f>_xlfn.XLOOKUP(D534,products!$A$1:$A$49,products!$B$1:$B$49,0)</f>
        <v>Exc</v>
      </c>
      <c r="J534" t="str">
        <f>_xlfn.XLOOKUP('data cleaned'!D534,products!$A$1:$A$49,products!$C$1:$C$49,0)</f>
        <v>M</v>
      </c>
      <c r="K534" s="5">
        <f>_xlfn.XLOOKUP('data cleaned'!D534,products!$A$1:$A$49,products!$D$1:$D$49,0)</f>
        <v>0.5</v>
      </c>
      <c r="L534" s="6">
        <f>_xlfn.XLOOKUP('data cleaned'!D534,products!$A$1:$A$49,products!$E$1:$E$49,0)</f>
        <v>8.25</v>
      </c>
      <c r="M534" s="6">
        <f>'data cleaned'!E534*'data cleaned'!L534</f>
        <v>16.5</v>
      </c>
      <c r="N534" t="str">
        <f t="shared" si="16"/>
        <v>Excelsa</v>
      </c>
      <c r="O534" t="str">
        <f t="shared" si="17"/>
        <v>Medium</v>
      </c>
      <c r="P534" t="str">
        <f>_xlfn.XLOOKUP(worksheet[[#This Row],[Customer ID]],customers!$A$1:$A$1001,customers!$I$1:$I$1001,0)</f>
        <v>Yes</v>
      </c>
    </row>
    <row r="535" spans="1:16" x14ac:dyDescent="0.25">
      <c r="A535" s="2" t="s">
        <v>3505</v>
      </c>
      <c r="B535" s="4">
        <v>44724</v>
      </c>
      <c r="C535" s="2" t="s">
        <v>3506</v>
      </c>
      <c r="D535" t="s">
        <v>6172</v>
      </c>
      <c r="E535" s="2">
        <v>4</v>
      </c>
      <c r="F535" s="2" t="str">
        <f>_xlfn.XLOOKUP(C535,customers!$A$1:$A$1001,customers!$B$1:$B$1001,0)</f>
        <v>Rea Offell</v>
      </c>
      <c r="G535" s="2" t="s">
        <v>6222</v>
      </c>
      <c r="H535" s="2" t="str">
        <f>_xlfn.XLOOKUP(C535,customers!$A$1:$A$1001,customers!$G$1:$G$1001,0)</f>
        <v>United States</v>
      </c>
      <c r="I535" t="str">
        <f>_xlfn.XLOOKUP(D535,products!$A$1:$A$49,products!$B$1:$B$49,0)</f>
        <v>Rob</v>
      </c>
      <c r="J535" t="str">
        <f>_xlfn.XLOOKUP('data cleaned'!D535,products!$A$1:$A$49,products!$C$1:$C$49,0)</f>
        <v>D</v>
      </c>
      <c r="K535" s="5">
        <f>_xlfn.XLOOKUP('data cleaned'!D535,products!$A$1:$A$49,products!$D$1:$D$49,0)</f>
        <v>0.5</v>
      </c>
      <c r="L535" s="6">
        <f>_xlfn.XLOOKUP('data cleaned'!D535,products!$A$1:$A$49,products!$E$1:$E$49,0)</f>
        <v>5.3699999999999992</v>
      </c>
      <c r="M535" s="6">
        <f>'data cleaned'!E535*'data cleaned'!L535</f>
        <v>21.479999999999997</v>
      </c>
      <c r="N535" t="str">
        <f t="shared" si="16"/>
        <v>Robusta</v>
      </c>
      <c r="O535" t="str">
        <f t="shared" si="17"/>
        <v>Dark</v>
      </c>
      <c r="P535" t="str">
        <f>_xlfn.XLOOKUP(worksheet[[#This Row],[Customer ID]],customers!$A$1:$A$1001,customers!$I$1:$I$1001,0)</f>
        <v>No</v>
      </c>
    </row>
    <row r="536" spans="1:16" x14ac:dyDescent="0.25">
      <c r="A536" s="2" t="s">
        <v>3510</v>
      </c>
      <c r="B536" s="4">
        <v>44563</v>
      </c>
      <c r="C536" s="2" t="s">
        <v>3511</v>
      </c>
      <c r="D536" t="s">
        <v>6151</v>
      </c>
      <c r="E536" s="2">
        <v>2</v>
      </c>
      <c r="F536" s="2" t="str">
        <f>_xlfn.XLOOKUP(C536,customers!$A$1:$A$1001,customers!$B$1:$B$1001,0)</f>
        <v>Kris O'Cullen</v>
      </c>
      <c r="G536" s="2" t="s">
        <v>3513</v>
      </c>
      <c r="H536" s="2" t="str">
        <f>_xlfn.XLOOKUP(C536,customers!$A$1:$A$1001,customers!$G$1:$G$1001,0)</f>
        <v>Ireland</v>
      </c>
      <c r="I536" t="str">
        <f>_xlfn.XLOOKUP(D536,products!$A$1:$A$49,products!$B$1:$B$49,0)</f>
        <v>Rob</v>
      </c>
      <c r="J536" t="str">
        <f>_xlfn.XLOOKUP('data cleaned'!D536,products!$A$1:$A$49,products!$C$1:$C$49,0)</f>
        <v>M</v>
      </c>
      <c r="K536" s="5">
        <f>_xlfn.XLOOKUP('data cleaned'!D536,products!$A$1:$A$49,products!$D$1:$D$49,0)</f>
        <v>2.5</v>
      </c>
      <c r="L536" s="6">
        <f>_xlfn.XLOOKUP('data cleaned'!D536,products!$A$1:$A$49,products!$E$1:$E$49,0)</f>
        <v>22.884999999999998</v>
      </c>
      <c r="M536" s="6">
        <f>'data cleaned'!E536*'data cleaned'!L536</f>
        <v>45.769999999999996</v>
      </c>
      <c r="N536" t="str">
        <f t="shared" si="16"/>
        <v>Robusta</v>
      </c>
      <c r="O536" t="str">
        <f t="shared" si="17"/>
        <v>Medium</v>
      </c>
      <c r="P536" t="str">
        <f>_xlfn.XLOOKUP(worksheet[[#This Row],[Customer ID]],customers!$A$1:$A$1001,customers!$I$1:$I$1001,0)</f>
        <v>Yes</v>
      </c>
    </row>
    <row r="537" spans="1:16" x14ac:dyDescent="0.25">
      <c r="A537" s="2" t="s">
        <v>3516</v>
      </c>
      <c r="B537" s="4">
        <v>44585</v>
      </c>
      <c r="C537" s="2" t="s">
        <v>3517</v>
      </c>
      <c r="D537" t="s">
        <v>6145</v>
      </c>
      <c r="E537" s="2">
        <v>2</v>
      </c>
      <c r="F537" s="2" t="str">
        <f>_xlfn.XLOOKUP(C537,customers!$A$1:$A$1001,customers!$B$1:$B$1001,0)</f>
        <v>Timoteo Glisane</v>
      </c>
      <c r="G537" s="2" t="s">
        <v>6222</v>
      </c>
      <c r="H537" s="2" t="str">
        <f>_xlfn.XLOOKUP(C537,customers!$A$1:$A$1001,customers!$G$1:$G$1001,0)</f>
        <v>Ireland</v>
      </c>
      <c r="I537" t="str">
        <f>_xlfn.XLOOKUP(D537,products!$A$1:$A$49,products!$B$1:$B$49,0)</f>
        <v>Lib</v>
      </c>
      <c r="J537" t="str">
        <f>_xlfn.XLOOKUP('data cleaned'!D537,products!$A$1:$A$49,products!$C$1:$C$49,0)</f>
        <v>L</v>
      </c>
      <c r="K537" s="5">
        <f>_xlfn.XLOOKUP('data cleaned'!D537,products!$A$1:$A$49,products!$D$1:$D$49,0)</f>
        <v>0.2</v>
      </c>
      <c r="L537" s="6">
        <f>_xlfn.XLOOKUP('data cleaned'!D537,products!$A$1:$A$49,products!$E$1:$E$49,0)</f>
        <v>4.7549999999999999</v>
      </c>
      <c r="M537" s="6">
        <f>'data cleaned'!E537*'data cleaned'!L537</f>
        <v>9.51</v>
      </c>
      <c r="N537" t="str">
        <f t="shared" si="16"/>
        <v>Liberica</v>
      </c>
      <c r="O537" t="str">
        <f t="shared" si="17"/>
        <v>Light</v>
      </c>
      <c r="P537" t="str">
        <f>_xlfn.XLOOKUP(worksheet[[#This Row],[Customer ID]],customers!$A$1:$A$1001,customers!$I$1:$I$1001,0)</f>
        <v>No</v>
      </c>
    </row>
    <row r="538" spans="1:16" x14ac:dyDescent="0.25">
      <c r="A538" s="2" t="s">
        <v>3521</v>
      </c>
      <c r="B538" s="4">
        <v>43544</v>
      </c>
      <c r="C538" s="2" t="s">
        <v>3368</v>
      </c>
      <c r="D538" t="s">
        <v>6163</v>
      </c>
      <c r="E538" s="2">
        <v>3</v>
      </c>
      <c r="F538" s="2" t="str">
        <f>_xlfn.XLOOKUP(C538,customers!$A$1:$A$1001,customers!$B$1:$B$1001,0)</f>
        <v>Marja Urion</v>
      </c>
      <c r="G538" s="2" t="s">
        <v>3370</v>
      </c>
      <c r="H538" s="2" t="str">
        <f>_xlfn.XLOOKUP(C538,customers!$A$1:$A$1001,customers!$G$1:$G$1001,0)</f>
        <v>Ireland</v>
      </c>
      <c r="I538" t="str">
        <f>_xlfn.XLOOKUP(D538,products!$A$1:$A$49,products!$B$1:$B$49,0)</f>
        <v>Rob</v>
      </c>
      <c r="J538" t="str">
        <f>_xlfn.XLOOKUP('data cleaned'!D538,products!$A$1:$A$49,products!$C$1:$C$49,0)</f>
        <v>D</v>
      </c>
      <c r="K538" s="5">
        <f>_xlfn.XLOOKUP('data cleaned'!D538,products!$A$1:$A$49,products!$D$1:$D$49,0)</f>
        <v>0.2</v>
      </c>
      <c r="L538" s="6">
        <f>_xlfn.XLOOKUP('data cleaned'!D538,products!$A$1:$A$49,products!$E$1:$E$49,0)</f>
        <v>2.6849999999999996</v>
      </c>
      <c r="M538" s="6">
        <f>'data cleaned'!E538*'data cleaned'!L538</f>
        <v>8.0549999999999997</v>
      </c>
      <c r="N538" t="str">
        <f t="shared" si="16"/>
        <v>Robusta</v>
      </c>
      <c r="O538" t="str">
        <f t="shared" si="17"/>
        <v>Dark</v>
      </c>
      <c r="P538" t="str">
        <f>_xlfn.XLOOKUP(worksheet[[#This Row],[Customer ID]],customers!$A$1:$A$1001,customers!$I$1:$I$1001,0)</f>
        <v>Yes</v>
      </c>
    </row>
    <row r="539" spans="1:16" x14ac:dyDescent="0.25">
      <c r="A539" s="2" t="s">
        <v>3527</v>
      </c>
      <c r="B539" s="4">
        <v>44156</v>
      </c>
      <c r="C539" s="2" t="s">
        <v>3528</v>
      </c>
      <c r="D539" t="s">
        <v>6185</v>
      </c>
      <c r="E539" s="2">
        <v>4</v>
      </c>
      <c r="F539" s="2" t="str">
        <f>_xlfn.XLOOKUP(C539,customers!$A$1:$A$1001,customers!$B$1:$B$1001,0)</f>
        <v>Hildegarde Brangan</v>
      </c>
      <c r="G539" s="2" t="s">
        <v>3530</v>
      </c>
      <c r="H539" s="2" t="str">
        <f>_xlfn.XLOOKUP(C539,customers!$A$1:$A$1001,customers!$G$1:$G$1001,0)</f>
        <v>United States</v>
      </c>
      <c r="I539" t="str">
        <f>_xlfn.XLOOKUP(D539,products!$A$1:$A$49,products!$B$1:$B$49,0)</f>
        <v>Exc</v>
      </c>
      <c r="J539" t="str">
        <f>_xlfn.XLOOKUP('data cleaned'!D539,products!$A$1:$A$49,products!$C$1:$C$49,0)</f>
        <v>D</v>
      </c>
      <c r="K539" s="5">
        <f>_xlfn.XLOOKUP('data cleaned'!D539,products!$A$1:$A$49,products!$D$1:$D$49,0)</f>
        <v>2.5</v>
      </c>
      <c r="L539" s="6">
        <f>_xlfn.XLOOKUP('data cleaned'!D539,products!$A$1:$A$49,products!$E$1:$E$49,0)</f>
        <v>27.945</v>
      </c>
      <c r="M539" s="6">
        <f>'data cleaned'!E539*'data cleaned'!L539</f>
        <v>111.78</v>
      </c>
      <c r="N539" t="str">
        <f t="shared" si="16"/>
        <v>Excelsa</v>
      </c>
      <c r="O539" t="str">
        <f t="shared" si="17"/>
        <v>Dark</v>
      </c>
      <c r="P539" t="str">
        <f>_xlfn.XLOOKUP(worksheet[[#This Row],[Customer ID]],customers!$A$1:$A$1001,customers!$I$1:$I$1001,0)</f>
        <v>Yes</v>
      </c>
    </row>
    <row r="540" spans="1:16" x14ac:dyDescent="0.25">
      <c r="A540" s="2" t="s">
        <v>3532</v>
      </c>
      <c r="B540" s="4">
        <v>44482</v>
      </c>
      <c r="C540" s="2" t="s">
        <v>3533</v>
      </c>
      <c r="D540" t="s">
        <v>6163</v>
      </c>
      <c r="E540" s="2">
        <v>4</v>
      </c>
      <c r="F540" s="2" t="str">
        <f>_xlfn.XLOOKUP(C540,customers!$A$1:$A$1001,customers!$B$1:$B$1001,0)</f>
        <v>Amii Gallyon</v>
      </c>
      <c r="G540" s="2" t="s">
        <v>3535</v>
      </c>
      <c r="H540" s="2" t="str">
        <f>_xlfn.XLOOKUP(C540,customers!$A$1:$A$1001,customers!$G$1:$G$1001,0)</f>
        <v>United States</v>
      </c>
      <c r="I540" t="str">
        <f>_xlfn.XLOOKUP(D540,products!$A$1:$A$49,products!$B$1:$B$49,0)</f>
        <v>Rob</v>
      </c>
      <c r="J540" t="str">
        <f>_xlfn.XLOOKUP('data cleaned'!D540,products!$A$1:$A$49,products!$C$1:$C$49,0)</f>
        <v>D</v>
      </c>
      <c r="K540" s="5">
        <f>_xlfn.XLOOKUP('data cleaned'!D540,products!$A$1:$A$49,products!$D$1:$D$49,0)</f>
        <v>0.2</v>
      </c>
      <c r="L540" s="6">
        <f>_xlfn.XLOOKUP('data cleaned'!D540,products!$A$1:$A$49,products!$E$1:$E$49,0)</f>
        <v>2.6849999999999996</v>
      </c>
      <c r="M540" s="6">
        <f>'data cleaned'!E540*'data cleaned'!L540</f>
        <v>10.739999999999998</v>
      </c>
      <c r="N540" t="str">
        <f t="shared" si="16"/>
        <v>Robusta</v>
      </c>
      <c r="O540" t="str">
        <f t="shared" si="17"/>
        <v>Dark</v>
      </c>
      <c r="P540" t="str">
        <f>_xlfn.XLOOKUP(worksheet[[#This Row],[Customer ID]],customers!$A$1:$A$1001,customers!$I$1:$I$1001,0)</f>
        <v>Yes</v>
      </c>
    </row>
    <row r="541" spans="1:16" x14ac:dyDescent="0.25">
      <c r="A541" s="2" t="s">
        <v>3537</v>
      </c>
      <c r="B541" s="4">
        <v>44488</v>
      </c>
      <c r="C541" s="2" t="s">
        <v>3538</v>
      </c>
      <c r="D541" t="s">
        <v>6172</v>
      </c>
      <c r="E541" s="2">
        <v>5</v>
      </c>
      <c r="F541" s="2" t="str">
        <f>_xlfn.XLOOKUP(C541,customers!$A$1:$A$1001,customers!$B$1:$B$1001,0)</f>
        <v>Birgit Domange</v>
      </c>
      <c r="G541" s="2" t="s">
        <v>3540</v>
      </c>
      <c r="H541" s="2" t="str">
        <f>_xlfn.XLOOKUP(C541,customers!$A$1:$A$1001,customers!$G$1:$G$1001,0)</f>
        <v>United States</v>
      </c>
      <c r="I541" t="str">
        <f>_xlfn.XLOOKUP(D541,products!$A$1:$A$49,products!$B$1:$B$49,0)</f>
        <v>Rob</v>
      </c>
      <c r="J541" t="str">
        <f>_xlfn.XLOOKUP('data cleaned'!D541,products!$A$1:$A$49,products!$C$1:$C$49,0)</f>
        <v>D</v>
      </c>
      <c r="K541" s="5">
        <f>_xlfn.XLOOKUP('data cleaned'!D541,products!$A$1:$A$49,products!$D$1:$D$49,0)</f>
        <v>0.5</v>
      </c>
      <c r="L541" s="6">
        <f>_xlfn.XLOOKUP('data cleaned'!D541,products!$A$1:$A$49,products!$E$1:$E$49,0)</f>
        <v>5.3699999999999992</v>
      </c>
      <c r="M541" s="6">
        <f>'data cleaned'!E541*'data cleaned'!L541</f>
        <v>26.849999999999994</v>
      </c>
      <c r="N541" t="str">
        <f t="shared" si="16"/>
        <v>Robusta</v>
      </c>
      <c r="O541" t="str">
        <f t="shared" si="17"/>
        <v>Dark</v>
      </c>
      <c r="P541" t="str">
        <f>_xlfn.XLOOKUP(worksheet[[#This Row],[Customer ID]],customers!$A$1:$A$1001,customers!$I$1:$I$1001,0)</f>
        <v>No</v>
      </c>
    </row>
    <row r="542" spans="1:16" x14ac:dyDescent="0.25">
      <c r="A542" s="2" t="s">
        <v>3542</v>
      </c>
      <c r="B542" s="4">
        <v>43584</v>
      </c>
      <c r="C542" s="2" t="s">
        <v>3543</v>
      </c>
      <c r="D542" t="s">
        <v>6170</v>
      </c>
      <c r="E542" s="2">
        <v>4</v>
      </c>
      <c r="F542" s="2" t="str">
        <f>_xlfn.XLOOKUP(C542,customers!$A$1:$A$1001,customers!$B$1:$B$1001,0)</f>
        <v>Killian Osler</v>
      </c>
      <c r="G542" s="2" t="s">
        <v>3545</v>
      </c>
      <c r="H542" s="2" t="str">
        <f>_xlfn.XLOOKUP(C542,customers!$A$1:$A$1001,customers!$G$1:$G$1001,0)</f>
        <v>United States</v>
      </c>
      <c r="I542" t="str">
        <f>_xlfn.XLOOKUP(D542,products!$A$1:$A$49,products!$B$1:$B$49,0)</f>
        <v>Lib</v>
      </c>
      <c r="J542" t="str">
        <f>_xlfn.XLOOKUP('data cleaned'!D542,products!$A$1:$A$49,products!$C$1:$C$49,0)</f>
        <v>L</v>
      </c>
      <c r="K542" s="5">
        <f>_xlfn.XLOOKUP('data cleaned'!D542,products!$A$1:$A$49,products!$D$1:$D$49,0)</f>
        <v>1</v>
      </c>
      <c r="L542" s="6">
        <f>_xlfn.XLOOKUP('data cleaned'!D542,products!$A$1:$A$49,products!$E$1:$E$49,0)</f>
        <v>15.85</v>
      </c>
      <c r="M542" s="6">
        <f>'data cleaned'!E542*'data cleaned'!L542</f>
        <v>63.4</v>
      </c>
      <c r="N542" t="str">
        <f t="shared" si="16"/>
        <v>Liberica</v>
      </c>
      <c r="O542" t="str">
        <f t="shared" si="17"/>
        <v>Light</v>
      </c>
      <c r="P542" t="str">
        <f>_xlfn.XLOOKUP(worksheet[[#This Row],[Customer ID]],customers!$A$1:$A$1001,customers!$I$1:$I$1001,0)</f>
        <v>Yes</v>
      </c>
    </row>
    <row r="543" spans="1:16" x14ac:dyDescent="0.25">
      <c r="A543" s="2" t="s">
        <v>3548</v>
      </c>
      <c r="B543" s="4">
        <v>43750</v>
      </c>
      <c r="C543" s="2" t="s">
        <v>3549</v>
      </c>
      <c r="D543" t="s">
        <v>6168</v>
      </c>
      <c r="E543" s="2">
        <v>1</v>
      </c>
      <c r="F543" s="2" t="str">
        <f>_xlfn.XLOOKUP(C543,customers!$A$1:$A$1001,customers!$B$1:$B$1001,0)</f>
        <v>Lora Dukes</v>
      </c>
      <c r="G543" s="2" t="s">
        <v>6222</v>
      </c>
      <c r="H543" s="2" t="str">
        <f>_xlfn.XLOOKUP(C543,customers!$A$1:$A$1001,customers!$G$1:$G$1001,0)</f>
        <v>Ireland</v>
      </c>
      <c r="I543" t="str">
        <f>_xlfn.XLOOKUP(D543,products!$A$1:$A$49,products!$B$1:$B$49,0)</f>
        <v>Ara</v>
      </c>
      <c r="J543" t="str">
        <f>_xlfn.XLOOKUP('data cleaned'!D543,products!$A$1:$A$49,products!$C$1:$C$49,0)</f>
        <v>D</v>
      </c>
      <c r="K543" s="5">
        <f>_xlfn.XLOOKUP('data cleaned'!D543,products!$A$1:$A$49,products!$D$1:$D$49,0)</f>
        <v>2.5</v>
      </c>
      <c r="L543" s="6">
        <f>_xlfn.XLOOKUP('data cleaned'!D543,products!$A$1:$A$49,products!$E$1:$E$49,0)</f>
        <v>22.884999999999998</v>
      </c>
      <c r="M543" s="6">
        <f>'data cleaned'!E543*'data cleaned'!L543</f>
        <v>22.884999999999998</v>
      </c>
      <c r="N543" t="str">
        <f t="shared" si="16"/>
        <v>Arabica</v>
      </c>
      <c r="O543" t="str">
        <f t="shared" si="17"/>
        <v>Dark</v>
      </c>
      <c r="P543" t="str">
        <f>_xlfn.XLOOKUP(worksheet[[#This Row],[Customer ID]],customers!$A$1:$A$1001,customers!$I$1:$I$1001,0)</f>
        <v>Yes</v>
      </c>
    </row>
    <row r="544" spans="1:16" x14ac:dyDescent="0.25">
      <c r="A544" s="2" t="s">
        <v>3553</v>
      </c>
      <c r="B544" s="4">
        <v>44335</v>
      </c>
      <c r="C544" s="2" t="s">
        <v>3554</v>
      </c>
      <c r="D544" t="s">
        <v>6175</v>
      </c>
      <c r="E544" s="2">
        <v>4</v>
      </c>
      <c r="F544" s="2" t="str">
        <f>_xlfn.XLOOKUP(C544,customers!$A$1:$A$1001,customers!$B$1:$B$1001,0)</f>
        <v>Zack Pellett</v>
      </c>
      <c r="G544" s="2" t="s">
        <v>3556</v>
      </c>
      <c r="H544" s="2" t="str">
        <f>_xlfn.XLOOKUP(C544,customers!$A$1:$A$1001,customers!$G$1:$G$1001,0)</f>
        <v>United States</v>
      </c>
      <c r="I544" t="str">
        <f>_xlfn.XLOOKUP(D544,products!$A$1:$A$49,products!$B$1:$B$49,0)</f>
        <v>Ara</v>
      </c>
      <c r="J544" t="str">
        <f>_xlfn.XLOOKUP('data cleaned'!D544,products!$A$1:$A$49,products!$C$1:$C$49,0)</f>
        <v>M</v>
      </c>
      <c r="K544" s="5">
        <f>_xlfn.XLOOKUP('data cleaned'!D544,products!$A$1:$A$49,products!$D$1:$D$49,0)</f>
        <v>2.5</v>
      </c>
      <c r="L544" s="6">
        <f>_xlfn.XLOOKUP('data cleaned'!D544,products!$A$1:$A$49,products!$E$1:$E$49,0)</f>
        <v>25.874999999999996</v>
      </c>
      <c r="M544" s="6">
        <f>'data cleaned'!E544*'data cleaned'!L544</f>
        <v>103.49999999999999</v>
      </c>
      <c r="N544" t="str">
        <f t="shared" si="16"/>
        <v>Arabica</v>
      </c>
      <c r="O544" t="str">
        <f t="shared" si="17"/>
        <v>Medium</v>
      </c>
      <c r="P544" t="str">
        <f>_xlfn.XLOOKUP(worksheet[[#This Row],[Customer ID]],customers!$A$1:$A$1001,customers!$I$1:$I$1001,0)</f>
        <v>No</v>
      </c>
    </row>
    <row r="545" spans="1:16" x14ac:dyDescent="0.25">
      <c r="A545" s="2" t="s">
        <v>3559</v>
      </c>
      <c r="B545" s="4">
        <v>44380</v>
      </c>
      <c r="C545" s="2" t="s">
        <v>3560</v>
      </c>
      <c r="D545" t="s">
        <v>6142</v>
      </c>
      <c r="E545" s="2">
        <v>2</v>
      </c>
      <c r="F545" s="2" t="str">
        <f>_xlfn.XLOOKUP(C545,customers!$A$1:$A$1001,customers!$B$1:$B$1001,0)</f>
        <v>Ilaire Sprakes</v>
      </c>
      <c r="G545" s="2" t="s">
        <v>3562</v>
      </c>
      <c r="H545" s="2" t="str">
        <f>_xlfn.XLOOKUP(C545,customers!$A$1:$A$1001,customers!$G$1:$G$1001,0)</f>
        <v>United States</v>
      </c>
      <c r="I545" t="str">
        <f>_xlfn.XLOOKUP(D545,products!$A$1:$A$49,products!$B$1:$B$49,0)</f>
        <v>Rob</v>
      </c>
      <c r="J545" t="str">
        <f>_xlfn.XLOOKUP('data cleaned'!D545,products!$A$1:$A$49,products!$C$1:$C$49,0)</f>
        <v>L</v>
      </c>
      <c r="K545" s="5">
        <f>_xlfn.XLOOKUP('data cleaned'!D545,products!$A$1:$A$49,products!$D$1:$D$49,0)</f>
        <v>2.5</v>
      </c>
      <c r="L545" s="6">
        <f>_xlfn.XLOOKUP('data cleaned'!D545,products!$A$1:$A$49,products!$E$1:$E$49,0)</f>
        <v>27.484999999999996</v>
      </c>
      <c r="M545" s="6">
        <f>'data cleaned'!E545*'data cleaned'!L545</f>
        <v>54.969999999999992</v>
      </c>
      <c r="N545" t="str">
        <f t="shared" si="16"/>
        <v>Robusta</v>
      </c>
      <c r="O545" t="str">
        <f t="shared" si="17"/>
        <v>Light</v>
      </c>
      <c r="P545" t="str">
        <f>_xlfn.XLOOKUP(worksheet[[#This Row],[Customer ID]],customers!$A$1:$A$1001,customers!$I$1:$I$1001,0)</f>
        <v>No</v>
      </c>
    </row>
    <row r="546" spans="1:16" x14ac:dyDescent="0.25">
      <c r="A546" s="2" t="s">
        <v>3565</v>
      </c>
      <c r="B546" s="4">
        <v>43869</v>
      </c>
      <c r="C546" s="2" t="s">
        <v>3566</v>
      </c>
      <c r="D546" t="s">
        <v>6180</v>
      </c>
      <c r="E546" s="2">
        <v>2</v>
      </c>
      <c r="F546" s="2" t="str">
        <f>_xlfn.XLOOKUP(C546,customers!$A$1:$A$1001,customers!$B$1:$B$1001,0)</f>
        <v>Heda Fromant</v>
      </c>
      <c r="G546" s="2" t="s">
        <v>3568</v>
      </c>
      <c r="H546" s="2" t="str">
        <f>_xlfn.XLOOKUP(C546,customers!$A$1:$A$1001,customers!$G$1:$G$1001,0)</f>
        <v>United States</v>
      </c>
      <c r="I546" t="str">
        <f>_xlfn.XLOOKUP(D546,products!$A$1:$A$49,products!$B$1:$B$49,0)</f>
        <v>Ara</v>
      </c>
      <c r="J546" t="str">
        <f>_xlfn.XLOOKUP('data cleaned'!D546,products!$A$1:$A$49,products!$C$1:$C$49,0)</f>
        <v>L</v>
      </c>
      <c r="K546" s="5">
        <f>_xlfn.XLOOKUP('data cleaned'!D546,products!$A$1:$A$49,products!$D$1:$D$49,0)</f>
        <v>0.5</v>
      </c>
      <c r="L546" s="6">
        <f>_xlfn.XLOOKUP('data cleaned'!D546,products!$A$1:$A$49,products!$E$1:$E$49,0)</f>
        <v>7.77</v>
      </c>
      <c r="M546" s="6">
        <f>'data cleaned'!E546*'data cleaned'!L546</f>
        <v>15.54</v>
      </c>
      <c r="N546" t="str">
        <f t="shared" si="16"/>
        <v>Arabica</v>
      </c>
      <c r="O546" t="str">
        <f t="shared" si="17"/>
        <v>Light</v>
      </c>
      <c r="P546" t="str">
        <f>_xlfn.XLOOKUP(worksheet[[#This Row],[Customer ID]],customers!$A$1:$A$1001,customers!$I$1:$I$1001,0)</f>
        <v>No</v>
      </c>
    </row>
    <row r="547" spans="1:16" x14ac:dyDescent="0.25">
      <c r="A547" s="2" t="s">
        <v>3571</v>
      </c>
      <c r="B547" s="4">
        <v>44120</v>
      </c>
      <c r="C547" s="2" t="s">
        <v>3572</v>
      </c>
      <c r="D547" t="s">
        <v>6150</v>
      </c>
      <c r="E547" s="2">
        <v>4</v>
      </c>
      <c r="F547" s="2" t="str">
        <f>_xlfn.XLOOKUP(C547,customers!$A$1:$A$1001,customers!$B$1:$B$1001,0)</f>
        <v>Rufus Flear</v>
      </c>
      <c r="G547" s="2" t="s">
        <v>3574</v>
      </c>
      <c r="H547" s="2" t="str">
        <f>_xlfn.XLOOKUP(C547,customers!$A$1:$A$1001,customers!$G$1:$G$1001,0)</f>
        <v>United Kingdom</v>
      </c>
      <c r="I547" t="str">
        <f>_xlfn.XLOOKUP(D547,products!$A$1:$A$49,products!$B$1:$B$49,0)</f>
        <v>Lib</v>
      </c>
      <c r="J547" t="str">
        <f>_xlfn.XLOOKUP('data cleaned'!D547,products!$A$1:$A$49,products!$C$1:$C$49,0)</f>
        <v>D</v>
      </c>
      <c r="K547" s="5">
        <f>_xlfn.XLOOKUP('data cleaned'!D547,products!$A$1:$A$49,products!$D$1:$D$49,0)</f>
        <v>0.2</v>
      </c>
      <c r="L547" s="6">
        <f>_xlfn.XLOOKUP('data cleaned'!D547,products!$A$1:$A$49,products!$E$1:$E$49,0)</f>
        <v>3.8849999999999998</v>
      </c>
      <c r="M547" s="6">
        <f>'data cleaned'!E547*'data cleaned'!L547</f>
        <v>15.54</v>
      </c>
      <c r="N547" t="str">
        <f t="shared" si="16"/>
        <v>Liberica</v>
      </c>
      <c r="O547" t="str">
        <f t="shared" si="17"/>
        <v>Dark</v>
      </c>
      <c r="P547" t="str">
        <f>_xlfn.XLOOKUP(worksheet[[#This Row],[Customer ID]],customers!$A$1:$A$1001,customers!$I$1:$I$1001,0)</f>
        <v>No</v>
      </c>
    </row>
    <row r="548" spans="1:16" x14ac:dyDescent="0.25">
      <c r="A548" s="2" t="s">
        <v>3577</v>
      </c>
      <c r="B548" s="4">
        <v>44127</v>
      </c>
      <c r="C548" s="2" t="s">
        <v>3578</v>
      </c>
      <c r="D548" t="s">
        <v>6185</v>
      </c>
      <c r="E548" s="2">
        <v>3</v>
      </c>
      <c r="F548" s="2" t="str">
        <f>_xlfn.XLOOKUP(C548,customers!$A$1:$A$1001,customers!$B$1:$B$1001,0)</f>
        <v>Dom Milella</v>
      </c>
      <c r="G548" s="2" t="s">
        <v>6222</v>
      </c>
      <c r="H548" s="2" t="str">
        <f>_xlfn.XLOOKUP(C548,customers!$A$1:$A$1001,customers!$G$1:$G$1001,0)</f>
        <v>Ireland</v>
      </c>
      <c r="I548" t="str">
        <f>_xlfn.XLOOKUP(D548,products!$A$1:$A$49,products!$B$1:$B$49,0)</f>
        <v>Exc</v>
      </c>
      <c r="J548" t="str">
        <f>_xlfn.XLOOKUP('data cleaned'!D548,products!$A$1:$A$49,products!$C$1:$C$49,0)</f>
        <v>D</v>
      </c>
      <c r="K548" s="5">
        <f>_xlfn.XLOOKUP('data cleaned'!D548,products!$A$1:$A$49,products!$D$1:$D$49,0)</f>
        <v>2.5</v>
      </c>
      <c r="L548" s="6">
        <f>_xlfn.XLOOKUP('data cleaned'!D548,products!$A$1:$A$49,products!$E$1:$E$49,0)</f>
        <v>27.945</v>
      </c>
      <c r="M548" s="6">
        <f>'data cleaned'!E548*'data cleaned'!L548</f>
        <v>83.835000000000008</v>
      </c>
      <c r="N548" t="str">
        <f t="shared" si="16"/>
        <v>Excelsa</v>
      </c>
      <c r="O548" t="str">
        <f t="shared" si="17"/>
        <v>Dark</v>
      </c>
      <c r="P548" t="str">
        <f>_xlfn.XLOOKUP(worksheet[[#This Row],[Customer ID]],customers!$A$1:$A$1001,customers!$I$1:$I$1001,0)</f>
        <v>No</v>
      </c>
    </row>
    <row r="549" spans="1:16" x14ac:dyDescent="0.25">
      <c r="A549" s="2" t="s">
        <v>3582</v>
      </c>
      <c r="B549" s="4">
        <v>44265</v>
      </c>
      <c r="C549" s="2" t="s">
        <v>3594</v>
      </c>
      <c r="D549" t="s">
        <v>6178</v>
      </c>
      <c r="E549" s="2">
        <v>3</v>
      </c>
      <c r="F549" s="2" t="str">
        <f>_xlfn.XLOOKUP(C549,customers!$A$1:$A$1001,customers!$B$1:$B$1001,0)</f>
        <v>Wilek Lightollers</v>
      </c>
      <c r="G549" s="2" t="s">
        <v>3596</v>
      </c>
      <c r="H549" s="2" t="str">
        <f>_xlfn.XLOOKUP(C549,customers!$A$1:$A$1001,customers!$G$1:$G$1001,0)</f>
        <v>United States</v>
      </c>
      <c r="I549" t="str">
        <f>_xlfn.XLOOKUP(D549,products!$A$1:$A$49,products!$B$1:$B$49,0)</f>
        <v>Rob</v>
      </c>
      <c r="J549" t="str">
        <f>_xlfn.XLOOKUP('data cleaned'!D549,products!$A$1:$A$49,products!$C$1:$C$49,0)</f>
        <v>L</v>
      </c>
      <c r="K549" s="5">
        <f>_xlfn.XLOOKUP('data cleaned'!D549,products!$A$1:$A$49,products!$D$1:$D$49,0)</f>
        <v>0.2</v>
      </c>
      <c r="L549" s="6">
        <f>_xlfn.XLOOKUP('data cleaned'!D549,products!$A$1:$A$49,products!$E$1:$E$49,0)</f>
        <v>3.5849999999999995</v>
      </c>
      <c r="M549" s="6">
        <f>'data cleaned'!E549*'data cleaned'!L549</f>
        <v>10.754999999999999</v>
      </c>
      <c r="N549" t="str">
        <f t="shared" si="16"/>
        <v>Robusta</v>
      </c>
      <c r="O549" t="str">
        <f t="shared" si="17"/>
        <v>Light</v>
      </c>
      <c r="P549" t="str">
        <f>_xlfn.XLOOKUP(worksheet[[#This Row],[Customer ID]],customers!$A$1:$A$1001,customers!$I$1:$I$1001,0)</f>
        <v>Yes</v>
      </c>
    </row>
    <row r="550" spans="1:16" x14ac:dyDescent="0.25">
      <c r="A550" s="2" t="s">
        <v>3587</v>
      </c>
      <c r="B550" s="4">
        <v>44384</v>
      </c>
      <c r="C550" s="2" t="s">
        <v>3588</v>
      </c>
      <c r="D550" t="s">
        <v>6184</v>
      </c>
      <c r="E550" s="2">
        <v>3</v>
      </c>
      <c r="F550" s="2" t="str">
        <f>_xlfn.XLOOKUP(C550,customers!$A$1:$A$1001,customers!$B$1:$B$1001,0)</f>
        <v>Bette-ann Munden</v>
      </c>
      <c r="G550" s="2" t="s">
        <v>3590</v>
      </c>
      <c r="H550" s="2" t="str">
        <f>_xlfn.XLOOKUP(C550,customers!$A$1:$A$1001,customers!$G$1:$G$1001,0)</f>
        <v>United States</v>
      </c>
      <c r="I550" t="str">
        <f>_xlfn.XLOOKUP(D550,products!$A$1:$A$49,products!$B$1:$B$49,0)</f>
        <v>Exc</v>
      </c>
      <c r="J550" t="str">
        <f>_xlfn.XLOOKUP('data cleaned'!D550,products!$A$1:$A$49,products!$C$1:$C$49,0)</f>
        <v>L</v>
      </c>
      <c r="K550" s="5">
        <f>_xlfn.XLOOKUP('data cleaned'!D550,products!$A$1:$A$49,products!$D$1:$D$49,0)</f>
        <v>0.2</v>
      </c>
      <c r="L550" s="6">
        <f>_xlfn.XLOOKUP('data cleaned'!D550,products!$A$1:$A$49,products!$E$1:$E$49,0)</f>
        <v>4.4550000000000001</v>
      </c>
      <c r="M550" s="6">
        <f>'data cleaned'!E550*'data cleaned'!L550</f>
        <v>13.365</v>
      </c>
      <c r="N550" t="str">
        <f t="shared" si="16"/>
        <v>Excelsa</v>
      </c>
      <c r="O550" t="str">
        <f t="shared" si="17"/>
        <v>Light</v>
      </c>
      <c r="P550" t="str">
        <f>_xlfn.XLOOKUP(worksheet[[#This Row],[Customer ID]],customers!$A$1:$A$1001,customers!$I$1:$I$1001,0)</f>
        <v>Yes</v>
      </c>
    </row>
    <row r="551" spans="1:16" x14ac:dyDescent="0.25">
      <c r="A551" s="2" t="s">
        <v>3593</v>
      </c>
      <c r="B551" s="4">
        <v>44232</v>
      </c>
      <c r="C551" s="2" t="s">
        <v>3594</v>
      </c>
      <c r="D551" t="s">
        <v>6184</v>
      </c>
      <c r="E551" s="2">
        <v>4</v>
      </c>
      <c r="F551" s="2" t="str">
        <f>_xlfn.XLOOKUP(C551,customers!$A$1:$A$1001,customers!$B$1:$B$1001,0)</f>
        <v>Wilek Lightollers</v>
      </c>
      <c r="G551" s="2" t="s">
        <v>3596</v>
      </c>
      <c r="H551" s="2" t="str">
        <f>_xlfn.XLOOKUP(C551,customers!$A$1:$A$1001,customers!$G$1:$G$1001,0)</f>
        <v>United States</v>
      </c>
      <c r="I551" t="str">
        <f>_xlfn.XLOOKUP(D551,products!$A$1:$A$49,products!$B$1:$B$49,0)</f>
        <v>Exc</v>
      </c>
      <c r="J551" t="str">
        <f>_xlfn.XLOOKUP('data cleaned'!D551,products!$A$1:$A$49,products!$C$1:$C$49,0)</f>
        <v>L</v>
      </c>
      <c r="K551" s="5">
        <f>_xlfn.XLOOKUP('data cleaned'!D551,products!$A$1:$A$49,products!$D$1:$D$49,0)</f>
        <v>0.2</v>
      </c>
      <c r="L551" s="6">
        <f>_xlfn.XLOOKUP('data cleaned'!D551,products!$A$1:$A$49,products!$E$1:$E$49,0)</f>
        <v>4.4550000000000001</v>
      </c>
      <c r="M551" s="6">
        <f>'data cleaned'!E551*'data cleaned'!L551</f>
        <v>17.82</v>
      </c>
      <c r="N551" t="str">
        <f t="shared" si="16"/>
        <v>Excelsa</v>
      </c>
      <c r="O551" t="str">
        <f t="shared" si="17"/>
        <v>Light</v>
      </c>
      <c r="P551" t="str">
        <f>_xlfn.XLOOKUP(worksheet[[#This Row],[Customer ID]],customers!$A$1:$A$1001,customers!$I$1:$I$1001,0)</f>
        <v>Yes</v>
      </c>
    </row>
    <row r="552" spans="1:16" x14ac:dyDescent="0.25">
      <c r="A552" s="2" t="s">
        <v>3599</v>
      </c>
      <c r="B552" s="4">
        <v>44176</v>
      </c>
      <c r="C552" s="2" t="s">
        <v>3600</v>
      </c>
      <c r="D552" t="s">
        <v>6150</v>
      </c>
      <c r="E552" s="2">
        <v>6</v>
      </c>
      <c r="F552" s="2" t="str">
        <f>_xlfn.XLOOKUP(C552,customers!$A$1:$A$1001,customers!$B$1:$B$1001,0)</f>
        <v>Nick Brakespear</v>
      </c>
      <c r="G552" s="2" t="s">
        <v>3602</v>
      </c>
      <c r="H552" s="2" t="str">
        <f>_xlfn.XLOOKUP(C552,customers!$A$1:$A$1001,customers!$G$1:$G$1001,0)</f>
        <v>United States</v>
      </c>
      <c r="I552" t="str">
        <f>_xlfn.XLOOKUP(D552,products!$A$1:$A$49,products!$B$1:$B$49,0)</f>
        <v>Lib</v>
      </c>
      <c r="J552" t="str">
        <f>_xlfn.XLOOKUP('data cleaned'!D552,products!$A$1:$A$49,products!$C$1:$C$49,0)</f>
        <v>D</v>
      </c>
      <c r="K552" s="5">
        <f>_xlfn.XLOOKUP('data cleaned'!D552,products!$A$1:$A$49,products!$D$1:$D$49,0)</f>
        <v>0.2</v>
      </c>
      <c r="L552" s="6">
        <f>_xlfn.XLOOKUP('data cleaned'!D552,products!$A$1:$A$49,products!$E$1:$E$49,0)</f>
        <v>3.8849999999999998</v>
      </c>
      <c r="M552" s="6">
        <f>'data cleaned'!E552*'data cleaned'!L552</f>
        <v>23.31</v>
      </c>
      <c r="N552" t="str">
        <f t="shared" si="16"/>
        <v>Liberica</v>
      </c>
      <c r="O552" t="str">
        <f t="shared" si="17"/>
        <v>Dark</v>
      </c>
      <c r="P552" t="str">
        <f>_xlfn.XLOOKUP(worksheet[[#This Row],[Customer ID]],customers!$A$1:$A$1001,customers!$I$1:$I$1001,0)</f>
        <v>Yes</v>
      </c>
    </row>
    <row r="553" spans="1:16" x14ac:dyDescent="0.25">
      <c r="A553" s="2" t="s">
        <v>3605</v>
      </c>
      <c r="B553" s="4">
        <v>44694</v>
      </c>
      <c r="C553" s="2" t="s">
        <v>3606</v>
      </c>
      <c r="D553" t="s">
        <v>6153</v>
      </c>
      <c r="E553" s="2">
        <v>2</v>
      </c>
      <c r="F553" s="2" t="str">
        <f>_xlfn.XLOOKUP(C553,customers!$A$1:$A$1001,customers!$B$1:$B$1001,0)</f>
        <v>Malynda Glawsop</v>
      </c>
      <c r="G553" s="2" t="s">
        <v>3608</v>
      </c>
      <c r="H553" s="2" t="str">
        <f>_xlfn.XLOOKUP(C553,customers!$A$1:$A$1001,customers!$G$1:$G$1001,0)</f>
        <v>United States</v>
      </c>
      <c r="I553" t="str">
        <f>_xlfn.XLOOKUP(D553,products!$A$1:$A$49,products!$B$1:$B$49,0)</f>
        <v>Exc</v>
      </c>
      <c r="J553" t="str">
        <f>_xlfn.XLOOKUP('data cleaned'!D553,products!$A$1:$A$49,products!$C$1:$C$49,0)</f>
        <v>D</v>
      </c>
      <c r="K553" s="5">
        <f>_xlfn.XLOOKUP('data cleaned'!D553,products!$A$1:$A$49,products!$D$1:$D$49,0)</f>
        <v>0.2</v>
      </c>
      <c r="L553" s="6">
        <f>_xlfn.XLOOKUP('data cleaned'!D553,products!$A$1:$A$49,products!$E$1:$E$49,0)</f>
        <v>3.645</v>
      </c>
      <c r="M553" s="6">
        <f>'data cleaned'!E553*'data cleaned'!L553</f>
        <v>7.29</v>
      </c>
      <c r="N553" t="str">
        <f t="shared" si="16"/>
        <v>Excelsa</v>
      </c>
      <c r="O553" t="str">
        <f t="shared" si="17"/>
        <v>Dark</v>
      </c>
      <c r="P553" t="str">
        <f>_xlfn.XLOOKUP(worksheet[[#This Row],[Customer ID]],customers!$A$1:$A$1001,customers!$I$1:$I$1001,0)</f>
        <v>No</v>
      </c>
    </row>
    <row r="554" spans="1:16" x14ac:dyDescent="0.25">
      <c r="A554" s="2" t="s">
        <v>3611</v>
      </c>
      <c r="B554" s="4">
        <v>43761</v>
      </c>
      <c r="C554" s="2" t="s">
        <v>3612</v>
      </c>
      <c r="D554" t="s">
        <v>6184</v>
      </c>
      <c r="E554" s="2">
        <v>4</v>
      </c>
      <c r="F554" s="2" t="str">
        <f>_xlfn.XLOOKUP(C554,customers!$A$1:$A$1001,customers!$B$1:$B$1001,0)</f>
        <v>Granville Alberts</v>
      </c>
      <c r="G554" s="2" t="s">
        <v>3614</v>
      </c>
      <c r="H554" s="2" t="str">
        <f>_xlfn.XLOOKUP(C554,customers!$A$1:$A$1001,customers!$G$1:$G$1001,0)</f>
        <v>United Kingdom</v>
      </c>
      <c r="I554" t="str">
        <f>_xlfn.XLOOKUP(D554,products!$A$1:$A$49,products!$B$1:$B$49,0)</f>
        <v>Exc</v>
      </c>
      <c r="J554" t="str">
        <f>_xlfn.XLOOKUP('data cleaned'!D554,products!$A$1:$A$49,products!$C$1:$C$49,0)</f>
        <v>L</v>
      </c>
      <c r="K554" s="5">
        <f>_xlfn.XLOOKUP('data cleaned'!D554,products!$A$1:$A$49,products!$D$1:$D$49,0)</f>
        <v>0.2</v>
      </c>
      <c r="L554" s="6">
        <f>_xlfn.XLOOKUP('data cleaned'!D554,products!$A$1:$A$49,products!$E$1:$E$49,0)</f>
        <v>4.4550000000000001</v>
      </c>
      <c r="M554" s="6">
        <f>'data cleaned'!E554*'data cleaned'!L554</f>
        <v>17.82</v>
      </c>
      <c r="N554" t="str">
        <f t="shared" si="16"/>
        <v>Excelsa</v>
      </c>
      <c r="O554" t="str">
        <f t="shared" si="17"/>
        <v>Light</v>
      </c>
      <c r="P554" t="str">
        <f>_xlfn.XLOOKUP(worksheet[[#This Row],[Customer ID]],customers!$A$1:$A$1001,customers!$I$1:$I$1001,0)</f>
        <v>Yes</v>
      </c>
    </row>
    <row r="555" spans="1:16" x14ac:dyDescent="0.25">
      <c r="A555" s="2" t="s">
        <v>3617</v>
      </c>
      <c r="B555" s="4">
        <v>44085</v>
      </c>
      <c r="C555" s="2" t="s">
        <v>3618</v>
      </c>
      <c r="D555" t="s">
        <v>6141</v>
      </c>
      <c r="E555" s="2">
        <v>5</v>
      </c>
      <c r="F555" s="2" t="str">
        <f>_xlfn.XLOOKUP(C555,customers!$A$1:$A$1001,customers!$B$1:$B$1001,0)</f>
        <v>Vasily Polglase</v>
      </c>
      <c r="G555" s="2" t="s">
        <v>3620</v>
      </c>
      <c r="H555" s="2" t="str">
        <f>_xlfn.XLOOKUP(C555,customers!$A$1:$A$1001,customers!$G$1:$G$1001,0)</f>
        <v>United States</v>
      </c>
      <c r="I555" t="str">
        <f>_xlfn.XLOOKUP(D555,products!$A$1:$A$49,products!$B$1:$B$49,0)</f>
        <v>Exc</v>
      </c>
      <c r="J555" t="str">
        <f>_xlfn.XLOOKUP('data cleaned'!D555,products!$A$1:$A$49,products!$C$1:$C$49,0)</f>
        <v>M</v>
      </c>
      <c r="K555" s="5">
        <f>_xlfn.XLOOKUP('data cleaned'!D555,products!$A$1:$A$49,products!$D$1:$D$49,0)</f>
        <v>1</v>
      </c>
      <c r="L555" s="6">
        <f>_xlfn.XLOOKUP('data cleaned'!D555,products!$A$1:$A$49,products!$E$1:$E$49,0)</f>
        <v>13.75</v>
      </c>
      <c r="M555" s="6">
        <f>'data cleaned'!E555*'data cleaned'!L555</f>
        <v>68.75</v>
      </c>
      <c r="N555" t="str">
        <f t="shared" si="16"/>
        <v>Excelsa</v>
      </c>
      <c r="O555" t="str">
        <f t="shared" si="17"/>
        <v>Medium</v>
      </c>
      <c r="P555" t="str">
        <f>_xlfn.XLOOKUP(worksheet[[#This Row],[Customer ID]],customers!$A$1:$A$1001,customers!$I$1:$I$1001,0)</f>
        <v>No</v>
      </c>
    </row>
    <row r="556" spans="1:16" x14ac:dyDescent="0.25">
      <c r="A556" s="2" t="s">
        <v>3622</v>
      </c>
      <c r="B556" s="4">
        <v>43737</v>
      </c>
      <c r="C556" s="2" t="s">
        <v>3623</v>
      </c>
      <c r="D556" t="s">
        <v>6142</v>
      </c>
      <c r="E556" s="2">
        <v>2</v>
      </c>
      <c r="F556" s="2" t="str">
        <f>_xlfn.XLOOKUP(C556,customers!$A$1:$A$1001,customers!$B$1:$B$1001,0)</f>
        <v>Madelaine Sharples</v>
      </c>
      <c r="G556" s="2" t="s">
        <v>6222</v>
      </c>
      <c r="H556" s="2" t="str">
        <f>_xlfn.XLOOKUP(C556,customers!$A$1:$A$1001,customers!$G$1:$G$1001,0)</f>
        <v>United Kingdom</v>
      </c>
      <c r="I556" t="str">
        <f>_xlfn.XLOOKUP(D556,products!$A$1:$A$49,products!$B$1:$B$49,0)</f>
        <v>Rob</v>
      </c>
      <c r="J556" t="str">
        <f>_xlfn.XLOOKUP('data cleaned'!D556,products!$A$1:$A$49,products!$C$1:$C$49,0)</f>
        <v>L</v>
      </c>
      <c r="K556" s="5">
        <f>_xlfn.XLOOKUP('data cleaned'!D556,products!$A$1:$A$49,products!$D$1:$D$49,0)</f>
        <v>2.5</v>
      </c>
      <c r="L556" s="6">
        <f>_xlfn.XLOOKUP('data cleaned'!D556,products!$A$1:$A$49,products!$E$1:$E$49,0)</f>
        <v>27.484999999999996</v>
      </c>
      <c r="M556" s="6">
        <f>'data cleaned'!E556*'data cleaned'!L556</f>
        <v>54.969999999999992</v>
      </c>
      <c r="N556" t="str">
        <f t="shared" si="16"/>
        <v>Robusta</v>
      </c>
      <c r="O556" t="str">
        <f t="shared" si="17"/>
        <v>Light</v>
      </c>
      <c r="P556" t="str">
        <f>_xlfn.XLOOKUP(worksheet[[#This Row],[Customer ID]],customers!$A$1:$A$1001,customers!$I$1:$I$1001,0)</f>
        <v>Yes</v>
      </c>
    </row>
    <row r="557" spans="1:16" x14ac:dyDescent="0.25">
      <c r="A557" s="2" t="s">
        <v>3627</v>
      </c>
      <c r="B557" s="4">
        <v>44258</v>
      </c>
      <c r="C557" s="2" t="s">
        <v>3628</v>
      </c>
      <c r="D557" t="s">
        <v>6141</v>
      </c>
      <c r="E557" s="2">
        <v>6</v>
      </c>
      <c r="F557" s="2" t="str">
        <f>_xlfn.XLOOKUP(C557,customers!$A$1:$A$1001,customers!$B$1:$B$1001,0)</f>
        <v>Sigfrid Busch</v>
      </c>
      <c r="G557" s="2" t="s">
        <v>3630</v>
      </c>
      <c r="H557" s="2" t="str">
        <f>_xlfn.XLOOKUP(C557,customers!$A$1:$A$1001,customers!$G$1:$G$1001,0)</f>
        <v>Ireland</v>
      </c>
      <c r="I557" t="str">
        <f>_xlfn.XLOOKUP(D557,products!$A$1:$A$49,products!$B$1:$B$49,0)</f>
        <v>Exc</v>
      </c>
      <c r="J557" t="str">
        <f>_xlfn.XLOOKUP('data cleaned'!D557,products!$A$1:$A$49,products!$C$1:$C$49,0)</f>
        <v>M</v>
      </c>
      <c r="K557" s="5">
        <f>_xlfn.XLOOKUP('data cleaned'!D557,products!$A$1:$A$49,products!$D$1:$D$49,0)</f>
        <v>1</v>
      </c>
      <c r="L557" s="6">
        <f>_xlfn.XLOOKUP('data cleaned'!D557,products!$A$1:$A$49,products!$E$1:$E$49,0)</f>
        <v>13.75</v>
      </c>
      <c r="M557" s="6">
        <f>'data cleaned'!E557*'data cleaned'!L557</f>
        <v>82.5</v>
      </c>
      <c r="N557" t="str">
        <f t="shared" si="16"/>
        <v>Excelsa</v>
      </c>
      <c r="O557" t="str">
        <f t="shared" si="17"/>
        <v>Medium</v>
      </c>
      <c r="P557" t="str">
        <f>_xlfn.XLOOKUP(worksheet[[#This Row],[Customer ID]],customers!$A$1:$A$1001,customers!$I$1:$I$1001,0)</f>
        <v>No</v>
      </c>
    </row>
    <row r="558" spans="1:16" x14ac:dyDescent="0.25">
      <c r="A558" s="2" t="s">
        <v>3633</v>
      </c>
      <c r="B558" s="4">
        <v>44523</v>
      </c>
      <c r="C558" s="2" t="s">
        <v>3634</v>
      </c>
      <c r="D558" t="s">
        <v>6159</v>
      </c>
      <c r="E558" s="2">
        <v>2</v>
      </c>
      <c r="F558" s="2" t="str">
        <f>_xlfn.XLOOKUP(C558,customers!$A$1:$A$1001,customers!$B$1:$B$1001,0)</f>
        <v>Cissiee Raisbeck</v>
      </c>
      <c r="G558" s="2" t="s">
        <v>3636</v>
      </c>
      <c r="H558" s="2" t="str">
        <f>_xlfn.XLOOKUP(C558,customers!$A$1:$A$1001,customers!$G$1:$G$1001,0)</f>
        <v>United States</v>
      </c>
      <c r="I558" t="str">
        <f>_xlfn.XLOOKUP(D558,products!$A$1:$A$49,products!$B$1:$B$49,0)</f>
        <v>Lib</v>
      </c>
      <c r="J558" t="str">
        <f>_xlfn.XLOOKUP('data cleaned'!D558,products!$A$1:$A$49,products!$C$1:$C$49,0)</f>
        <v>M</v>
      </c>
      <c r="K558" s="5">
        <f>_xlfn.XLOOKUP('data cleaned'!D558,products!$A$1:$A$49,products!$D$1:$D$49,0)</f>
        <v>0.2</v>
      </c>
      <c r="L558" s="6">
        <f>_xlfn.XLOOKUP('data cleaned'!D558,products!$A$1:$A$49,products!$E$1:$E$49,0)</f>
        <v>4.3650000000000002</v>
      </c>
      <c r="M558" s="6">
        <f>'data cleaned'!E558*'data cleaned'!L558</f>
        <v>8.73</v>
      </c>
      <c r="N558" t="str">
        <f t="shared" si="16"/>
        <v>Liberica</v>
      </c>
      <c r="O558" t="str">
        <f t="shared" si="17"/>
        <v>Medium</v>
      </c>
      <c r="P558" t="str">
        <f>_xlfn.XLOOKUP(worksheet[[#This Row],[Customer ID]],customers!$A$1:$A$1001,customers!$I$1:$I$1001,0)</f>
        <v>Yes</v>
      </c>
    </row>
    <row r="559" spans="1:16" x14ac:dyDescent="0.25">
      <c r="A559" s="2" t="s">
        <v>3638</v>
      </c>
      <c r="B559" s="4">
        <v>44506</v>
      </c>
      <c r="C559" s="2" t="s">
        <v>3368</v>
      </c>
      <c r="D559" t="s">
        <v>6171</v>
      </c>
      <c r="E559" s="2">
        <v>4</v>
      </c>
      <c r="F559" s="2" t="str">
        <f>_xlfn.XLOOKUP(C559,customers!$A$1:$A$1001,customers!$B$1:$B$1001,0)</f>
        <v>Marja Urion</v>
      </c>
      <c r="G559" s="2" t="s">
        <v>3370</v>
      </c>
      <c r="H559" s="2" t="str">
        <f>_xlfn.XLOOKUP(C559,customers!$A$1:$A$1001,customers!$G$1:$G$1001,0)</f>
        <v>Ireland</v>
      </c>
      <c r="I559" t="str">
        <f>_xlfn.XLOOKUP(D559,products!$A$1:$A$49,products!$B$1:$B$49,0)</f>
        <v>Exc</v>
      </c>
      <c r="J559" t="str">
        <f>_xlfn.XLOOKUP('data cleaned'!D559,products!$A$1:$A$49,products!$C$1:$C$49,0)</f>
        <v>L</v>
      </c>
      <c r="K559" s="5">
        <f>_xlfn.XLOOKUP('data cleaned'!D559,products!$A$1:$A$49,products!$D$1:$D$49,0)</f>
        <v>1</v>
      </c>
      <c r="L559" s="6">
        <f>_xlfn.XLOOKUP('data cleaned'!D559,products!$A$1:$A$49,products!$E$1:$E$49,0)</f>
        <v>14.85</v>
      </c>
      <c r="M559" s="6">
        <f>'data cleaned'!E559*'data cleaned'!L559</f>
        <v>59.4</v>
      </c>
      <c r="N559" t="str">
        <f t="shared" si="16"/>
        <v>Excelsa</v>
      </c>
      <c r="O559" t="str">
        <f t="shared" si="17"/>
        <v>Light</v>
      </c>
      <c r="P559" t="str">
        <f>_xlfn.XLOOKUP(worksheet[[#This Row],[Customer ID]],customers!$A$1:$A$1001,customers!$I$1:$I$1001,0)</f>
        <v>Yes</v>
      </c>
    </row>
    <row r="560" spans="1:16" x14ac:dyDescent="0.25">
      <c r="A560" s="2" t="s">
        <v>3643</v>
      </c>
      <c r="B560" s="4">
        <v>44225</v>
      </c>
      <c r="C560" s="2" t="s">
        <v>3644</v>
      </c>
      <c r="D560" t="s">
        <v>6150</v>
      </c>
      <c r="E560" s="2">
        <v>4</v>
      </c>
      <c r="F560" s="2" t="str">
        <f>_xlfn.XLOOKUP(C560,customers!$A$1:$A$1001,customers!$B$1:$B$1001,0)</f>
        <v>Kenton Wetherick</v>
      </c>
      <c r="G560" s="2" t="s">
        <v>6222</v>
      </c>
      <c r="H560" s="2" t="str">
        <f>_xlfn.XLOOKUP(C560,customers!$A$1:$A$1001,customers!$G$1:$G$1001,0)</f>
        <v>United States</v>
      </c>
      <c r="I560" t="str">
        <f>_xlfn.XLOOKUP(D560,products!$A$1:$A$49,products!$B$1:$B$49,0)</f>
        <v>Lib</v>
      </c>
      <c r="J560" t="str">
        <f>_xlfn.XLOOKUP('data cleaned'!D560,products!$A$1:$A$49,products!$C$1:$C$49,0)</f>
        <v>D</v>
      </c>
      <c r="K560" s="5">
        <f>_xlfn.XLOOKUP('data cleaned'!D560,products!$A$1:$A$49,products!$D$1:$D$49,0)</f>
        <v>0.2</v>
      </c>
      <c r="L560" s="6">
        <f>_xlfn.XLOOKUP('data cleaned'!D560,products!$A$1:$A$49,products!$E$1:$E$49,0)</f>
        <v>3.8849999999999998</v>
      </c>
      <c r="M560" s="6">
        <f>'data cleaned'!E560*'data cleaned'!L560</f>
        <v>15.54</v>
      </c>
      <c r="N560" t="str">
        <f t="shared" si="16"/>
        <v>Liberica</v>
      </c>
      <c r="O560" t="str">
        <f t="shared" si="17"/>
        <v>Dark</v>
      </c>
      <c r="P560" t="str">
        <f>_xlfn.XLOOKUP(worksheet[[#This Row],[Customer ID]],customers!$A$1:$A$1001,customers!$I$1:$I$1001,0)</f>
        <v>Yes</v>
      </c>
    </row>
    <row r="561" spans="1:16" x14ac:dyDescent="0.25">
      <c r="A561" s="2" t="s">
        <v>3648</v>
      </c>
      <c r="B561" s="4">
        <v>44667</v>
      </c>
      <c r="C561" s="2" t="s">
        <v>3649</v>
      </c>
      <c r="D561" t="s">
        <v>6140</v>
      </c>
      <c r="E561" s="2">
        <v>3</v>
      </c>
      <c r="F561" s="2" t="str">
        <f>_xlfn.XLOOKUP(C561,customers!$A$1:$A$1001,customers!$B$1:$B$1001,0)</f>
        <v>Reamonn Aynold</v>
      </c>
      <c r="G561" s="2" t="s">
        <v>3651</v>
      </c>
      <c r="H561" s="2" t="str">
        <f>_xlfn.XLOOKUP(C561,customers!$A$1:$A$1001,customers!$G$1:$G$1001,0)</f>
        <v>United States</v>
      </c>
      <c r="I561" t="str">
        <f>_xlfn.XLOOKUP(D561,products!$A$1:$A$49,products!$B$1:$B$49,0)</f>
        <v>Ara</v>
      </c>
      <c r="J561" t="str">
        <f>_xlfn.XLOOKUP('data cleaned'!D561,products!$A$1:$A$49,products!$C$1:$C$49,0)</f>
        <v>L</v>
      </c>
      <c r="K561" s="5">
        <f>_xlfn.XLOOKUP('data cleaned'!D561,products!$A$1:$A$49,products!$D$1:$D$49,0)</f>
        <v>1</v>
      </c>
      <c r="L561" s="6">
        <f>_xlfn.XLOOKUP('data cleaned'!D561,products!$A$1:$A$49,products!$E$1:$E$49,0)</f>
        <v>12.95</v>
      </c>
      <c r="M561" s="6">
        <f>'data cleaned'!E561*'data cleaned'!L561</f>
        <v>38.849999999999994</v>
      </c>
      <c r="N561" t="str">
        <f t="shared" si="16"/>
        <v>Arabica</v>
      </c>
      <c r="O561" t="str">
        <f t="shared" si="17"/>
        <v>Light</v>
      </c>
      <c r="P561" t="str">
        <f>_xlfn.XLOOKUP(worksheet[[#This Row],[Customer ID]],customers!$A$1:$A$1001,customers!$I$1:$I$1001,0)</f>
        <v>Yes</v>
      </c>
    </row>
    <row r="562" spans="1:16" x14ac:dyDescent="0.25">
      <c r="A562" s="2" t="s">
        <v>3654</v>
      </c>
      <c r="B562" s="4">
        <v>44401</v>
      </c>
      <c r="C562" s="2" t="s">
        <v>3655</v>
      </c>
      <c r="D562" t="s">
        <v>6166</v>
      </c>
      <c r="E562" s="2">
        <v>6</v>
      </c>
      <c r="F562" s="2" t="str">
        <f>_xlfn.XLOOKUP(C562,customers!$A$1:$A$1001,customers!$B$1:$B$1001,0)</f>
        <v>Hatty Dovydenas</v>
      </c>
      <c r="G562" s="2" t="s">
        <v>6222</v>
      </c>
      <c r="H562" s="2" t="str">
        <f>_xlfn.XLOOKUP(C562,customers!$A$1:$A$1001,customers!$G$1:$G$1001,0)</f>
        <v>United States</v>
      </c>
      <c r="I562" t="str">
        <f>_xlfn.XLOOKUP(D562,products!$A$1:$A$49,products!$B$1:$B$49,0)</f>
        <v>Exc</v>
      </c>
      <c r="J562" t="str">
        <f>_xlfn.XLOOKUP('data cleaned'!D562,products!$A$1:$A$49,products!$C$1:$C$49,0)</f>
        <v>M</v>
      </c>
      <c r="K562" s="5">
        <f>_xlfn.XLOOKUP('data cleaned'!D562,products!$A$1:$A$49,products!$D$1:$D$49,0)</f>
        <v>2.5</v>
      </c>
      <c r="L562" s="6">
        <f>_xlfn.XLOOKUP('data cleaned'!D562,products!$A$1:$A$49,products!$E$1:$E$49,0)</f>
        <v>31.624999999999996</v>
      </c>
      <c r="M562" s="6">
        <f>'data cleaned'!E562*'data cleaned'!L562</f>
        <v>189.74999999999997</v>
      </c>
      <c r="N562" t="str">
        <f t="shared" si="16"/>
        <v>Excelsa</v>
      </c>
      <c r="O562" t="str">
        <f t="shared" si="17"/>
        <v>Medium</v>
      </c>
      <c r="P562" t="str">
        <f>_xlfn.XLOOKUP(worksheet[[#This Row],[Customer ID]],customers!$A$1:$A$1001,customers!$I$1:$I$1001,0)</f>
        <v>Yes</v>
      </c>
    </row>
    <row r="563" spans="1:16" x14ac:dyDescent="0.25">
      <c r="A563" s="2" t="s">
        <v>3659</v>
      </c>
      <c r="B563" s="4">
        <v>43688</v>
      </c>
      <c r="C563" s="2" t="s">
        <v>3660</v>
      </c>
      <c r="D563" t="s">
        <v>6154</v>
      </c>
      <c r="E563" s="2">
        <v>6</v>
      </c>
      <c r="F563" s="2" t="str">
        <f>_xlfn.XLOOKUP(C563,customers!$A$1:$A$1001,customers!$B$1:$B$1001,0)</f>
        <v>Nathaniel Bloxland</v>
      </c>
      <c r="G563" s="2" t="s">
        <v>6222</v>
      </c>
      <c r="H563" s="2" t="str">
        <f>_xlfn.XLOOKUP(C563,customers!$A$1:$A$1001,customers!$G$1:$G$1001,0)</f>
        <v>Ireland</v>
      </c>
      <c r="I563" t="str">
        <f>_xlfn.XLOOKUP(D563,products!$A$1:$A$49,products!$B$1:$B$49,0)</f>
        <v>Ara</v>
      </c>
      <c r="J563" t="str">
        <f>_xlfn.XLOOKUP('data cleaned'!D563,products!$A$1:$A$49,products!$C$1:$C$49,0)</f>
        <v>D</v>
      </c>
      <c r="K563" s="5">
        <f>_xlfn.XLOOKUP('data cleaned'!D563,products!$A$1:$A$49,products!$D$1:$D$49,0)</f>
        <v>0.2</v>
      </c>
      <c r="L563" s="6">
        <f>_xlfn.XLOOKUP('data cleaned'!D563,products!$A$1:$A$49,products!$E$1:$E$49,0)</f>
        <v>2.9849999999999999</v>
      </c>
      <c r="M563" s="6">
        <f>'data cleaned'!E563*'data cleaned'!L563</f>
        <v>17.91</v>
      </c>
      <c r="N563" t="str">
        <f t="shared" si="16"/>
        <v>Arabica</v>
      </c>
      <c r="O563" t="str">
        <f t="shared" si="17"/>
        <v>Dark</v>
      </c>
      <c r="P563" t="str">
        <f>_xlfn.XLOOKUP(worksheet[[#This Row],[Customer ID]],customers!$A$1:$A$1001,customers!$I$1:$I$1001,0)</f>
        <v>Yes</v>
      </c>
    </row>
    <row r="564" spans="1:16" x14ac:dyDescent="0.25">
      <c r="A564" s="2" t="s">
        <v>3665</v>
      </c>
      <c r="B564" s="4">
        <v>43669</v>
      </c>
      <c r="C564" s="2" t="s">
        <v>3666</v>
      </c>
      <c r="D564" t="s">
        <v>6145</v>
      </c>
      <c r="E564" s="2">
        <v>6</v>
      </c>
      <c r="F564" s="2" t="str">
        <f>_xlfn.XLOOKUP(C564,customers!$A$1:$A$1001,customers!$B$1:$B$1001,0)</f>
        <v>Brendan Grece</v>
      </c>
      <c r="G564" s="2" t="s">
        <v>3668</v>
      </c>
      <c r="H564" s="2" t="str">
        <f>_xlfn.XLOOKUP(C564,customers!$A$1:$A$1001,customers!$G$1:$G$1001,0)</f>
        <v>United Kingdom</v>
      </c>
      <c r="I564" t="str">
        <f>_xlfn.XLOOKUP(D564,products!$A$1:$A$49,products!$B$1:$B$49,0)</f>
        <v>Lib</v>
      </c>
      <c r="J564" t="str">
        <f>_xlfn.XLOOKUP('data cleaned'!D564,products!$A$1:$A$49,products!$C$1:$C$49,0)</f>
        <v>L</v>
      </c>
      <c r="K564" s="5">
        <f>_xlfn.XLOOKUP('data cleaned'!D564,products!$A$1:$A$49,products!$D$1:$D$49,0)</f>
        <v>0.2</v>
      </c>
      <c r="L564" s="6">
        <f>_xlfn.XLOOKUP('data cleaned'!D564,products!$A$1:$A$49,products!$E$1:$E$49,0)</f>
        <v>4.7549999999999999</v>
      </c>
      <c r="M564" s="6">
        <f>'data cleaned'!E564*'data cleaned'!L564</f>
        <v>28.53</v>
      </c>
      <c r="N564" t="str">
        <f t="shared" si="16"/>
        <v>Liberica</v>
      </c>
      <c r="O564" t="str">
        <f t="shared" si="17"/>
        <v>Light</v>
      </c>
      <c r="P564" t="str">
        <f>_xlfn.XLOOKUP(worksheet[[#This Row],[Customer ID]],customers!$A$1:$A$1001,customers!$I$1:$I$1001,0)</f>
        <v>No</v>
      </c>
    </row>
    <row r="565" spans="1:16" x14ac:dyDescent="0.25">
      <c r="A565" s="2" t="s">
        <v>3671</v>
      </c>
      <c r="B565" s="4">
        <v>43991</v>
      </c>
      <c r="C565" s="2" t="s">
        <v>3752</v>
      </c>
      <c r="D565" t="s">
        <v>6141</v>
      </c>
      <c r="E565" s="2">
        <v>6</v>
      </c>
      <c r="F565" s="2" t="str">
        <f>_xlfn.XLOOKUP(C565,customers!$A$1:$A$1001,customers!$B$1:$B$1001,0)</f>
        <v>Don Flintiff</v>
      </c>
      <c r="G565" s="2" t="s">
        <v>3754</v>
      </c>
      <c r="H565" s="2" t="str">
        <f>_xlfn.XLOOKUP(C565,customers!$A$1:$A$1001,customers!$G$1:$G$1001,0)</f>
        <v>United Kingdom</v>
      </c>
      <c r="I565" t="str">
        <f>_xlfn.XLOOKUP(D565,products!$A$1:$A$49,products!$B$1:$B$49,0)</f>
        <v>Exc</v>
      </c>
      <c r="J565" t="str">
        <f>_xlfn.XLOOKUP('data cleaned'!D565,products!$A$1:$A$49,products!$C$1:$C$49,0)</f>
        <v>M</v>
      </c>
      <c r="K565" s="5">
        <f>_xlfn.XLOOKUP('data cleaned'!D565,products!$A$1:$A$49,products!$D$1:$D$49,0)</f>
        <v>1</v>
      </c>
      <c r="L565" s="6">
        <f>_xlfn.XLOOKUP('data cleaned'!D565,products!$A$1:$A$49,products!$E$1:$E$49,0)</f>
        <v>13.75</v>
      </c>
      <c r="M565" s="6">
        <f>'data cleaned'!E565*'data cleaned'!L565</f>
        <v>82.5</v>
      </c>
      <c r="N565" t="str">
        <f t="shared" si="16"/>
        <v>Excelsa</v>
      </c>
      <c r="O565" t="str">
        <f t="shared" si="17"/>
        <v>Medium</v>
      </c>
      <c r="P565" t="str">
        <f>_xlfn.XLOOKUP(worksheet[[#This Row],[Customer ID]],customers!$A$1:$A$1001,customers!$I$1:$I$1001,0)</f>
        <v>No</v>
      </c>
    </row>
    <row r="566" spans="1:16" x14ac:dyDescent="0.25">
      <c r="A566" s="2" t="s">
        <v>3677</v>
      </c>
      <c r="B566" s="4">
        <v>43883</v>
      </c>
      <c r="C566" s="2" t="s">
        <v>3678</v>
      </c>
      <c r="D566" t="s">
        <v>6173</v>
      </c>
      <c r="E566" s="2">
        <v>2</v>
      </c>
      <c r="F566" s="2" t="str">
        <f>_xlfn.XLOOKUP(C566,customers!$A$1:$A$1001,customers!$B$1:$B$1001,0)</f>
        <v>Abbe Thys</v>
      </c>
      <c r="G566" s="2" t="s">
        <v>3680</v>
      </c>
      <c r="H566" s="2" t="str">
        <f>_xlfn.XLOOKUP(C566,customers!$A$1:$A$1001,customers!$G$1:$G$1001,0)</f>
        <v>United States</v>
      </c>
      <c r="I566" t="str">
        <f>_xlfn.XLOOKUP(D566,products!$A$1:$A$49,products!$B$1:$B$49,0)</f>
        <v>Rob</v>
      </c>
      <c r="J566" t="str">
        <f>_xlfn.XLOOKUP('data cleaned'!D566,products!$A$1:$A$49,products!$C$1:$C$49,0)</f>
        <v>L</v>
      </c>
      <c r="K566" s="5">
        <f>_xlfn.XLOOKUP('data cleaned'!D566,products!$A$1:$A$49,products!$D$1:$D$49,0)</f>
        <v>0.5</v>
      </c>
      <c r="L566" s="6">
        <f>_xlfn.XLOOKUP('data cleaned'!D566,products!$A$1:$A$49,products!$E$1:$E$49,0)</f>
        <v>7.169999999999999</v>
      </c>
      <c r="M566" s="6">
        <f>'data cleaned'!E566*'data cleaned'!L566</f>
        <v>14.339999999999998</v>
      </c>
      <c r="N566" t="str">
        <f t="shared" si="16"/>
        <v>Robusta</v>
      </c>
      <c r="O566" t="str">
        <f t="shared" si="17"/>
        <v>Light</v>
      </c>
      <c r="P566" t="str">
        <f>_xlfn.XLOOKUP(worksheet[[#This Row],[Customer ID]],customers!$A$1:$A$1001,customers!$I$1:$I$1001,0)</f>
        <v>No</v>
      </c>
    </row>
    <row r="567" spans="1:16" x14ac:dyDescent="0.25">
      <c r="A567" s="2" t="s">
        <v>3683</v>
      </c>
      <c r="B567" s="4">
        <v>44031</v>
      </c>
      <c r="C567" s="2" t="s">
        <v>3684</v>
      </c>
      <c r="D567" t="s">
        <v>6149</v>
      </c>
      <c r="E567" s="2">
        <v>4</v>
      </c>
      <c r="F567" s="2" t="str">
        <f>_xlfn.XLOOKUP(C567,customers!$A$1:$A$1001,customers!$B$1:$B$1001,0)</f>
        <v>Jackquelin Chugg</v>
      </c>
      <c r="G567" s="2" t="s">
        <v>3686</v>
      </c>
      <c r="H567" s="2" t="str">
        <f>_xlfn.XLOOKUP(C567,customers!$A$1:$A$1001,customers!$G$1:$G$1001,0)</f>
        <v>United States</v>
      </c>
      <c r="I567" t="str">
        <f>_xlfn.XLOOKUP(D567,products!$A$1:$A$49,products!$B$1:$B$49,0)</f>
        <v>Rob</v>
      </c>
      <c r="J567" t="str">
        <f>_xlfn.XLOOKUP('data cleaned'!D567,products!$A$1:$A$49,products!$C$1:$C$49,0)</f>
        <v>D</v>
      </c>
      <c r="K567" s="5">
        <f>_xlfn.XLOOKUP('data cleaned'!D567,products!$A$1:$A$49,products!$D$1:$D$49,0)</f>
        <v>2.5</v>
      </c>
      <c r="L567" s="6">
        <f>_xlfn.XLOOKUP('data cleaned'!D567,products!$A$1:$A$49,products!$E$1:$E$49,0)</f>
        <v>20.584999999999997</v>
      </c>
      <c r="M567" s="6">
        <f>'data cleaned'!E567*'data cleaned'!L567</f>
        <v>82.339999999999989</v>
      </c>
      <c r="N567" t="str">
        <f t="shared" si="16"/>
        <v>Robusta</v>
      </c>
      <c r="O567" t="str">
        <f t="shared" si="17"/>
        <v>Dark</v>
      </c>
      <c r="P567" t="str">
        <f>_xlfn.XLOOKUP(worksheet[[#This Row],[Customer ID]],customers!$A$1:$A$1001,customers!$I$1:$I$1001,0)</f>
        <v>No</v>
      </c>
    </row>
    <row r="568" spans="1:16" x14ac:dyDescent="0.25">
      <c r="A568" s="2" t="s">
        <v>3689</v>
      </c>
      <c r="B568" s="4">
        <v>44459</v>
      </c>
      <c r="C568" s="2" t="s">
        <v>3690</v>
      </c>
      <c r="D568" t="s">
        <v>6152</v>
      </c>
      <c r="E568" s="2">
        <v>6</v>
      </c>
      <c r="F568" s="2" t="str">
        <f>_xlfn.XLOOKUP(C568,customers!$A$1:$A$1001,customers!$B$1:$B$1001,0)</f>
        <v>Audra Kelston</v>
      </c>
      <c r="G568" s="2" t="s">
        <v>3692</v>
      </c>
      <c r="H568" s="2" t="str">
        <f>_xlfn.XLOOKUP(C568,customers!$A$1:$A$1001,customers!$G$1:$G$1001,0)</f>
        <v>United States</v>
      </c>
      <c r="I568" t="str">
        <f>_xlfn.XLOOKUP(D568,products!$A$1:$A$49,products!$B$1:$B$49,0)</f>
        <v>Ara</v>
      </c>
      <c r="J568" t="str">
        <f>_xlfn.XLOOKUP('data cleaned'!D568,products!$A$1:$A$49,products!$C$1:$C$49,0)</f>
        <v>M</v>
      </c>
      <c r="K568" s="5">
        <f>_xlfn.XLOOKUP('data cleaned'!D568,products!$A$1:$A$49,products!$D$1:$D$49,0)</f>
        <v>0.2</v>
      </c>
      <c r="L568" s="6">
        <f>_xlfn.XLOOKUP('data cleaned'!D568,products!$A$1:$A$49,products!$E$1:$E$49,0)</f>
        <v>3.375</v>
      </c>
      <c r="M568" s="6">
        <f>'data cleaned'!E568*'data cleaned'!L568</f>
        <v>20.25</v>
      </c>
      <c r="N568" t="str">
        <f t="shared" si="16"/>
        <v>Arabica</v>
      </c>
      <c r="O568" t="str">
        <f t="shared" si="17"/>
        <v>Medium</v>
      </c>
      <c r="P568" t="str">
        <f>_xlfn.XLOOKUP(worksheet[[#This Row],[Customer ID]],customers!$A$1:$A$1001,customers!$I$1:$I$1001,0)</f>
        <v>Yes</v>
      </c>
    </row>
    <row r="569" spans="1:16" x14ac:dyDescent="0.25">
      <c r="A569" s="2" t="s">
        <v>3695</v>
      </c>
      <c r="B569" s="4">
        <v>44318</v>
      </c>
      <c r="C569" s="2" t="s">
        <v>3696</v>
      </c>
      <c r="D569" t="s">
        <v>6142</v>
      </c>
      <c r="E569" s="2">
        <v>6</v>
      </c>
      <c r="F569" s="2" t="str">
        <f>_xlfn.XLOOKUP(C569,customers!$A$1:$A$1001,customers!$B$1:$B$1001,0)</f>
        <v>Elvina Angel</v>
      </c>
      <c r="G569" s="2" t="s">
        <v>6222</v>
      </c>
      <c r="H569" s="2" t="str">
        <f>_xlfn.XLOOKUP(C569,customers!$A$1:$A$1001,customers!$G$1:$G$1001,0)</f>
        <v>Ireland</v>
      </c>
      <c r="I569" t="str">
        <f>_xlfn.XLOOKUP(D569,products!$A$1:$A$49,products!$B$1:$B$49,0)</f>
        <v>Rob</v>
      </c>
      <c r="J569" t="str">
        <f>_xlfn.XLOOKUP('data cleaned'!D569,products!$A$1:$A$49,products!$C$1:$C$49,0)</f>
        <v>L</v>
      </c>
      <c r="K569" s="5">
        <f>_xlfn.XLOOKUP('data cleaned'!D569,products!$A$1:$A$49,products!$D$1:$D$49,0)</f>
        <v>2.5</v>
      </c>
      <c r="L569" s="6">
        <f>_xlfn.XLOOKUP('data cleaned'!D569,products!$A$1:$A$49,products!$E$1:$E$49,0)</f>
        <v>27.484999999999996</v>
      </c>
      <c r="M569" s="6">
        <f>'data cleaned'!E569*'data cleaned'!L569</f>
        <v>164.90999999999997</v>
      </c>
      <c r="N569" t="str">
        <f t="shared" si="16"/>
        <v>Robusta</v>
      </c>
      <c r="O569" t="str">
        <f t="shared" si="17"/>
        <v>Light</v>
      </c>
      <c r="P569" t="str">
        <f>_xlfn.XLOOKUP(worksheet[[#This Row],[Customer ID]],customers!$A$1:$A$1001,customers!$I$1:$I$1001,0)</f>
        <v>No</v>
      </c>
    </row>
    <row r="570" spans="1:16" x14ac:dyDescent="0.25">
      <c r="A570" s="2" t="s">
        <v>3700</v>
      </c>
      <c r="B570" s="4">
        <v>44526</v>
      </c>
      <c r="C570" s="2" t="s">
        <v>3701</v>
      </c>
      <c r="D570" t="s">
        <v>6145</v>
      </c>
      <c r="E570" s="2">
        <v>4</v>
      </c>
      <c r="F570" s="2" t="str">
        <f>_xlfn.XLOOKUP(C570,customers!$A$1:$A$1001,customers!$B$1:$B$1001,0)</f>
        <v>Claiborne Mottram</v>
      </c>
      <c r="G570" s="2" t="s">
        <v>3703</v>
      </c>
      <c r="H570" s="2" t="str">
        <f>_xlfn.XLOOKUP(C570,customers!$A$1:$A$1001,customers!$G$1:$G$1001,0)</f>
        <v>United States</v>
      </c>
      <c r="I570" t="str">
        <f>_xlfn.XLOOKUP(D570,products!$A$1:$A$49,products!$B$1:$B$49,0)</f>
        <v>Lib</v>
      </c>
      <c r="J570" t="str">
        <f>_xlfn.XLOOKUP('data cleaned'!D570,products!$A$1:$A$49,products!$C$1:$C$49,0)</f>
        <v>L</v>
      </c>
      <c r="K570" s="5">
        <f>_xlfn.XLOOKUP('data cleaned'!D570,products!$A$1:$A$49,products!$D$1:$D$49,0)</f>
        <v>0.2</v>
      </c>
      <c r="L570" s="6">
        <f>_xlfn.XLOOKUP('data cleaned'!D570,products!$A$1:$A$49,products!$E$1:$E$49,0)</f>
        <v>4.7549999999999999</v>
      </c>
      <c r="M570" s="6">
        <f>'data cleaned'!E570*'data cleaned'!L570</f>
        <v>19.02</v>
      </c>
      <c r="N570" t="str">
        <f t="shared" si="16"/>
        <v>Liberica</v>
      </c>
      <c r="O570" t="str">
        <f t="shared" si="17"/>
        <v>Light</v>
      </c>
      <c r="P570" t="str">
        <f>_xlfn.XLOOKUP(worksheet[[#This Row],[Customer ID]],customers!$A$1:$A$1001,customers!$I$1:$I$1001,0)</f>
        <v>Yes</v>
      </c>
    </row>
    <row r="571" spans="1:16" x14ac:dyDescent="0.25">
      <c r="A571" s="2" t="s">
        <v>3706</v>
      </c>
      <c r="B571" s="4">
        <v>43879</v>
      </c>
      <c r="C571" s="2" t="s">
        <v>3752</v>
      </c>
      <c r="D571" t="s">
        <v>6168</v>
      </c>
      <c r="E571" s="2">
        <v>6</v>
      </c>
      <c r="F571" s="2" t="str">
        <f>_xlfn.XLOOKUP(C571,customers!$A$1:$A$1001,customers!$B$1:$B$1001,0)</f>
        <v>Don Flintiff</v>
      </c>
      <c r="G571" s="2" t="s">
        <v>3754</v>
      </c>
      <c r="H571" s="2" t="str">
        <f>_xlfn.XLOOKUP(C571,customers!$A$1:$A$1001,customers!$G$1:$G$1001,0)</f>
        <v>United Kingdom</v>
      </c>
      <c r="I571" t="str">
        <f>_xlfn.XLOOKUP(D571,products!$A$1:$A$49,products!$B$1:$B$49,0)</f>
        <v>Ara</v>
      </c>
      <c r="J571" t="str">
        <f>_xlfn.XLOOKUP('data cleaned'!D571,products!$A$1:$A$49,products!$C$1:$C$49,0)</f>
        <v>D</v>
      </c>
      <c r="K571" s="5">
        <f>_xlfn.XLOOKUP('data cleaned'!D571,products!$A$1:$A$49,products!$D$1:$D$49,0)</f>
        <v>2.5</v>
      </c>
      <c r="L571" s="6">
        <f>_xlfn.XLOOKUP('data cleaned'!D571,products!$A$1:$A$49,products!$E$1:$E$49,0)</f>
        <v>22.884999999999998</v>
      </c>
      <c r="M571" s="6">
        <f>'data cleaned'!E571*'data cleaned'!L571</f>
        <v>137.31</v>
      </c>
      <c r="N571" t="str">
        <f t="shared" si="16"/>
        <v>Arabica</v>
      </c>
      <c r="O571" t="str">
        <f t="shared" si="17"/>
        <v>Dark</v>
      </c>
      <c r="P571" t="str">
        <f>_xlfn.XLOOKUP(worksheet[[#This Row],[Customer ID]],customers!$A$1:$A$1001,customers!$I$1:$I$1001,0)</f>
        <v>No</v>
      </c>
    </row>
    <row r="572" spans="1:16" x14ac:dyDescent="0.25">
      <c r="A572" s="2" t="s">
        <v>3712</v>
      </c>
      <c r="B572" s="4">
        <v>43928</v>
      </c>
      <c r="C572" s="2" t="s">
        <v>3713</v>
      </c>
      <c r="D572" t="s">
        <v>6157</v>
      </c>
      <c r="E572" s="2">
        <v>4</v>
      </c>
      <c r="F572" s="2" t="str">
        <f>_xlfn.XLOOKUP(C572,customers!$A$1:$A$1001,customers!$B$1:$B$1001,0)</f>
        <v>Donalt Sangwin</v>
      </c>
      <c r="G572" s="2" t="s">
        <v>3715</v>
      </c>
      <c r="H572" s="2" t="str">
        <f>_xlfn.XLOOKUP(C572,customers!$A$1:$A$1001,customers!$G$1:$G$1001,0)</f>
        <v>United States</v>
      </c>
      <c r="I572" t="str">
        <f>_xlfn.XLOOKUP(D572,products!$A$1:$A$49,products!$B$1:$B$49,0)</f>
        <v>Ara</v>
      </c>
      <c r="J572" t="str">
        <f>_xlfn.XLOOKUP('data cleaned'!D572,products!$A$1:$A$49,products!$C$1:$C$49,0)</f>
        <v>M</v>
      </c>
      <c r="K572" s="5">
        <f>_xlfn.XLOOKUP('data cleaned'!D572,products!$A$1:$A$49,products!$D$1:$D$49,0)</f>
        <v>0.5</v>
      </c>
      <c r="L572" s="6">
        <f>_xlfn.XLOOKUP('data cleaned'!D572,products!$A$1:$A$49,products!$E$1:$E$49,0)</f>
        <v>6.75</v>
      </c>
      <c r="M572" s="6">
        <f>'data cleaned'!E572*'data cleaned'!L572</f>
        <v>27</v>
      </c>
      <c r="N572" t="str">
        <f t="shared" si="16"/>
        <v>Arabica</v>
      </c>
      <c r="O572" t="str">
        <f t="shared" si="17"/>
        <v>Medium</v>
      </c>
      <c r="P572" t="str">
        <f>_xlfn.XLOOKUP(worksheet[[#This Row],[Customer ID]],customers!$A$1:$A$1001,customers!$I$1:$I$1001,0)</f>
        <v>No</v>
      </c>
    </row>
    <row r="573" spans="1:16" x14ac:dyDescent="0.25">
      <c r="A573" s="2" t="s">
        <v>3718</v>
      </c>
      <c r="B573" s="4">
        <v>44592</v>
      </c>
      <c r="C573" s="2" t="s">
        <v>3719</v>
      </c>
      <c r="D573" t="s">
        <v>6176</v>
      </c>
      <c r="E573" s="2">
        <v>4</v>
      </c>
      <c r="F573" s="2" t="str">
        <f>_xlfn.XLOOKUP(C573,customers!$A$1:$A$1001,customers!$B$1:$B$1001,0)</f>
        <v>Elizabet Aizikowitz</v>
      </c>
      <c r="G573" s="2" t="s">
        <v>3721</v>
      </c>
      <c r="H573" s="2" t="str">
        <f>_xlfn.XLOOKUP(C573,customers!$A$1:$A$1001,customers!$G$1:$G$1001,0)</f>
        <v>United Kingdom</v>
      </c>
      <c r="I573" t="str">
        <f>_xlfn.XLOOKUP(D573,products!$A$1:$A$49,products!$B$1:$B$49,0)</f>
        <v>Exc</v>
      </c>
      <c r="J573" t="str">
        <f>_xlfn.XLOOKUP('data cleaned'!D573,products!$A$1:$A$49,products!$C$1:$C$49,0)</f>
        <v>L</v>
      </c>
      <c r="K573" s="5">
        <f>_xlfn.XLOOKUP('data cleaned'!D573,products!$A$1:$A$49,products!$D$1:$D$49,0)</f>
        <v>0.5</v>
      </c>
      <c r="L573" s="6">
        <f>_xlfn.XLOOKUP('data cleaned'!D573,products!$A$1:$A$49,products!$E$1:$E$49,0)</f>
        <v>8.91</v>
      </c>
      <c r="M573" s="6">
        <f>'data cleaned'!E573*'data cleaned'!L573</f>
        <v>35.64</v>
      </c>
      <c r="N573" t="str">
        <f t="shared" si="16"/>
        <v>Excelsa</v>
      </c>
      <c r="O573" t="str">
        <f t="shared" si="17"/>
        <v>Light</v>
      </c>
      <c r="P573" t="str">
        <f>_xlfn.XLOOKUP(worksheet[[#This Row],[Customer ID]],customers!$A$1:$A$1001,customers!$I$1:$I$1001,0)</f>
        <v>No</v>
      </c>
    </row>
    <row r="574" spans="1:16" x14ac:dyDescent="0.25">
      <c r="A574" s="2" t="s">
        <v>3724</v>
      </c>
      <c r="B574" s="4">
        <v>43515</v>
      </c>
      <c r="C574" s="2" t="s">
        <v>3725</v>
      </c>
      <c r="D574" t="s">
        <v>6154</v>
      </c>
      <c r="E574" s="2">
        <v>2</v>
      </c>
      <c r="F574" s="2" t="str">
        <f>_xlfn.XLOOKUP(C574,customers!$A$1:$A$1001,customers!$B$1:$B$1001,0)</f>
        <v>Herbie Peppard</v>
      </c>
      <c r="G574" s="2" t="s">
        <v>6222</v>
      </c>
      <c r="H574" s="2" t="str">
        <f>_xlfn.XLOOKUP(C574,customers!$A$1:$A$1001,customers!$G$1:$G$1001,0)</f>
        <v>United States</v>
      </c>
      <c r="I574" t="str">
        <f>_xlfn.XLOOKUP(D574,products!$A$1:$A$49,products!$B$1:$B$49,0)</f>
        <v>Ara</v>
      </c>
      <c r="J574" t="str">
        <f>_xlfn.XLOOKUP('data cleaned'!D574,products!$A$1:$A$49,products!$C$1:$C$49,0)</f>
        <v>D</v>
      </c>
      <c r="K574" s="5">
        <f>_xlfn.XLOOKUP('data cleaned'!D574,products!$A$1:$A$49,products!$D$1:$D$49,0)</f>
        <v>0.2</v>
      </c>
      <c r="L574" s="6">
        <f>_xlfn.XLOOKUP('data cleaned'!D574,products!$A$1:$A$49,products!$E$1:$E$49,0)</f>
        <v>2.9849999999999999</v>
      </c>
      <c r="M574" s="6">
        <f>'data cleaned'!E574*'data cleaned'!L574</f>
        <v>5.97</v>
      </c>
      <c r="N574" t="str">
        <f t="shared" si="16"/>
        <v>Arabica</v>
      </c>
      <c r="O574" t="str">
        <f t="shared" si="17"/>
        <v>Dark</v>
      </c>
      <c r="P574" t="str">
        <f>_xlfn.XLOOKUP(worksheet[[#This Row],[Customer ID]],customers!$A$1:$A$1001,customers!$I$1:$I$1001,0)</f>
        <v>Yes</v>
      </c>
    </row>
    <row r="575" spans="1:16" x14ac:dyDescent="0.25">
      <c r="A575" s="2" t="s">
        <v>3728</v>
      </c>
      <c r="B575" s="4">
        <v>43781</v>
      </c>
      <c r="C575" s="2" t="s">
        <v>3729</v>
      </c>
      <c r="D575" t="s">
        <v>6155</v>
      </c>
      <c r="E575" s="2">
        <v>6</v>
      </c>
      <c r="F575" s="2" t="str">
        <f>_xlfn.XLOOKUP(C575,customers!$A$1:$A$1001,customers!$B$1:$B$1001,0)</f>
        <v>Cornie Venour</v>
      </c>
      <c r="G575" s="2" t="s">
        <v>3731</v>
      </c>
      <c r="H575" s="2" t="str">
        <f>_xlfn.XLOOKUP(C575,customers!$A$1:$A$1001,customers!$G$1:$G$1001,0)</f>
        <v>United States</v>
      </c>
      <c r="I575" t="str">
        <f>_xlfn.XLOOKUP(D575,products!$A$1:$A$49,products!$B$1:$B$49,0)</f>
        <v>Ara</v>
      </c>
      <c r="J575" t="str">
        <f>_xlfn.XLOOKUP('data cleaned'!D575,products!$A$1:$A$49,products!$C$1:$C$49,0)</f>
        <v>M</v>
      </c>
      <c r="K575" s="5">
        <f>_xlfn.XLOOKUP('data cleaned'!D575,products!$A$1:$A$49,products!$D$1:$D$49,0)</f>
        <v>1</v>
      </c>
      <c r="L575" s="6">
        <f>_xlfn.XLOOKUP('data cleaned'!D575,products!$A$1:$A$49,products!$E$1:$E$49,0)</f>
        <v>11.25</v>
      </c>
      <c r="M575" s="6">
        <f>'data cleaned'!E575*'data cleaned'!L575</f>
        <v>67.5</v>
      </c>
      <c r="N575" t="str">
        <f t="shared" si="16"/>
        <v>Arabica</v>
      </c>
      <c r="O575" t="str">
        <f t="shared" si="17"/>
        <v>Medium</v>
      </c>
      <c r="P575" t="str">
        <f>_xlfn.XLOOKUP(worksheet[[#This Row],[Customer ID]],customers!$A$1:$A$1001,customers!$I$1:$I$1001,0)</f>
        <v>No</v>
      </c>
    </row>
    <row r="576" spans="1:16" x14ac:dyDescent="0.25">
      <c r="A576" s="2" t="s">
        <v>3734</v>
      </c>
      <c r="B576" s="4">
        <v>44697</v>
      </c>
      <c r="C576" s="2" t="s">
        <v>3735</v>
      </c>
      <c r="D576" t="s">
        <v>6178</v>
      </c>
      <c r="E576" s="2">
        <v>6</v>
      </c>
      <c r="F576" s="2" t="str">
        <f>_xlfn.XLOOKUP(C576,customers!$A$1:$A$1001,customers!$B$1:$B$1001,0)</f>
        <v>Maggy Harby</v>
      </c>
      <c r="G576" s="2" t="s">
        <v>3737</v>
      </c>
      <c r="H576" s="2" t="str">
        <f>_xlfn.XLOOKUP(C576,customers!$A$1:$A$1001,customers!$G$1:$G$1001,0)</f>
        <v>United States</v>
      </c>
      <c r="I576" t="str">
        <f>_xlfn.XLOOKUP(D576,products!$A$1:$A$49,products!$B$1:$B$49,0)</f>
        <v>Rob</v>
      </c>
      <c r="J576" t="str">
        <f>_xlfn.XLOOKUP('data cleaned'!D576,products!$A$1:$A$49,products!$C$1:$C$49,0)</f>
        <v>L</v>
      </c>
      <c r="K576" s="5">
        <f>_xlfn.XLOOKUP('data cleaned'!D576,products!$A$1:$A$49,products!$D$1:$D$49,0)</f>
        <v>0.2</v>
      </c>
      <c r="L576" s="6">
        <f>_xlfn.XLOOKUP('data cleaned'!D576,products!$A$1:$A$49,products!$E$1:$E$49,0)</f>
        <v>3.5849999999999995</v>
      </c>
      <c r="M576" s="6">
        <f>'data cleaned'!E576*'data cleaned'!L576</f>
        <v>21.509999999999998</v>
      </c>
      <c r="N576" t="str">
        <f t="shared" si="16"/>
        <v>Robusta</v>
      </c>
      <c r="O576" t="str">
        <f t="shared" si="17"/>
        <v>Light</v>
      </c>
      <c r="P576" t="str">
        <f>_xlfn.XLOOKUP(worksheet[[#This Row],[Customer ID]],customers!$A$1:$A$1001,customers!$I$1:$I$1001,0)</f>
        <v>Yes</v>
      </c>
    </row>
    <row r="577" spans="1:16" x14ac:dyDescent="0.25">
      <c r="A577" s="2" t="s">
        <v>3739</v>
      </c>
      <c r="B577" s="4">
        <v>44239</v>
      </c>
      <c r="C577" s="2" t="s">
        <v>3740</v>
      </c>
      <c r="D577" t="s">
        <v>6181</v>
      </c>
      <c r="E577" s="2">
        <v>2</v>
      </c>
      <c r="F577" s="2" t="str">
        <f>_xlfn.XLOOKUP(C577,customers!$A$1:$A$1001,customers!$B$1:$B$1001,0)</f>
        <v>Reggie Thickpenny</v>
      </c>
      <c r="G577" s="2" t="s">
        <v>3742</v>
      </c>
      <c r="H577" s="2" t="str">
        <f>_xlfn.XLOOKUP(C577,customers!$A$1:$A$1001,customers!$G$1:$G$1001,0)</f>
        <v>United States</v>
      </c>
      <c r="I577" t="str">
        <f>_xlfn.XLOOKUP(D577,products!$A$1:$A$49,products!$B$1:$B$49,0)</f>
        <v>Lib</v>
      </c>
      <c r="J577" t="str">
        <f>_xlfn.XLOOKUP('data cleaned'!D577,products!$A$1:$A$49,products!$C$1:$C$49,0)</f>
        <v>M</v>
      </c>
      <c r="K577" s="5">
        <f>_xlfn.XLOOKUP('data cleaned'!D577,products!$A$1:$A$49,products!$D$1:$D$49,0)</f>
        <v>2.5</v>
      </c>
      <c r="L577" s="6">
        <f>_xlfn.XLOOKUP('data cleaned'!D577,products!$A$1:$A$49,products!$E$1:$E$49,0)</f>
        <v>33.464999999999996</v>
      </c>
      <c r="M577" s="6">
        <f>'data cleaned'!E577*'data cleaned'!L577</f>
        <v>66.929999999999993</v>
      </c>
      <c r="N577" t="str">
        <f t="shared" si="16"/>
        <v>Liberica</v>
      </c>
      <c r="O577" t="str">
        <f t="shared" si="17"/>
        <v>Medium</v>
      </c>
      <c r="P577" t="str">
        <f>_xlfn.XLOOKUP(worksheet[[#This Row],[Customer ID]],customers!$A$1:$A$1001,customers!$I$1:$I$1001,0)</f>
        <v>No</v>
      </c>
    </row>
    <row r="578" spans="1:16" x14ac:dyDescent="0.25">
      <c r="A578" s="2" t="s">
        <v>3745</v>
      </c>
      <c r="B578" s="4">
        <v>44290</v>
      </c>
      <c r="C578" s="2" t="s">
        <v>3746</v>
      </c>
      <c r="D578" t="s">
        <v>6154</v>
      </c>
      <c r="E578" s="2">
        <v>6</v>
      </c>
      <c r="F578" s="2" t="str">
        <f>_xlfn.XLOOKUP(C578,customers!$A$1:$A$1001,customers!$B$1:$B$1001,0)</f>
        <v>Phyllys Ormerod</v>
      </c>
      <c r="G578" s="2" t="s">
        <v>3748</v>
      </c>
      <c r="H578" s="2" t="str">
        <f>_xlfn.XLOOKUP(C578,customers!$A$1:$A$1001,customers!$G$1:$G$1001,0)</f>
        <v>United States</v>
      </c>
      <c r="I578" t="str">
        <f>_xlfn.XLOOKUP(D578,products!$A$1:$A$49,products!$B$1:$B$49,0)</f>
        <v>Ara</v>
      </c>
      <c r="J578" t="str">
        <f>_xlfn.XLOOKUP('data cleaned'!D578,products!$A$1:$A$49,products!$C$1:$C$49,0)</f>
        <v>D</v>
      </c>
      <c r="K578" s="5">
        <f>_xlfn.XLOOKUP('data cleaned'!D578,products!$A$1:$A$49,products!$D$1:$D$49,0)</f>
        <v>0.2</v>
      </c>
      <c r="L578" s="6">
        <f>_xlfn.XLOOKUP('data cleaned'!D578,products!$A$1:$A$49,products!$E$1:$E$49,0)</f>
        <v>2.9849999999999999</v>
      </c>
      <c r="M578" s="6">
        <f>'data cleaned'!E578*'data cleaned'!L578</f>
        <v>17.91</v>
      </c>
      <c r="N578" t="str">
        <f t="shared" si="16"/>
        <v>Arabica</v>
      </c>
      <c r="O578" t="str">
        <f t="shared" si="17"/>
        <v>Dark</v>
      </c>
      <c r="P578" t="str">
        <f>_xlfn.XLOOKUP(worksheet[[#This Row],[Customer ID]],customers!$A$1:$A$1001,customers!$I$1:$I$1001,0)</f>
        <v>No</v>
      </c>
    </row>
    <row r="579" spans="1:16" x14ac:dyDescent="0.25">
      <c r="A579" s="2" t="s">
        <v>3751</v>
      </c>
      <c r="B579" s="4">
        <v>44410</v>
      </c>
      <c r="C579" s="2" t="s">
        <v>3752</v>
      </c>
      <c r="D579" t="s">
        <v>6162</v>
      </c>
      <c r="E579" s="2">
        <v>4</v>
      </c>
      <c r="F579" s="2" t="str">
        <f>_xlfn.XLOOKUP(C579,customers!$A$1:$A$1001,customers!$B$1:$B$1001,0)</f>
        <v>Don Flintiff</v>
      </c>
      <c r="G579" s="2" t="s">
        <v>3754</v>
      </c>
      <c r="H579" s="2" t="str">
        <f>_xlfn.XLOOKUP(C579,customers!$A$1:$A$1001,customers!$G$1:$G$1001,0)</f>
        <v>United Kingdom</v>
      </c>
      <c r="I579" t="str">
        <f>_xlfn.XLOOKUP(D579,products!$A$1:$A$49,products!$B$1:$B$49,0)</f>
        <v>Lib</v>
      </c>
      <c r="J579" t="str">
        <f>_xlfn.XLOOKUP('data cleaned'!D579,products!$A$1:$A$49,products!$C$1:$C$49,0)</f>
        <v>M</v>
      </c>
      <c r="K579" s="5">
        <f>_xlfn.XLOOKUP('data cleaned'!D579,products!$A$1:$A$49,products!$D$1:$D$49,0)</f>
        <v>1</v>
      </c>
      <c r="L579" s="6">
        <f>_xlfn.XLOOKUP('data cleaned'!D579,products!$A$1:$A$49,products!$E$1:$E$49,0)</f>
        <v>14.55</v>
      </c>
      <c r="M579" s="6">
        <f>'data cleaned'!E579*'data cleaned'!L579</f>
        <v>58.2</v>
      </c>
      <c r="N579" t="str">
        <f t="shared" ref="N579:N642" si="18">IF(I579="Rob","Robusta",IF(I579="Exc","Excelsa",IF(I579="Ara","Arabica",IF(I579="Lib","Liberica",""))))</f>
        <v>Liberica</v>
      </c>
      <c r="O579" t="str">
        <f t="shared" ref="O579:O642" si="19">IF(J579="M","Medium",IF(J579="L","Light",IF(J579="D","Dark","")))</f>
        <v>Medium</v>
      </c>
      <c r="P579" t="str">
        <f>_xlfn.XLOOKUP(worksheet[[#This Row],[Customer ID]],customers!$A$1:$A$1001,customers!$I$1:$I$1001,0)</f>
        <v>No</v>
      </c>
    </row>
    <row r="580" spans="1:16" x14ac:dyDescent="0.25">
      <c r="A580" s="2" t="s">
        <v>3756</v>
      </c>
      <c r="B580" s="4">
        <v>44720</v>
      </c>
      <c r="C580" s="2" t="s">
        <v>3757</v>
      </c>
      <c r="D580" t="s">
        <v>6184</v>
      </c>
      <c r="E580" s="2">
        <v>3</v>
      </c>
      <c r="F580" s="2" t="str">
        <f>_xlfn.XLOOKUP(C580,customers!$A$1:$A$1001,customers!$B$1:$B$1001,0)</f>
        <v>Tymon Zanetti</v>
      </c>
      <c r="G580" s="2" t="s">
        <v>3759</v>
      </c>
      <c r="H580" s="2" t="str">
        <f>_xlfn.XLOOKUP(C580,customers!$A$1:$A$1001,customers!$G$1:$G$1001,0)</f>
        <v>Ireland</v>
      </c>
      <c r="I580" t="str">
        <f>_xlfn.XLOOKUP(D580,products!$A$1:$A$49,products!$B$1:$B$49,0)</f>
        <v>Exc</v>
      </c>
      <c r="J580" t="str">
        <f>_xlfn.XLOOKUP('data cleaned'!D580,products!$A$1:$A$49,products!$C$1:$C$49,0)</f>
        <v>L</v>
      </c>
      <c r="K580" s="5">
        <f>_xlfn.XLOOKUP('data cleaned'!D580,products!$A$1:$A$49,products!$D$1:$D$49,0)</f>
        <v>0.2</v>
      </c>
      <c r="L580" s="6">
        <f>_xlfn.XLOOKUP('data cleaned'!D580,products!$A$1:$A$49,products!$E$1:$E$49,0)</f>
        <v>4.4550000000000001</v>
      </c>
      <c r="M580" s="6">
        <f>'data cleaned'!E580*'data cleaned'!L580</f>
        <v>13.365</v>
      </c>
      <c r="N580" t="str">
        <f t="shared" si="18"/>
        <v>Excelsa</v>
      </c>
      <c r="O580" t="str">
        <f t="shared" si="19"/>
        <v>Light</v>
      </c>
      <c r="P580" t="str">
        <f>_xlfn.XLOOKUP(worksheet[[#This Row],[Customer ID]],customers!$A$1:$A$1001,customers!$I$1:$I$1001,0)</f>
        <v>No</v>
      </c>
    </row>
    <row r="581" spans="1:16" x14ac:dyDescent="0.25">
      <c r="A581" s="2" t="s">
        <v>3756</v>
      </c>
      <c r="B581" s="4">
        <v>44720</v>
      </c>
      <c r="C581" s="2" t="s">
        <v>3757</v>
      </c>
      <c r="D581" t="s">
        <v>6157</v>
      </c>
      <c r="E581" s="2">
        <v>5</v>
      </c>
      <c r="F581" s="2" t="str">
        <f>_xlfn.XLOOKUP(C581,customers!$A$1:$A$1001,customers!$B$1:$B$1001,0)</f>
        <v>Tymon Zanetti</v>
      </c>
      <c r="G581" s="2" t="s">
        <v>3759</v>
      </c>
      <c r="H581" s="2" t="str">
        <f>_xlfn.XLOOKUP(C581,customers!$A$1:$A$1001,customers!$G$1:$G$1001,0)</f>
        <v>Ireland</v>
      </c>
      <c r="I581" t="str">
        <f>_xlfn.XLOOKUP(D581,products!$A$1:$A$49,products!$B$1:$B$49,0)</f>
        <v>Ara</v>
      </c>
      <c r="J581" t="str">
        <f>_xlfn.XLOOKUP('data cleaned'!D581,products!$A$1:$A$49,products!$C$1:$C$49,0)</f>
        <v>M</v>
      </c>
      <c r="K581" s="5">
        <f>_xlfn.XLOOKUP('data cleaned'!D581,products!$A$1:$A$49,products!$D$1:$D$49,0)</f>
        <v>0.5</v>
      </c>
      <c r="L581" s="6">
        <f>_xlfn.XLOOKUP('data cleaned'!D581,products!$A$1:$A$49,products!$E$1:$E$49,0)</f>
        <v>6.75</v>
      </c>
      <c r="M581" s="6">
        <f>'data cleaned'!E581*'data cleaned'!L581</f>
        <v>33.75</v>
      </c>
      <c r="N581" t="str">
        <f t="shared" si="18"/>
        <v>Arabica</v>
      </c>
      <c r="O581" t="str">
        <f t="shared" si="19"/>
        <v>Medium</v>
      </c>
      <c r="P581" t="str">
        <f>_xlfn.XLOOKUP(worksheet[[#This Row],[Customer ID]],customers!$A$1:$A$1001,customers!$I$1:$I$1001,0)</f>
        <v>No</v>
      </c>
    </row>
    <row r="582" spans="1:16" x14ac:dyDescent="0.25">
      <c r="A582" s="2" t="s">
        <v>3767</v>
      </c>
      <c r="B582" s="4">
        <v>43965</v>
      </c>
      <c r="C582" s="2" t="s">
        <v>3768</v>
      </c>
      <c r="D582" t="s">
        <v>6171</v>
      </c>
      <c r="E582" s="2">
        <v>3</v>
      </c>
      <c r="F582" s="2" t="str">
        <f>_xlfn.XLOOKUP(C582,customers!$A$1:$A$1001,customers!$B$1:$B$1001,0)</f>
        <v>Reinaldos Kirtley</v>
      </c>
      <c r="G582" s="2" t="s">
        <v>3770</v>
      </c>
      <c r="H582" s="2" t="str">
        <f>_xlfn.XLOOKUP(C582,customers!$A$1:$A$1001,customers!$G$1:$G$1001,0)</f>
        <v>United States</v>
      </c>
      <c r="I582" t="str">
        <f>_xlfn.XLOOKUP(D582,products!$A$1:$A$49,products!$B$1:$B$49,0)</f>
        <v>Exc</v>
      </c>
      <c r="J582" t="str">
        <f>_xlfn.XLOOKUP('data cleaned'!D582,products!$A$1:$A$49,products!$C$1:$C$49,0)</f>
        <v>L</v>
      </c>
      <c r="K582" s="5">
        <f>_xlfn.XLOOKUP('data cleaned'!D582,products!$A$1:$A$49,products!$D$1:$D$49,0)</f>
        <v>1</v>
      </c>
      <c r="L582" s="6">
        <f>_xlfn.XLOOKUP('data cleaned'!D582,products!$A$1:$A$49,products!$E$1:$E$49,0)</f>
        <v>14.85</v>
      </c>
      <c r="M582" s="6">
        <f>'data cleaned'!E582*'data cleaned'!L582</f>
        <v>44.55</v>
      </c>
      <c r="N582" t="str">
        <f t="shared" si="18"/>
        <v>Excelsa</v>
      </c>
      <c r="O582" t="str">
        <f t="shared" si="19"/>
        <v>Light</v>
      </c>
      <c r="P582" t="str">
        <f>_xlfn.XLOOKUP(worksheet[[#This Row],[Customer ID]],customers!$A$1:$A$1001,customers!$I$1:$I$1001,0)</f>
        <v>Yes</v>
      </c>
    </row>
    <row r="583" spans="1:16" x14ac:dyDescent="0.25">
      <c r="A583" s="2" t="s">
        <v>3773</v>
      </c>
      <c r="B583" s="4">
        <v>44190</v>
      </c>
      <c r="C583" s="2" t="s">
        <v>3774</v>
      </c>
      <c r="D583" t="s">
        <v>6176</v>
      </c>
      <c r="E583" s="2">
        <v>5</v>
      </c>
      <c r="F583" s="2" t="str">
        <f>_xlfn.XLOOKUP(C583,customers!$A$1:$A$1001,customers!$B$1:$B$1001,0)</f>
        <v>Carney Clemencet</v>
      </c>
      <c r="G583" s="2" t="s">
        <v>3776</v>
      </c>
      <c r="H583" s="2" t="str">
        <f>_xlfn.XLOOKUP(C583,customers!$A$1:$A$1001,customers!$G$1:$G$1001,0)</f>
        <v>United Kingdom</v>
      </c>
      <c r="I583" t="str">
        <f>_xlfn.XLOOKUP(D583,products!$A$1:$A$49,products!$B$1:$B$49,0)</f>
        <v>Exc</v>
      </c>
      <c r="J583" t="str">
        <f>_xlfn.XLOOKUP('data cleaned'!D583,products!$A$1:$A$49,products!$C$1:$C$49,0)</f>
        <v>L</v>
      </c>
      <c r="K583" s="5">
        <f>_xlfn.XLOOKUP('data cleaned'!D583,products!$A$1:$A$49,products!$D$1:$D$49,0)</f>
        <v>0.5</v>
      </c>
      <c r="L583" s="6">
        <f>_xlfn.XLOOKUP('data cleaned'!D583,products!$A$1:$A$49,products!$E$1:$E$49,0)</f>
        <v>8.91</v>
      </c>
      <c r="M583" s="6">
        <f>'data cleaned'!E583*'data cleaned'!L583</f>
        <v>44.55</v>
      </c>
      <c r="N583" t="str">
        <f t="shared" si="18"/>
        <v>Excelsa</v>
      </c>
      <c r="O583" t="str">
        <f t="shared" si="19"/>
        <v>Light</v>
      </c>
      <c r="P583" t="str">
        <f>_xlfn.XLOOKUP(worksheet[[#This Row],[Customer ID]],customers!$A$1:$A$1001,customers!$I$1:$I$1001,0)</f>
        <v>Yes</v>
      </c>
    </row>
    <row r="584" spans="1:16" x14ac:dyDescent="0.25">
      <c r="A584" s="2" t="s">
        <v>3778</v>
      </c>
      <c r="B584" s="4">
        <v>44382</v>
      </c>
      <c r="C584" s="2" t="s">
        <v>3779</v>
      </c>
      <c r="D584" t="s">
        <v>6183</v>
      </c>
      <c r="E584" s="2">
        <v>5</v>
      </c>
      <c r="F584" s="2" t="str">
        <f>_xlfn.XLOOKUP(C584,customers!$A$1:$A$1001,customers!$B$1:$B$1001,0)</f>
        <v>Russell Donet</v>
      </c>
      <c r="G584" s="2" t="s">
        <v>3781</v>
      </c>
      <c r="H584" s="2" t="str">
        <f>_xlfn.XLOOKUP(C584,customers!$A$1:$A$1001,customers!$G$1:$G$1001,0)</f>
        <v>United States</v>
      </c>
      <c r="I584" t="str">
        <f>_xlfn.XLOOKUP(D584,products!$A$1:$A$49,products!$B$1:$B$49,0)</f>
        <v>Exc</v>
      </c>
      <c r="J584" t="str">
        <f>_xlfn.XLOOKUP('data cleaned'!D584,products!$A$1:$A$49,products!$C$1:$C$49,0)</f>
        <v>D</v>
      </c>
      <c r="K584" s="5">
        <f>_xlfn.XLOOKUP('data cleaned'!D584,products!$A$1:$A$49,products!$D$1:$D$49,0)</f>
        <v>1</v>
      </c>
      <c r="L584" s="6">
        <f>_xlfn.XLOOKUP('data cleaned'!D584,products!$A$1:$A$49,products!$E$1:$E$49,0)</f>
        <v>12.15</v>
      </c>
      <c r="M584" s="6">
        <f>'data cleaned'!E584*'data cleaned'!L584</f>
        <v>60.75</v>
      </c>
      <c r="N584" t="str">
        <f t="shared" si="18"/>
        <v>Excelsa</v>
      </c>
      <c r="O584" t="str">
        <f t="shared" si="19"/>
        <v>Dark</v>
      </c>
      <c r="P584" t="str">
        <f>_xlfn.XLOOKUP(worksheet[[#This Row],[Customer ID]],customers!$A$1:$A$1001,customers!$I$1:$I$1001,0)</f>
        <v>No</v>
      </c>
    </row>
    <row r="585" spans="1:16" x14ac:dyDescent="0.25">
      <c r="A585" s="2" t="s">
        <v>3784</v>
      </c>
      <c r="B585" s="4">
        <v>43538</v>
      </c>
      <c r="C585" s="2" t="s">
        <v>3785</v>
      </c>
      <c r="D585" t="s">
        <v>6178</v>
      </c>
      <c r="E585" s="2">
        <v>1</v>
      </c>
      <c r="F585" s="2" t="str">
        <f>_xlfn.XLOOKUP(C585,customers!$A$1:$A$1001,customers!$B$1:$B$1001,0)</f>
        <v>Sidney Gawen</v>
      </c>
      <c r="G585" s="2" t="s">
        <v>3787</v>
      </c>
      <c r="H585" s="2" t="str">
        <f>_xlfn.XLOOKUP(C585,customers!$A$1:$A$1001,customers!$G$1:$G$1001,0)</f>
        <v>United States</v>
      </c>
      <c r="I585" t="str">
        <f>_xlfn.XLOOKUP(D585,products!$A$1:$A$49,products!$B$1:$B$49,0)</f>
        <v>Rob</v>
      </c>
      <c r="J585" t="str">
        <f>_xlfn.XLOOKUP('data cleaned'!D585,products!$A$1:$A$49,products!$C$1:$C$49,0)</f>
        <v>L</v>
      </c>
      <c r="K585" s="5">
        <f>_xlfn.XLOOKUP('data cleaned'!D585,products!$A$1:$A$49,products!$D$1:$D$49,0)</f>
        <v>0.2</v>
      </c>
      <c r="L585" s="6">
        <f>_xlfn.XLOOKUP('data cleaned'!D585,products!$A$1:$A$49,products!$E$1:$E$49,0)</f>
        <v>3.5849999999999995</v>
      </c>
      <c r="M585" s="6">
        <f>'data cleaned'!E585*'data cleaned'!L585</f>
        <v>3.5849999999999995</v>
      </c>
      <c r="N585" t="str">
        <f t="shared" si="18"/>
        <v>Robusta</v>
      </c>
      <c r="O585" t="str">
        <f t="shared" si="19"/>
        <v>Light</v>
      </c>
      <c r="P585" t="str">
        <f>_xlfn.XLOOKUP(worksheet[[#This Row],[Customer ID]],customers!$A$1:$A$1001,customers!$I$1:$I$1001,0)</f>
        <v>Yes</v>
      </c>
    </row>
    <row r="586" spans="1:16" x14ac:dyDescent="0.25">
      <c r="A586" s="2" t="s">
        <v>3790</v>
      </c>
      <c r="B586" s="4">
        <v>44262</v>
      </c>
      <c r="C586" s="2" t="s">
        <v>3791</v>
      </c>
      <c r="D586" t="s">
        <v>6178</v>
      </c>
      <c r="E586" s="2">
        <v>6</v>
      </c>
      <c r="F586" s="2" t="str">
        <f>_xlfn.XLOOKUP(C586,customers!$A$1:$A$1001,customers!$B$1:$B$1001,0)</f>
        <v>Rickey Readie</v>
      </c>
      <c r="G586" s="2" t="s">
        <v>3793</v>
      </c>
      <c r="H586" s="2" t="str">
        <f>_xlfn.XLOOKUP(C586,customers!$A$1:$A$1001,customers!$G$1:$G$1001,0)</f>
        <v>United States</v>
      </c>
      <c r="I586" t="str">
        <f>_xlfn.XLOOKUP(D586,products!$A$1:$A$49,products!$B$1:$B$49,0)</f>
        <v>Rob</v>
      </c>
      <c r="J586" t="str">
        <f>_xlfn.XLOOKUP('data cleaned'!D586,products!$A$1:$A$49,products!$C$1:$C$49,0)</f>
        <v>L</v>
      </c>
      <c r="K586" s="5">
        <f>_xlfn.XLOOKUP('data cleaned'!D586,products!$A$1:$A$49,products!$D$1:$D$49,0)</f>
        <v>0.2</v>
      </c>
      <c r="L586" s="6">
        <f>_xlfn.XLOOKUP('data cleaned'!D586,products!$A$1:$A$49,products!$E$1:$E$49,0)</f>
        <v>3.5849999999999995</v>
      </c>
      <c r="M586" s="6">
        <f>'data cleaned'!E586*'data cleaned'!L586</f>
        <v>21.509999999999998</v>
      </c>
      <c r="N586" t="str">
        <f t="shared" si="18"/>
        <v>Robusta</v>
      </c>
      <c r="O586" t="str">
        <f t="shared" si="19"/>
        <v>Light</v>
      </c>
      <c r="P586" t="str">
        <f>_xlfn.XLOOKUP(worksheet[[#This Row],[Customer ID]],customers!$A$1:$A$1001,customers!$I$1:$I$1001,0)</f>
        <v>No</v>
      </c>
    </row>
    <row r="587" spans="1:16" x14ac:dyDescent="0.25">
      <c r="A587" s="2" t="s">
        <v>3796</v>
      </c>
      <c r="B587" s="4">
        <v>44505</v>
      </c>
      <c r="C587" s="2" t="s">
        <v>3840</v>
      </c>
      <c r="D587" t="s">
        <v>6139</v>
      </c>
      <c r="E587" s="2">
        <v>2</v>
      </c>
      <c r="F587" s="2" t="str">
        <f>_xlfn.XLOOKUP(C587,customers!$A$1:$A$1001,customers!$B$1:$B$1001,0)</f>
        <v>Cody Verissimo</v>
      </c>
      <c r="G587" s="2" t="s">
        <v>3842</v>
      </c>
      <c r="H587" s="2" t="str">
        <f>_xlfn.XLOOKUP(C587,customers!$A$1:$A$1001,customers!$G$1:$G$1001,0)</f>
        <v>United Kingdom</v>
      </c>
      <c r="I587" t="str">
        <f>_xlfn.XLOOKUP(D587,products!$A$1:$A$49,products!$B$1:$B$49,0)</f>
        <v>Exc</v>
      </c>
      <c r="J587" t="str">
        <f>_xlfn.XLOOKUP('data cleaned'!D587,products!$A$1:$A$49,products!$C$1:$C$49,0)</f>
        <v>M</v>
      </c>
      <c r="K587" s="5">
        <f>_xlfn.XLOOKUP('data cleaned'!D587,products!$A$1:$A$49,products!$D$1:$D$49,0)</f>
        <v>0.5</v>
      </c>
      <c r="L587" s="6">
        <f>_xlfn.XLOOKUP('data cleaned'!D587,products!$A$1:$A$49,products!$E$1:$E$49,0)</f>
        <v>8.25</v>
      </c>
      <c r="M587" s="6">
        <f>'data cleaned'!E587*'data cleaned'!L587</f>
        <v>16.5</v>
      </c>
      <c r="N587" t="str">
        <f t="shared" si="18"/>
        <v>Excelsa</v>
      </c>
      <c r="O587" t="str">
        <f t="shared" si="19"/>
        <v>Medium</v>
      </c>
      <c r="P587" t="str">
        <f>_xlfn.XLOOKUP(worksheet[[#This Row],[Customer ID]],customers!$A$1:$A$1001,customers!$I$1:$I$1001,0)</f>
        <v>Yes</v>
      </c>
    </row>
    <row r="588" spans="1:16" x14ac:dyDescent="0.25">
      <c r="A588" s="2" t="s">
        <v>3802</v>
      </c>
      <c r="B588" s="4">
        <v>43867</v>
      </c>
      <c r="C588" s="2" t="s">
        <v>3803</v>
      </c>
      <c r="D588" t="s">
        <v>6142</v>
      </c>
      <c r="E588" s="2">
        <v>3</v>
      </c>
      <c r="F588" s="2" t="str">
        <f>_xlfn.XLOOKUP(C588,customers!$A$1:$A$1001,customers!$B$1:$B$1001,0)</f>
        <v>Zilvia Claisse</v>
      </c>
      <c r="G588" s="2" t="s">
        <v>6222</v>
      </c>
      <c r="H588" s="2" t="str">
        <f>_xlfn.XLOOKUP(C588,customers!$A$1:$A$1001,customers!$G$1:$G$1001,0)</f>
        <v>United States</v>
      </c>
      <c r="I588" t="str">
        <f>_xlfn.XLOOKUP(D588,products!$A$1:$A$49,products!$B$1:$B$49,0)</f>
        <v>Rob</v>
      </c>
      <c r="J588" t="str">
        <f>_xlfn.XLOOKUP('data cleaned'!D588,products!$A$1:$A$49,products!$C$1:$C$49,0)</f>
        <v>L</v>
      </c>
      <c r="K588" s="5">
        <f>_xlfn.XLOOKUP('data cleaned'!D588,products!$A$1:$A$49,products!$D$1:$D$49,0)</f>
        <v>2.5</v>
      </c>
      <c r="L588" s="6">
        <f>_xlfn.XLOOKUP('data cleaned'!D588,products!$A$1:$A$49,products!$E$1:$E$49,0)</f>
        <v>27.484999999999996</v>
      </c>
      <c r="M588" s="6">
        <f>'data cleaned'!E588*'data cleaned'!L588</f>
        <v>82.454999999999984</v>
      </c>
      <c r="N588" t="str">
        <f t="shared" si="18"/>
        <v>Robusta</v>
      </c>
      <c r="O588" t="str">
        <f t="shared" si="19"/>
        <v>Light</v>
      </c>
      <c r="P588" t="str">
        <f>_xlfn.XLOOKUP(worksheet[[#This Row],[Customer ID]],customers!$A$1:$A$1001,customers!$I$1:$I$1001,0)</f>
        <v>No</v>
      </c>
    </row>
    <row r="589" spans="1:16" x14ac:dyDescent="0.25">
      <c r="A589" s="2" t="s">
        <v>3807</v>
      </c>
      <c r="B589" s="4">
        <v>44267</v>
      </c>
      <c r="C589" s="2" t="s">
        <v>3808</v>
      </c>
      <c r="D589" t="s">
        <v>6169</v>
      </c>
      <c r="E589" s="2">
        <v>1</v>
      </c>
      <c r="F589" s="2" t="str">
        <f>_xlfn.XLOOKUP(C589,customers!$A$1:$A$1001,customers!$B$1:$B$1001,0)</f>
        <v>Bar O' Mahony</v>
      </c>
      <c r="G589" s="2" t="s">
        <v>3810</v>
      </c>
      <c r="H589" s="2" t="str">
        <f>_xlfn.XLOOKUP(C589,customers!$A$1:$A$1001,customers!$G$1:$G$1001,0)</f>
        <v>United States</v>
      </c>
      <c r="I589" t="str">
        <f>_xlfn.XLOOKUP(D589,products!$A$1:$A$49,products!$B$1:$B$49,0)</f>
        <v>Lib</v>
      </c>
      <c r="J589" t="str">
        <f>_xlfn.XLOOKUP('data cleaned'!D589,products!$A$1:$A$49,products!$C$1:$C$49,0)</f>
        <v>D</v>
      </c>
      <c r="K589" s="5">
        <f>_xlfn.XLOOKUP('data cleaned'!D589,products!$A$1:$A$49,products!$D$1:$D$49,0)</f>
        <v>0.5</v>
      </c>
      <c r="L589" s="6">
        <f>_xlfn.XLOOKUP('data cleaned'!D589,products!$A$1:$A$49,products!$E$1:$E$49,0)</f>
        <v>7.77</v>
      </c>
      <c r="M589" s="6">
        <f>'data cleaned'!E589*'data cleaned'!L589</f>
        <v>7.77</v>
      </c>
      <c r="N589" t="str">
        <f t="shared" si="18"/>
        <v>Liberica</v>
      </c>
      <c r="O589" t="str">
        <f t="shared" si="19"/>
        <v>Dark</v>
      </c>
      <c r="P589" t="str">
        <f>_xlfn.XLOOKUP(worksheet[[#This Row],[Customer ID]],customers!$A$1:$A$1001,customers!$I$1:$I$1001,0)</f>
        <v>Yes</v>
      </c>
    </row>
    <row r="590" spans="1:16" x14ac:dyDescent="0.25">
      <c r="A590" s="2" t="s">
        <v>3812</v>
      </c>
      <c r="B590" s="4">
        <v>44046</v>
      </c>
      <c r="C590" s="2" t="s">
        <v>3813</v>
      </c>
      <c r="D590" t="s">
        <v>6146</v>
      </c>
      <c r="E590" s="2">
        <v>2</v>
      </c>
      <c r="F590" s="2" t="str">
        <f>_xlfn.XLOOKUP(C590,customers!$A$1:$A$1001,customers!$B$1:$B$1001,0)</f>
        <v>Valenka Stansbury</v>
      </c>
      <c r="G590" s="2" t="s">
        <v>3815</v>
      </c>
      <c r="H590" s="2" t="str">
        <f>_xlfn.XLOOKUP(C590,customers!$A$1:$A$1001,customers!$G$1:$G$1001,0)</f>
        <v>United States</v>
      </c>
      <c r="I590" t="str">
        <f>_xlfn.XLOOKUP(D590,products!$A$1:$A$49,products!$B$1:$B$49,0)</f>
        <v>Rob</v>
      </c>
      <c r="J590" t="str">
        <f>_xlfn.XLOOKUP('data cleaned'!D590,products!$A$1:$A$49,products!$C$1:$C$49,0)</f>
        <v>M</v>
      </c>
      <c r="K590" s="5">
        <f>_xlfn.XLOOKUP('data cleaned'!D590,products!$A$1:$A$49,products!$D$1:$D$49,0)</f>
        <v>0.5</v>
      </c>
      <c r="L590" s="6">
        <f>_xlfn.XLOOKUP('data cleaned'!D590,products!$A$1:$A$49,products!$E$1:$E$49,0)</f>
        <v>5.97</v>
      </c>
      <c r="M590" s="6">
        <f>'data cleaned'!E590*'data cleaned'!L590</f>
        <v>11.94</v>
      </c>
      <c r="N590" t="str">
        <f t="shared" si="18"/>
        <v>Robusta</v>
      </c>
      <c r="O590" t="str">
        <f t="shared" si="19"/>
        <v>Medium</v>
      </c>
      <c r="P590" t="str">
        <f>_xlfn.XLOOKUP(worksheet[[#This Row],[Customer ID]],customers!$A$1:$A$1001,customers!$I$1:$I$1001,0)</f>
        <v>Yes</v>
      </c>
    </row>
    <row r="591" spans="1:16" x14ac:dyDescent="0.25">
      <c r="A591" s="2" t="s">
        <v>3818</v>
      </c>
      <c r="B591" s="4">
        <v>43671</v>
      </c>
      <c r="C591" s="2" t="s">
        <v>3819</v>
      </c>
      <c r="D591" t="s">
        <v>6148</v>
      </c>
      <c r="E591" s="2">
        <v>6</v>
      </c>
      <c r="F591" s="2" t="str">
        <f>_xlfn.XLOOKUP(C591,customers!$A$1:$A$1001,customers!$B$1:$B$1001,0)</f>
        <v>Daniel Heinonen</v>
      </c>
      <c r="G591" s="2" t="s">
        <v>3821</v>
      </c>
      <c r="H591" s="2" t="str">
        <f>_xlfn.XLOOKUP(C591,customers!$A$1:$A$1001,customers!$G$1:$G$1001,0)</f>
        <v>United States</v>
      </c>
      <c r="I591" t="str">
        <f>_xlfn.XLOOKUP(D591,products!$A$1:$A$49,products!$B$1:$B$49,0)</f>
        <v>Exc</v>
      </c>
      <c r="J591" t="str">
        <f>_xlfn.XLOOKUP('data cleaned'!D591,products!$A$1:$A$49,products!$C$1:$C$49,0)</f>
        <v>L</v>
      </c>
      <c r="K591" s="5">
        <f>_xlfn.XLOOKUP('data cleaned'!D591,products!$A$1:$A$49,products!$D$1:$D$49,0)</f>
        <v>2.5</v>
      </c>
      <c r="L591" s="6">
        <f>_xlfn.XLOOKUP('data cleaned'!D591,products!$A$1:$A$49,products!$E$1:$E$49,0)</f>
        <v>34.154999999999994</v>
      </c>
      <c r="M591" s="6">
        <f>'data cleaned'!E591*'data cleaned'!L591</f>
        <v>204.92999999999995</v>
      </c>
      <c r="N591" t="str">
        <f t="shared" si="18"/>
        <v>Excelsa</v>
      </c>
      <c r="O591" t="str">
        <f t="shared" si="19"/>
        <v>Light</v>
      </c>
      <c r="P591" t="str">
        <f>_xlfn.XLOOKUP(worksheet[[#This Row],[Customer ID]],customers!$A$1:$A$1001,customers!$I$1:$I$1001,0)</f>
        <v>No</v>
      </c>
    </row>
    <row r="592" spans="1:16" x14ac:dyDescent="0.25">
      <c r="A592" s="2" t="s">
        <v>3823</v>
      </c>
      <c r="B592" s="4">
        <v>43950</v>
      </c>
      <c r="C592" s="2" t="s">
        <v>3824</v>
      </c>
      <c r="D592" t="s">
        <v>6166</v>
      </c>
      <c r="E592" s="2">
        <v>2</v>
      </c>
      <c r="F592" s="2" t="str">
        <f>_xlfn.XLOOKUP(C592,customers!$A$1:$A$1001,customers!$B$1:$B$1001,0)</f>
        <v>Jewelle Shenton</v>
      </c>
      <c r="G592" s="2" t="s">
        <v>3826</v>
      </c>
      <c r="H592" s="2" t="str">
        <f>_xlfn.XLOOKUP(C592,customers!$A$1:$A$1001,customers!$G$1:$G$1001,0)</f>
        <v>United States</v>
      </c>
      <c r="I592" t="str">
        <f>_xlfn.XLOOKUP(D592,products!$A$1:$A$49,products!$B$1:$B$49,0)</f>
        <v>Exc</v>
      </c>
      <c r="J592" t="str">
        <f>_xlfn.XLOOKUP('data cleaned'!D592,products!$A$1:$A$49,products!$C$1:$C$49,0)</f>
        <v>M</v>
      </c>
      <c r="K592" s="5">
        <f>_xlfn.XLOOKUP('data cleaned'!D592,products!$A$1:$A$49,products!$D$1:$D$49,0)</f>
        <v>2.5</v>
      </c>
      <c r="L592" s="6">
        <f>_xlfn.XLOOKUP('data cleaned'!D592,products!$A$1:$A$49,products!$E$1:$E$49,0)</f>
        <v>31.624999999999996</v>
      </c>
      <c r="M592" s="6">
        <f>'data cleaned'!E592*'data cleaned'!L592</f>
        <v>63.249999999999993</v>
      </c>
      <c r="N592" t="str">
        <f t="shared" si="18"/>
        <v>Excelsa</v>
      </c>
      <c r="O592" t="str">
        <f t="shared" si="19"/>
        <v>Medium</v>
      </c>
      <c r="P592" t="str">
        <f>_xlfn.XLOOKUP(worksheet[[#This Row],[Customer ID]],customers!$A$1:$A$1001,customers!$I$1:$I$1001,0)</f>
        <v>Yes</v>
      </c>
    </row>
    <row r="593" spans="1:16" x14ac:dyDescent="0.25">
      <c r="A593" s="2" t="s">
        <v>3829</v>
      </c>
      <c r="B593" s="4">
        <v>43587</v>
      </c>
      <c r="C593" s="2" t="s">
        <v>3830</v>
      </c>
      <c r="D593" t="s">
        <v>6163</v>
      </c>
      <c r="E593" s="2">
        <v>3</v>
      </c>
      <c r="F593" s="2" t="str">
        <f>_xlfn.XLOOKUP(C593,customers!$A$1:$A$1001,customers!$B$1:$B$1001,0)</f>
        <v>Jennifer Wilkisson</v>
      </c>
      <c r="G593" s="2" t="s">
        <v>3832</v>
      </c>
      <c r="H593" s="2" t="str">
        <f>_xlfn.XLOOKUP(C593,customers!$A$1:$A$1001,customers!$G$1:$G$1001,0)</f>
        <v>United States</v>
      </c>
      <c r="I593" t="str">
        <f>_xlfn.XLOOKUP(D593,products!$A$1:$A$49,products!$B$1:$B$49,0)</f>
        <v>Rob</v>
      </c>
      <c r="J593" t="str">
        <f>_xlfn.XLOOKUP('data cleaned'!D593,products!$A$1:$A$49,products!$C$1:$C$49,0)</f>
        <v>D</v>
      </c>
      <c r="K593" s="5">
        <f>_xlfn.XLOOKUP('data cleaned'!D593,products!$A$1:$A$49,products!$D$1:$D$49,0)</f>
        <v>0.2</v>
      </c>
      <c r="L593" s="6">
        <f>_xlfn.XLOOKUP('data cleaned'!D593,products!$A$1:$A$49,products!$E$1:$E$49,0)</f>
        <v>2.6849999999999996</v>
      </c>
      <c r="M593" s="6">
        <f>'data cleaned'!E593*'data cleaned'!L593</f>
        <v>8.0549999999999997</v>
      </c>
      <c r="N593" t="str">
        <f t="shared" si="18"/>
        <v>Robusta</v>
      </c>
      <c r="O593" t="str">
        <f t="shared" si="19"/>
        <v>Dark</v>
      </c>
      <c r="P593" t="str">
        <f>_xlfn.XLOOKUP(worksheet[[#This Row],[Customer ID]],customers!$A$1:$A$1001,customers!$I$1:$I$1001,0)</f>
        <v>Yes</v>
      </c>
    </row>
    <row r="594" spans="1:16" x14ac:dyDescent="0.25">
      <c r="A594" s="2" t="s">
        <v>3834</v>
      </c>
      <c r="B594" s="4">
        <v>44437</v>
      </c>
      <c r="C594" s="2" t="s">
        <v>3835</v>
      </c>
      <c r="D594" t="s">
        <v>6175</v>
      </c>
      <c r="E594" s="2">
        <v>2</v>
      </c>
      <c r="F594" s="2" t="str">
        <f>_xlfn.XLOOKUP(C594,customers!$A$1:$A$1001,customers!$B$1:$B$1001,0)</f>
        <v>Kylie Mowat</v>
      </c>
      <c r="G594" s="2" t="s">
        <v>6222</v>
      </c>
      <c r="H594" s="2" t="str">
        <f>_xlfn.XLOOKUP(C594,customers!$A$1:$A$1001,customers!$G$1:$G$1001,0)</f>
        <v>United States</v>
      </c>
      <c r="I594" t="str">
        <f>_xlfn.XLOOKUP(D594,products!$A$1:$A$49,products!$B$1:$B$49,0)</f>
        <v>Ara</v>
      </c>
      <c r="J594" t="str">
        <f>_xlfn.XLOOKUP('data cleaned'!D594,products!$A$1:$A$49,products!$C$1:$C$49,0)</f>
        <v>M</v>
      </c>
      <c r="K594" s="5">
        <f>_xlfn.XLOOKUP('data cleaned'!D594,products!$A$1:$A$49,products!$D$1:$D$49,0)</f>
        <v>2.5</v>
      </c>
      <c r="L594" s="6">
        <f>_xlfn.XLOOKUP('data cleaned'!D594,products!$A$1:$A$49,products!$E$1:$E$49,0)</f>
        <v>25.874999999999996</v>
      </c>
      <c r="M594" s="6">
        <f>'data cleaned'!E594*'data cleaned'!L594</f>
        <v>51.749999999999993</v>
      </c>
      <c r="N594" t="str">
        <f t="shared" si="18"/>
        <v>Arabica</v>
      </c>
      <c r="O594" t="str">
        <f t="shared" si="19"/>
        <v>Medium</v>
      </c>
      <c r="P594" t="str">
        <f>_xlfn.XLOOKUP(worksheet[[#This Row],[Customer ID]],customers!$A$1:$A$1001,customers!$I$1:$I$1001,0)</f>
        <v>No</v>
      </c>
    </row>
    <row r="595" spans="1:16" x14ac:dyDescent="0.25">
      <c r="A595" s="2" t="s">
        <v>3839</v>
      </c>
      <c r="B595" s="4">
        <v>43903</v>
      </c>
      <c r="C595" s="2" t="s">
        <v>3840</v>
      </c>
      <c r="D595" t="s">
        <v>6185</v>
      </c>
      <c r="E595" s="2">
        <v>1</v>
      </c>
      <c r="F595" s="2" t="str">
        <f>_xlfn.XLOOKUP(C595,customers!$A$1:$A$1001,customers!$B$1:$B$1001,0)</f>
        <v>Cody Verissimo</v>
      </c>
      <c r="G595" s="2" t="s">
        <v>3842</v>
      </c>
      <c r="H595" s="2" t="str">
        <f>_xlfn.XLOOKUP(C595,customers!$A$1:$A$1001,customers!$G$1:$G$1001,0)</f>
        <v>United Kingdom</v>
      </c>
      <c r="I595" t="str">
        <f>_xlfn.XLOOKUP(D595,products!$A$1:$A$49,products!$B$1:$B$49,0)</f>
        <v>Exc</v>
      </c>
      <c r="J595" t="str">
        <f>_xlfn.XLOOKUP('data cleaned'!D595,products!$A$1:$A$49,products!$C$1:$C$49,0)</f>
        <v>D</v>
      </c>
      <c r="K595" s="5">
        <f>_xlfn.XLOOKUP('data cleaned'!D595,products!$A$1:$A$49,products!$D$1:$D$49,0)</f>
        <v>2.5</v>
      </c>
      <c r="L595" s="6">
        <f>_xlfn.XLOOKUP('data cleaned'!D595,products!$A$1:$A$49,products!$E$1:$E$49,0)</f>
        <v>27.945</v>
      </c>
      <c r="M595" s="6">
        <f>'data cleaned'!E595*'data cleaned'!L595</f>
        <v>27.945</v>
      </c>
      <c r="N595" t="str">
        <f t="shared" si="18"/>
        <v>Excelsa</v>
      </c>
      <c r="O595" t="str">
        <f t="shared" si="19"/>
        <v>Dark</v>
      </c>
      <c r="P595" t="str">
        <f>_xlfn.XLOOKUP(worksheet[[#This Row],[Customer ID]],customers!$A$1:$A$1001,customers!$I$1:$I$1001,0)</f>
        <v>Yes</v>
      </c>
    </row>
    <row r="596" spans="1:16" x14ac:dyDescent="0.25">
      <c r="A596" s="2" t="s">
        <v>3844</v>
      </c>
      <c r="B596" s="4">
        <v>43512</v>
      </c>
      <c r="C596" s="2" t="s">
        <v>3845</v>
      </c>
      <c r="D596" t="s">
        <v>6182</v>
      </c>
      <c r="E596" s="2">
        <v>2</v>
      </c>
      <c r="F596" s="2" t="str">
        <f>_xlfn.XLOOKUP(C596,customers!$A$1:$A$1001,customers!$B$1:$B$1001,0)</f>
        <v>Gabriel Starcks</v>
      </c>
      <c r="G596" s="2" t="s">
        <v>3847</v>
      </c>
      <c r="H596" s="2" t="str">
        <f>_xlfn.XLOOKUP(C596,customers!$A$1:$A$1001,customers!$G$1:$G$1001,0)</f>
        <v>United States</v>
      </c>
      <c r="I596" t="str">
        <f>_xlfn.XLOOKUP(D596,products!$A$1:$A$49,products!$B$1:$B$49,0)</f>
        <v>Ara</v>
      </c>
      <c r="J596" t="str">
        <f>_xlfn.XLOOKUP('data cleaned'!D596,products!$A$1:$A$49,products!$C$1:$C$49,0)</f>
        <v>L</v>
      </c>
      <c r="K596" s="5">
        <f>_xlfn.XLOOKUP('data cleaned'!D596,products!$A$1:$A$49,products!$D$1:$D$49,0)</f>
        <v>2.5</v>
      </c>
      <c r="L596" s="6">
        <f>_xlfn.XLOOKUP('data cleaned'!D596,products!$A$1:$A$49,products!$E$1:$E$49,0)</f>
        <v>29.784999999999997</v>
      </c>
      <c r="M596" s="6">
        <f>'data cleaned'!E596*'data cleaned'!L596</f>
        <v>59.569999999999993</v>
      </c>
      <c r="N596" t="str">
        <f t="shared" si="18"/>
        <v>Arabica</v>
      </c>
      <c r="O596" t="str">
        <f t="shared" si="19"/>
        <v>Light</v>
      </c>
      <c r="P596" t="str">
        <f>_xlfn.XLOOKUP(worksheet[[#This Row],[Customer ID]],customers!$A$1:$A$1001,customers!$I$1:$I$1001,0)</f>
        <v>No</v>
      </c>
    </row>
    <row r="597" spans="1:16" x14ac:dyDescent="0.25">
      <c r="A597" s="2" t="s">
        <v>3850</v>
      </c>
      <c r="B597" s="4">
        <v>44527</v>
      </c>
      <c r="C597" s="2" t="s">
        <v>3851</v>
      </c>
      <c r="D597" t="s">
        <v>6171</v>
      </c>
      <c r="E597" s="2">
        <v>1</v>
      </c>
      <c r="F597" s="2" t="str">
        <f>_xlfn.XLOOKUP(C597,customers!$A$1:$A$1001,customers!$B$1:$B$1001,0)</f>
        <v>Darby Dummer</v>
      </c>
      <c r="G597" s="2" t="s">
        <v>6222</v>
      </c>
      <c r="H597" s="2" t="str">
        <f>_xlfn.XLOOKUP(C597,customers!$A$1:$A$1001,customers!$G$1:$G$1001,0)</f>
        <v>United Kingdom</v>
      </c>
      <c r="I597" t="str">
        <f>_xlfn.XLOOKUP(D597,products!$A$1:$A$49,products!$B$1:$B$49,0)</f>
        <v>Exc</v>
      </c>
      <c r="J597" t="str">
        <f>_xlfn.XLOOKUP('data cleaned'!D597,products!$A$1:$A$49,products!$C$1:$C$49,0)</f>
        <v>L</v>
      </c>
      <c r="K597" s="5">
        <f>_xlfn.XLOOKUP('data cleaned'!D597,products!$A$1:$A$49,products!$D$1:$D$49,0)</f>
        <v>1</v>
      </c>
      <c r="L597" s="6">
        <f>_xlfn.XLOOKUP('data cleaned'!D597,products!$A$1:$A$49,products!$E$1:$E$49,0)</f>
        <v>14.85</v>
      </c>
      <c r="M597" s="6">
        <f>'data cleaned'!E597*'data cleaned'!L597</f>
        <v>14.85</v>
      </c>
      <c r="N597" t="str">
        <f t="shared" si="18"/>
        <v>Excelsa</v>
      </c>
      <c r="O597" t="str">
        <f t="shared" si="19"/>
        <v>Light</v>
      </c>
      <c r="P597" t="str">
        <f>_xlfn.XLOOKUP(worksheet[[#This Row],[Customer ID]],customers!$A$1:$A$1001,customers!$I$1:$I$1001,0)</f>
        <v>No</v>
      </c>
    </row>
    <row r="598" spans="1:16" x14ac:dyDescent="0.25">
      <c r="A598" s="2" t="s">
        <v>3854</v>
      </c>
      <c r="B598" s="4">
        <v>44523</v>
      </c>
      <c r="C598" s="2" t="s">
        <v>3855</v>
      </c>
      <c r="D598" t="s">
        <v>6157</v>
      </c>
      <c r="E598" s="2">
        <v>5</v>
      </c>
      <c r="F598" s="2" t="str">
        <f>_xlfn.XLOOKUP(C598,customers!$A$1:$A$1001,customers!$B$1:$B$1001,0)</f>
        <v>Kienan Scholard</v>
      </c>
      <c r="G598" s="2" t="s">
        <v>3857</v>
      </c>
      <c r="H598" s="2" t="str">
        <f>_xlfn.XLOOKUP(C598,customers!$A$1:$A$1001,customers!$G$1:$G$1001,0)</f>
        <v>United States</v>
      </c>
      <c r="I598" t="str">
        <f>_xlfn.XLOOKUP(D598,products!$A$1:$A$49,products!$B$1:$B$49,0)</f>
        <v>Ara</v>
      </c>
      <c r="J598" t="str">
        <f>_xlfn.XLOOKUP('data cleaned'!D598,products!$A$1:$A$49,products!$C$1:$C$49,0)</f>
        <v>M</v>
      </c>
      <c r="K598" s="5">
        <f>_xlfn.XLOOKUP('data cleaned'!D598,products!$A$1:$A$49,products!$D$1:$D$49,0)</f>
        <v>0.5</v>
      </c>
      <c r="L598" s="6">
        <f>_xlfn.XLOOKUP('data cleaned'!D598,products!$A$1:$A$49,products!$E$1:$E$49,0)</f>
        <v>6.75</v>
      </c>
      <c r="M598" s="6">
        <f>'data cleaned'!E598*'data cleaned'!L598</f>
        <v>33.75</v>
      </c>
      <c r="N598" t="str">
        <f t="shared" si="18"/>
        <v>Arabica</v>
      </c>
      <c r="O598" t="str">
        <f t="shared" si="19"/>
        <v>Medium</v>
      </c>
      <c r="P598" t="str">
        <f>_xlfn.XLOOKUP(worksheet[[#This Row],[Customer ID]],customers!$A$1:$A$1001,customers!$I$1:$I$1001,0)</f>
        <v>No</v>
      </c>
    </row>
    <row r="599" spans="1:16" x14ac:dyDescent="0.25">
      <c r="A599" s="2" t="s">
        <v>3860</v>
      </c>
      <c r="B599" s="4">
        <v>44532</v>
      </c>
      <c r="C599" s="2" t="s">
        <v>3861</v>
      </c>
      <c r="D599" t="s">
        <v>6164</v>
      </c>
      <c r="E599" s="2">
        <v>4</v>
      </c>
      <c r="F599" s="2" t="str">
        <f>_xlfn.XLOOKUP(C599,customers!$A$1:$A$1001,customers!$B$1:$B$1001,0)</f>
        <v>Bo Kindley</v>
      </c>
      <c r="G599" s="2" t="s">
        <v>3863</v>
      </c>
      <c r="H599" s="2" t="str">
        <f>_xlfn.XLOOKUP(C599,customers!$A$1:$A$1001,customers!$G$1:$G$1001,0)</f>
        <v>United States</v>
      </c>
      <c r="I599" t="str">
        <f>_xlfn.XLOOKUP(D599,products!$A$1:$A$49,products!$B$1:$B$49,0)</f>
        <v>Lib</v>
      </c>
      <c r="J599" t="str">
        <f>_xlfn.XLOOKUP('data cleaned'!D599,products!$A$1:$A$49,products!$C$1:$C$49,0)</f>
        <v>L</v>
      </c>
      <c r="K599" s="5">
        <f>_xlfn.XLOOKUP('data cleaned'!D599,products!$A$1:$A$49,products!$D$1:$D$49,0)</f>
        <v>2.5</v>
      </c>
      <c r="L599" s="6">
        <f>_xlfn.XLOOKUP('data cleaned'!D599,products!$A$1:$A$49,products!$E$1:$E$49,0)</f>
        <v>36.454999999999998</v>
      </c>
      <c r="M599" s="6">
        <f>'data cleaned'!E599*'data cleaned'!L599</f>
        <v>145.82</v>
      </c>
      <c r="N599" t="str">
        <f t="shared" si="18"/>
        <v>Liberica</v>
      </c>
      <c r="O599" t="str">
        <f t="shared" si="19"/>
        <v>Light</v>
      </c>
      <c r="P599" t="str">
        <f>_xlfn.XLOOKUP(worksheet[[#This Row],[Customer ID]],customers!$A$1:$A$1001,customers!$I$1:$I$1001,0)</f>
        <v>Yes</v>
      </c>
    </row>
    <row r="600" spans="1:16" x14ac:dyDescent="0.25">
      <c r="A600" s="2" t="s">
        <v>3866</v>
      </c>
      <c r="B600" s="4">
        <v>43471</v>
      </c>
      <c r="C600" s="2" t="s">
        <v>3867</v>
      </c>
      <c r="D600" t="s">
        <v>6174</v>
      </c>
      <c r="E600" s="2">
        <v>4</v>
      </c>
      <c r="F600" s="2" t="str">
        <f>_xlfn.XLOOKUP(C600,customers!$A$1:$A$1001,customers!$B$1:$B$1001,0)</f>
        <v>Krissie Hammett</v>
      </c>
      <c r="G600" s="2" t="s">
        <v>3869</v>
      </c>
      <c r="H600" s="2" t="str">
        <f>_xlfn.XLOOKUP(C600,customers!$A$1:$A$1001,customers!$G$1:$G$1001,0)</f>
        <v>United States</v>
      </c>
      <c r="I600" t="str">
        <f>_xlfn.XLOOKUP(D600,products!$A$1:$A$49,products!$B$1:$B$49,0)</f>
        <v>Rob</v>
      </c>
      <c r="J600" t="str">
        <f>_xlfn.XLOOKUP('data cleaned'!D600,products!$A$1:$A$49,products!$C$1:$C$49,0)</f>
        <v>M</v>
      </c>
      <c r="K600" s="5">
        <f>_xlfn.XLOOKUP('data cleaned'!D600,products!$A$1:$A$49,products!$D$1:$D$49,0)</f>
        <v>0.2</v>
      </c>
      <c r="L600" s="6">
        <f>_xlfn.XLOOKUP('data cleaned'!D600,products!$A$1:$A$49,products!$E$1:$E$49,0)</f>
        <v>2.9849999999999999</v>
      </c>
      <c r="M600" s="6">
        <f>'data cleaned'!E600*'data cleaned'!L600</f>
        <v>11.94</v>
      </c>
      <c r="N600" t="str">
        <f t="shared" si="18"/>
        <v>Robusta</v>
      </c>
      <c r="O600" t="str">
        <f t="shared" si="19"/>
        <v>Medium</v>
      </c>
      <c r="P600" t="str">
        <f>_xlfn.XLOOKUP(worksheet[[#This Row],[Customer ID]],customers!$A$1:$A$1001,customers!$I$1:$I$1001,0)</f>
        <v>Yes</v>
      </c>
    </row>
    <row r="601" spans="1:16" x14ac:dyDescent="0.25">
      <c r="A601" s="2" t="s">
        <v>3872</v>
      </c>
      <c r="B601" s="4">
        <v>44321</v>
      </c>
      <c r="C601" s="2" t="s">
        <v>3873</v>
      </c>
      <c r="D601" t="s">
        <v>6154</v>
      </c>
      <c r="E601" s="2">
        <v>4</v>
      </c>
      <c r="F601" s="2" t="str">
        <f>_xlfn.XLOOKUP(C601,customers!$A$1:$A$1001,customers!$B$1:$B$1001,0)</f>
        <v>Alisha Hulburt</v>
      </c>
      <c r="G601" s="2" t="s">
        <v>3875</v>
      </c>
      <c r="H601" s="2" t="str">
        <f>_xlfn.XLOOKUP(C601,customers!$A$1:$A$1001,customers!$G$1:$G$1001,0)</f>
        <v>United States</v>
      </c>
      <c r="I601" t="str">
        <f>_xlfn.XLOOKUP(D601,products!$A$1:$A$49,products!$B$1:$B$49,0)</f>
        <v>Ara</v>
      </c>
      <c r="J601" t="str">
        <f>_xlfn.XLOOKUP('data cleaned'!D601,products!$A$1:$A$49,products!$C$1:$C$49,0)</f>
        <v>D</v>
      </c>
      <c r="K601" s="5">
        <f>_xlfn.XLOOKUP('data cleaned'!D601,products!$A$1:$A$49,products!$D$1:$D$49,0)</f>
        <v>0.2</v>
      </c>
      <c r="L601" s="6">
        <f>_xlfn.XLOOKUP('data cleaned'!D601,products!$A$1:$A$49,products!$E$1:$E$49,0)</f>
        <v>2.9849999999999999</v>
      </c>
      <c r="M601" s="6">
        <f>'data cleaned'!E601*'data cleaned'!L601</f>
        <v>11.94</v>
      </c>
      <c r="N601" t="str">
        <f t="shared" si="18"/>
        <v>Arabica</v>
      </c>
      <c r="O601" t="str">
        <f t="shared" si="19"/>
        <v>Dark</v>
      </c>
      <c r="P601" t="str">
        <f>_xlfn.XLOOKUP(worksheet[[#This Row],[Customer ID]],customers!$A$1:$A$1001,customers!$I$1:$I$1001,0)</f>
        <v>Yes</v>
      </c>
    </row>
    <row r="602" spans="1:16" x14ac:dyDescent="0.25">
      <c r="A602" s="2" t="s">
        <v>3877</v>
      </c>
      <c r="B602" s="4">
        <v>44492</v>
      </c>
      <c r="C602" s="2" t="s">
        <v>3878</v>
      </c>
      <c r="D602" t="s">
        <v>6169</v>
      </c>
      <c r="E602" s="2">
        <v>1</v>
      </c>
      <c r="F602" s="2" t="str">
        <f>_xlfn.XLOOKUP(C602,customers!$A$1:$A$1001,customers!$B$1:$B$1001,0)</f>
        <v>Peyter Lauritzen</v>
      </c>
      <c r="G602" s="2" t="s">
        <v>3880</v>
      </c>
      <c r="H602" s="2" t="str">
        <f>_xlfn.XLOOKUP(C602,customers!$A$1:$A$1001,customers!$G$1:$G$1001,0)</f>
        <v>United States</v>
      </c>
      <c r="I602" t="str">
        <f>_xlfn.XLOOKUP(D602,products!$A$1:$A$49,products!$B$1:$B$49,0)</f>
        <v>Lib</v>
      </c>
      <c r="J602" t="str">
        <f>_xlfn.XLOOKUP('data cleaned'!D602,products!$A$1:$A$49,products!$C$1:$C$49,0)</f>
        <v>D</v>
      </c>
      <c r="K602" s="5">
        <f>_xlfn.XLOOKUP('data cleaned'!D602,products!$A$1:$A$49,products!$D$1:$D$49,0)</f>
        <v>0.5</v>
      </c>
      <c r="L602" s="6">
        <f>_xlfn.XLOOKUP('data cleaned'!D602,products!$A$1:$A$49,products!$E$1:$E$49,0)</f>
        <v>7.77</v>
      </c>
      <c r="M602" s="6">
        <f>'data cleaned'!E602*'data cleaned'!L602</f>
        <v>7.77</v>
      </c>
      <c r="N602" t="str">
        <f t="shared" si="18"/>
        <v>Liberica</v>
      </c>
      <c r="O602" t="str">
        <f t="shared" si="19"/>
        <v>Dark</v>
      </c>
      <c r="P602" t="str">
        <f>_xlfn.XLOOKUP(worksheet[[#This Row],[Customer ID]],customers!$A$1:$A$1001,customers!$I$1:$I$1001,0)</f>
        <v>No</v>
      </c>
    </row>
    <row r="603" spans="1:16" x14ac:dyDescent="0.25">
      <c r="A603" s="2" t="s">
        <v>3883</v>
      </c>
      <c r="B603" s="4">
        <v>43815</v>
      </c>
      <c r="C603" s="2" t="s">
        <v>3884</v>
      </c>
      <c r="D603" t="s">
        <v>6142</v>
      </c>
      <c r="E603" s="2">
        <v>4</v>
      </c>
      <c r="F603" s="2" t="str">
        <f>_xlfn.XLOOKUP(C603,customers!$A$1:$A$1001,customers!$B$1:$B$1001,0)</f>
        <v>Aurelia Burgwin</v>
      </c>
      <c r="G603" s="2" t="s">
        <v>3886</v>
      </c>
      <c r="H603" s="2" t="str">
        <f>_xlfn.XLOOKUP(C603,customers!$A$1:$A$1001,customers!$G$1:$G$1001,0)</f>
        <v>United States</v>
      </c>
      <c r="I603" t="str">
        <f>_xlfn.XLOOKUP(D603,products!$A$1:$A$49,products!$B$1:$B$49,0)</f>
        <v>Rob</v>
      </c>
      <c r="J603" t="str">
        <f>_xlfn.XLOOKUP('data cleaned'!D603,products!$A$1:$A$49,products!$C$1:$C$49,0)</f>
        <v>L</v>
      </c>
      <c r="K603" s="5">
        <f>_xlfn.XLOOKUP('data cleaned'!D603,products!$A$1:$A$49,products!$D$1:$D$49,0)</f>
        <v>2.5</v>
      </c>
      <c r="L603" s="6">
        <f>_xlfn.XLOOKUP('data cleaned'!D603,products!$A$1:$A$49,products!$E$1:$E$49,0)</f>
        <v>27.484999999999996</v>
      </c>
      <c r="M603" s="6">
        <f>'data cleaned'!E603*'data cleaned'!L603</f>
        <v>109.93999999999998</v>
      </c>
      <c r="N603" t="str">
        <f t="shared" si="18"/>
        <v>Robusta</v>
      </c>
      <c r="O603" t="str">
        <f t="shared" si="19"/>
        <v>Light</v>
      </c>
      <c r="P603" t="str">
        <f>_xlfn.XLOOKUP(worksheet[[#This Row],[Customer ID]],customers!$A$1:$A$1001,customers!$I$1:$I$1001,0)</f>
        <v>Yes</v>
      </c>
    </row>
    <row r="604" spans="1:16" x14ac:dyDescent="0.25">
      <c r="A604" s="2" t="s">
        <v>3889</v>
      </c>
      <c r="B604" s="4">
        <v>43603</v>
      </c>
      <c r="C604" s="2" t="s">
        <v>3890</v>
      </c>
      <c r="D604" t="s">
        <v>6184</v>
      </c>
      <c r="E604" s="2">
        <v>5</v>
      </c>
      <c r="F604" s="2" t="str">
        <f>_xlfn.XLOOKUP(C604,customers!$A$1:$A$1001,customers!$B$1:$B$1001,0)</f>
        <v>Emalee Rolin</v>
      </c>
      <c r="G604" s="2" t="s">
        <v>3892</v>
      </c>
      <c r="H604" s="2" t="str">
        <f>_xlfn.XLOOKUP(C604,customers!$A$1:$A$1001,customers!$G$1:$G$1001,0)</f>
        <v>United States</v>
      </c>
      <c r="I604" t="str">
        <f>_xlfn.XLOOKUP(D604,products!$A$1:$A$49,products!$B$1:$B$49,0)</f>
        <v>Exc</v>
      </c>
      <c r="J604" t="str">
        <f>_xlfn.XLOOKUP('data cleaned'!D604,products!$A$1:$A$49,products!$C$1:$C$49,0)</f>
        <v>L</v>
      </c>
      <c r="K604" s="5">
        <f>_xlfn.XLOOKUP('data cleaned'!D604,products!$A$1:$A$49,products!$D$1:$D$49,0)</f>
        <v>0.2</v>
      </c>
      <c r="L604" s="6">
        <f>_xlfn.XLOOKUP('data cleaned'!D604,products!$A$1:$A$49,products!$E$1:$E$49,0)</f>
        <v>4.4550000000000001</v>
      </c>
      <c r="M604" s="6">
        <f>'data cleaned'!E604*'data cleaned'!L604</f>
        <v>22.274999999999999</v>
      </c>
      <c r="N604" t="str">
        <f t="shared" si="18"/>
        <v>Excelsa</v>
      </c>
      <c r="O604" t="str">
        <f t="shared" si="19"/>
        <v>Light</v>
      </c>
      <c r="P604" t="str">
        <f>_xlfn.XLOOKUP(worksheet[[#This Row],[Customer ID]],customers!$A$1:$A$1001,customers!$I$1:$I$1001,0)</f>
        <v>Yes</v>
      </c>
    </row>
    <row r="605" spans="1:16" x14ac:dyDescent="0.25">
      <c r="A605" s="2" t="s">
        <v>3895</v>
      </c>
      <c r="B605" s="4">
        <v>43660</v>
      </c>
      <c r="C605" s="2" t="s">
        <v>3896</v>
      </c>
      <c r="D605" t="s">
        <v>6174</v>
      </c>
      <c r="E605" s="2">
        <v>3</v>
      </c>
      <c r="F605" s="2" t="str">
        <f>_xlfn.XLOOKUP(C605,customers!$A$1:$A$1001,customers!$B$1:$B$1001,0)</f>
        <v>Donavon Fowle</v>
      </c>
      <c r="G605" s="2" t="s">
        <v>3898</v>
      </c>
      <c r="H605" s="2" t="str">
        <f>_xlfn.XLOOKUP(C605,customers!$A$1:$A$1001,customers!$G$1:$G$1001,0)</f>
        <v>United States</v>
      </c>
      <c r="I605" t="str">
        <f>_xlfn.XLOOKUP(D605,products!$A$1:$A$49,products!$B$1:$B$49,0)</f>
        <v>Rob</v>
      </c>
      <c r="J605" t="str">
        <f>_xlfn.XLOOKUP('data cleaned'!D605,products!$A$1:$A$49,products!$C$1:$C$49,0)</f>
        <v>M</v>
      </c>
      <c r="K605" s="5">
        <f>_xlfn.XLOOKUP('data cleaned'!D605,products!$A$1:$A$49,products!$D$1:$D$49,0)</f>
        <v>0.2</v>
      </c>
      <c r="L605" s="6">
        <f>_xlfn.XLOOKUP('data cleaned'!D605,products!$A$1:$A$49,products!$E$1:$E$49,0)</f>
        <v>2.9849999999999999</v>
      </c>
      <c r="M605" s="6">
        <f>'data cleaned'!E605*'data cleaned'!L605</f>
        <v>8.9550000000000001</v>
      </c>
      <c r="N605" t="str">
        <f t="shared" si="18"/>
        <v>Robusta</v>
      </c>
      <c r="O605" t="str">
        <f t="shared" si="19"/>
        <v>Medium</v>
      </c>
      <c r="P605" t="str">
        <f>_xlfn.XLOOKUP(worksheet[[#This Row],[Customer ID]],customers!$A$1:$A$1001,customers!$I$1:$I$1001,0)</f>
        <v>No</v>
      </c>
    </row>
    <row r="606" spans="1:16" x14ac:dyDescent="0.25">
      <c r="A606" s="2" t="s">
        <v>3900</v>
      </c>
      <c r="B606" s="4">
        <v>44148</v>
      </c>
      <c r="C606" s="2" t="s">
        <v>3901</v>
      </c>
      <c r="D606" t="s">
        <v>6165</v>
      </c>
      <c r="E606" s="2">
        <v>4</v>
      </c>
      <c r="F606" s="2" t="str">
        <f>_xlfn.XLOOKUP(C606,customers!$A$1:$A$1001,customers!$B$1:$B$1001,0)</f>
        <v>Jorge Bettison</v>
      </c>
      <c r="G606" s="2" t="s">
        <v>6222</v>
      </c>
      <c r="H606" s="2" t="str">
        <f>_xlfn.XLOOKUP(C606,customers!$A$1:$A$1001,customers!$G$1:$G$1001,0)</f>
        <v>Ireland</v>
      </c>
      <c r="I606" t="str">
        <f>_xlfn.XLOOKUP(D606,products!$A$1:$A$49,products!$B$1:$B$49,0)</f>
        <v>Lib</v>
      </c>
      <c r="J606" t="str">
        <f>_xlfn.XLOOKUP('data cleaned'!D606,products!$A$1:$A$49,products!$C$1:$C$49,0)</f>
        <v>D</v>
      </c>
      <c r="K606" s="5">
        <f>_xlfn.XLOOKUP('data cleaned'!D606,products!$A$1:$A$49,products!$D$1:$D$49,0)</f>
        <v>2.5</v>
      </c>
      <c r="L606" s="6">
        <f>_xlfn.XLOOKUP('data cleaned'!D606,products!$A$1:$A$49,products!$E$1:$E$49,0)</f>
        <v>29.784999999999997</v>
      </c>
      <c r="M606" s="6">
        <f>'data cleaned'!E606*'data cleaned'!L606</f>
        <v>119.13999999999999</v>
      </c>
      <c r="N606" t="str">
        <f t="shared" si="18"/>
        <v>Liberica</v>
      </c>
      <c r="O606" t="str">
        <f t="shared" si="19"/>
        <v>Dark</v>
      </c>
      <c r="P606" t="str">
        <f>_xlfn.XLOOKUP(worksheet[[#This Row],[Customer ID]],customers!$A$1:$A$1001,customers!$I$1:$I$1001,0)</f>
        <v>No</v>
      </c>
    </row>
    <row r="607" spans="1:16" x14ac:dyDescent="0.25">
      <c r="A607" s="2" t="s">
        <v>3905</v>
      </c>
      <c r="B607" s="4">
        <v>44028</v>
      </c>
      <c r="C607" s="2" t="s">
        <v>3906</v>
      </c>
      <c r="D607" t="s">
        <v>6182</v>
      </c>
      <c r="E607" s="2">
        <v>5</v>
      </c>
      <c r="F607" s="2" t="str">
        <f>_xlfn.XLOOKUP(C607,customers!$A$1:$A$1001,customers!$B$1:$B$1001,0)</f>
        <v>Wang Powlesland</v>
      </c>
      <c r="G607" s="2" t="s">
        <v>3908</v>
      </c>
      <c r="H607" s="2" t="str">
        <f>_xlfn.XLOOKUP(C607,customers!$A$1:$A$1001,customers!$G$1:$G$1001,0)</f>
        <v>United States</v>
      </c>
      <c r="I607" t="str">
        <f>_xlfn.XLOOKUP(D607,products!$A$1:$A$49,products!$B$1:$B$49,0)</f>
        <v>Ara</v>
      </c>
      <c r="J607" t="str">
        <f>_xlfn.XLOOKUP('data cleaned'!D607,products!$A$1:$A$49,products!$C$1:$C$49,0)</f>
        <v>L</v>
      </c>
      <c r="K607" s="5">
        <f>_xlfn.XLOOKUP('data cleaned'!D607,products!$A$1:$A$49,products!$D$1:$D$49,0)</f>
        <v>2.5</v>
      </c>
      <c r="L607" s="6">
        <f>_xlfn.XLOOKUP('data cleaned'!D607,products!$A$1:$A$49,products!$E$1:$E$49,0)</f>
        <v>29.784999999999997</v>
      </c>
      <c r="M607" s="6">
        <f>'data cleaned'!E607*'data cleaned'!L607</f>
        <v>148.92499999999998</v>
      </c>
      <c r="N607" t="str">
        <f t="shared" si="18"/>
        <v>Arabica</v>
      </c>
      <c r="O607" t="str">
        <f t="shared" si="19"/>
        <v>Light</v>
      </c>
      <c r="P607" t="str">
        <f>_xlfn.XLOOKUP(worksheet[[#This Row],[Customer ID]],customers!$A$1:$A$1001,customers!$I$1:$I$1001,0)</f>
        <v>Yes</v>
      </c>
    </row>
    <row r="608" spans="1:16" x14ac:dyDescent="0.25">
      <c r="A608" s="2" t="s">
        <v>3911</v>
      </c>
      <c r="B608" s="4">
        <v>44138</v>
      </c>
      <c r="C608" s="2" t="s">
        <v>3840</v>
      </c>
      <c r="D608" t="s">
        <v>6164</v>
      </c>
      <c r="E608" s="2">
        <v>3</v>
      </c>
      <c r="F608" s="2" t="str">
        <f>_xlfn.XLOOKUP(C608,customers!$A$1:$A$1001,customers!$B$1:$B$1001,0)</f>
        <v>Cody Verissimo</v>
      </c>
      <c r="G608" s="2" t="s">
        <v>3842</v>
      </c>
      <c r="H608" s="2" t="str">
        <f>_xlfn.XLOOKUP(C608,customers!$A$1:$A$1001,customers!$G$1:$G$1001,0)</f>
        <v>United Kingdom</v>
      </c>
      <c r="I608" t="str">
        <f>_xlfn.XLOOKUP(D608,products!$A$1:$A$49,products!$B$1:$B$49,0)</f>
        <v>Lib</v>
      </c>
      <c r="J608" t="str">
        <f>_xlfn.XLOOKUP('data cleaned'!D608,products!$A$1:$A$49,products!$C$1:$C$49,0)</f>
        <v>L</v>
      </c>
      <c r="K608" s="5">
        <f>_xlfn.XLOOKUP('data cleaned'!D608,products!$A$1:$A$49,products!$D$1:$D$49,0)</f>
        <v>2.5</v>
      </c>
      <c r="L608" s="6">
        <f>_xlfn.XLOOKUP('data cleaned'!D608,products!$A$1:$A$49,products!$E$1:$E$49,0)</f>
        <v>36.454999999999998</v>
      </c>
      <c r="M608" s="6">
        <f>'data cleaned'!E608*'data cleaned'!L608</f>
        <v>109.36499999999999</v>
      </c>
      <c r="N608" t="str">
        <f t="shared" si="18"/>
        <v>Liberica</v>
      </c>
      <c r="O608" t="str">
        <f t="shared" si="19"/>
        <v>Light</v>
      </c>
      <c r="P608" t="str">
        <f>_xlfn.XLOOKUP(worksheet[[#This Row],[Customer ID]],customers!$A$1:$A$1001,customers!$I$1:$I$1001,0)</f>
        <v>Yes</v>
      </c>
    </row>
    <row r="609" spans="1:16" x14ac:dyDescent="0.25">
      <c r="A609" s="2" t="s">
        <v>3917</v>
      </c>
      <c r="B609" s="4">
        <v>44640</v>
      </c>
      <c r="C609" s="2" t="s">
        <v>3918</v>
      </c>
      <c r="D609" t="s">
        <v>6153</v>
      </c>
      <c r="E609" s="2">
        <v>1</v>
      </c>
      <c r="F609" s="2" t="str">
        <f>_xlfn.XLOOKUP(C609,customers!$A$1:$A$1001,customers!$B$1:$B$1001,0)</f>
        <v>Laurence Ellingham</v>
      </c>
      <c r="G609" s="2" t="s">
        <v>3920</v>
      </c>
      <c r="H609" s="2" t="str">
        <f>_xlfn.XLOOKUP(C609,customers!$A$1:$A$1001,customers!$G$1:$G$1001,0)</f>
        <v>United States</v>
      </c>
      <c r="I609" t="str">
        <f>_xlfn.XLOOKUP(D609,products!$A$1:$A$49,products!$B$1:$B$49,0)</f>
        <v>Exc</v>
      </c>
      <c r="J609" t="str">
        <f>_xlfn.XLOOKUP('data cleaned'!D609,products!$A$1:$A$49,products!$C$1:$C$49,0)</f>
        <v>D</v>
      </c>
      <c r="K609" s="5">
        <f>_xlfn.XLOOKUP('data cleaned'!D609,products!$A$1:$A$49,products!$D$1:$D$49,0)</f>
        <v>0.2</v>
      </c>
      <c r="L609" s="6">
        <f>_xlfn.XLOOKUP('data cleaned'!D609,products!$A$1:$A$49,products!$E$1:$E$49,0)</f>
        <v>3.645</v>
      </c>
      <c r="M609" s="6">
        <f>'data cleaned'!E609*'data cleaned'!L609</f>
        <v>3.645</v>
      </c>
      <c r="N609" t="str">
        <f t="shared" si="18"/>
        <v>Excelsa</v>
      </c>
      <c r="O609" t="str">
        <f t="shared" si="19"/>
        <v>Dark</v>
      </c>
      <c r="P609" t="str">
        <f>_xlfn.XLOOKUP(worksheet[[#This Row],[Customer ID]],customers!$A$1:$A$1001,customers!$I$1:$I$1001,0)</f>
        <v>Yes</v>
      </c>
    </row>
    <row r="610" spans="1:16" x14ac:dyDescent="0.25">
      <c r="A610" s="2" t="s">
        <v>3923</v>
      </c>
      <c r="B610" s="4">
        <v>44608</v>
      </c>
      <c r="C610" s="2" t="s">
        <v>3924</v>
      </c>
      <c r="D610" t="s">
        <v>6185</v>
      </c>
      <c r="E610" s="2">
        <v>2</v>
      </c>
      <c r="F610" s="2" t="str">
        <f>_xlfn.XLOOKUP(C610,customers!$A$1:$A$1001,customers!$B$1:$B$1001,0)</f>
        <v>Billy Neiland</v>
      </c>
      <c r="G610" s="2" t="s">
        <v>6222</v>
      </c>
      <c r="H610" s="2" t="str">
        <f>_xlfn.XLOOKUP(C610,customers!$A$1:$A$1001,customers!$G$1:$G$1001,0)</f>
        <v>United States</v>
      </c>
      <c r="I610" t="str">
        <f>_xlfn.XLOOKUP(D610,products!$A$1:$A$49,products!$B$1:$B$49,0)</f>
        <v>Exc</v>
      </c>
      <c r="J610" t="str">
        <f>_xlfn.XLOOKUP('data cleaned'!D610,products!$A$1:$A$49,products!$C$1:$C$49,0)</f>
        <v>D</v>
      </c>
      <c r="K610" s="5">
        <f>_xlfn.XLOOKUP('data cleaned'!D610,products!$A$1:$A$49,products!$D$1:$D$49,0)</f>
        <v>2.5</v>
      </c>
      <c r="L610" s="6">
        <f>_xlfn.XLOOKUP('data cleaned'!D610,products!$A$1:$A$49,products!$E$1:$E$49,0)</f>
        <v>27.945</v>
      </c>
      <c r="M610" s="6">
        <f>'data cleaned'!E610*'data cleaned'!L610</f>
        <v>55.89</v>
      </c>
      <c r="N610" t="str">
        <f t="shared" si="18"/>
        <v>Excelsa</v>
      </c>
      <c r="O610" t="str">
        <f t="shared" si="19"/>
        <v>Dark</v>
      </c>
      <c r="P610" t="str">
        <f>_xlfn.XLOOKUP(worksheet[[#This Row],[Customer ID]],customers!$A$1:$A$1001,customers!$I$1:$I$1001,0)</f>
        <v>No</v>
      </c>
    </row>
    <row r="611" spans="1:16" x14ac:dyDescent="0.25">
      <c r="A611" s="2" t="s">
        <v>3927</v>
      </c>
      <c r="B611" s="4">
        <v>44147</v>
      </c>
      <c r="C611" s="2" t="s">
        <v>3928</v>
      </c>
      <c r="D611" t="s">
        <v>6159</v>
      </c>
      <c r="E611" s="2">
        <v>6</v>
      </c>
      <c r="F611" s="2" t="str">
        <f>_xlfn.XLOOKUP(C611,customers!$A$1:$A$1001,customers!$B$1:$B$1001,0)</f>
        <v>Ancell Fendt</v>
      </c>
      <c r="G611" s="2" t="s">
        <v>3930</v>
      </c>
      <c r="H611" s="2" t="str">
        <f>_xlfn.XLOOKUP(C611,customers!$A$1:$A$1001,customers!$G$1:$G$1001,0)</f>
        <v>United States</v>
      </c>
      <c r="I611" t="str">
        <f>_xlfn.XLOOKUP(D611,products!$A$1:$A$49,products!$B$1:$B$49,0)</f>
        <v>Lib</v>
      </c>
      <c r="J611" t="str">
        <f>_xlfn.XLOOKUP('data cleaned'!D611,products!$A$1:$A$49,products!$C$1:$C$49,0)</f>
        <v>M</v>
      </c>
      <c r="K611" s="5">
        <f>_xlfn.XLOOKUP('data cleaned'!D611,products!$A$1:$A$49,products!$D$1:$D$49,0)</f>
        <v>0.2</v>
      </c>
      <c r="L611" s="6">
        <f>_xlfn.XLOOKUP('data cleaned'!D611,products!$A$1:$A$49,products!$E$1:$E$49,0)</f>
        <v>4.3650000000000002</v>
      </c>
      <c r="M611" s="6">
        <f>'data cleaned'!E611*'data cleaned'!L611</f>
        <v>26.19</v>
      </c>
      <c r="N611" t="str">
        <f t="shared" si="18"/>
        <v>Liberica</v>
      </c>
      <c r="O611" t="str">
        <f t="shared" si="19"/>
        <v>Medium</v>
      </c>
      <c r="P611" t="str">
        <f>_xlfn.XLOOKUP(worksheet[[#This Row],[Customer ID]],customers!$A$1:$A$1001,customers!$I$1:$I$1001,0)</f>
        <v>Yes</v>
      </c>
    </row>
    <row r="612" spans="1:16" x14ac:dyDescent="0.25">
      <c r="A612" s="2" t="s">
        <v>3933</v>
      </c>
      <c r="B612" s="4">
        <v>43743</v>
      </c>
      <c r="C612" s="2" t="s">
        <v>3934</v>
      </c>
      <c r="D612" t="s">
        <v>6138</v>
      </c>
      <c r="E612" s="2">
        <v>4</v>
      </c>
      <c r="F612" s="2" t="str">
        <f>_xlfn.XLOOKUP(C612,customers!$A$1:$A$1001,customers!$B$1:$B$1001,0)</f>
        <v>Angelia Cleyburn</v>
      </c>
      <c r="G612" s="2" t="s">
        <v>3936</v>
      </c>
      <c r="H612" s="2" t="str">
        <f>_xlfn.XLOOKUP(C612,customers!$A$1:$A$1001,customers!$G$1:$G$1001,0)</f>
        <v>United States</v>
      </c>
      <c r="I612" t="str">
        <f>_xlfn.XLOOKUP(D612,products!$A$1:$A$49,products!$B$1:$B$49,0)</f>
        <v>Rob</v>
      </c>
      <c r="J612" t="str">
        <f>_xlfn.XLOOKUP('data cleaned'!D612,products!$A$1:$A$49,products!$C$1:$C$49,0)</f>
        <v>M</v>
      </c>
      <c r="K612" s="5">
        <f>_xlfn.XLOOKUP('data cleaned'!D612,products!$A$1:$A$49,products!$D$1:$D$49,0)</f>
        <v>1</v>
      </c>
      <c r="L612" s="6">
        <f>_xlfn.XLOOKUP('data cleaned'!D612,products!$A$1:$A$49,products!$E$1:$E$49,0)</f>
        <v>9.9499999999999993</v>
      </c>
      <c r="M612" s="6">
        <f>'data cleaned'!E612*'data cleaned'!L612</f>
        <v>39.799999999999997</v>
      </c>
      <c r="N612" t="str">
        <f t="shared" si="18"/>
        <v>Robusta</v>
      </c>
      <c r="O612" t="str">
        <f t="shared" si="19"/>
        <v>Medium</v>
      </c>
      <c r="P612" t="str">
        <f>_xlfn.XLOOKUP(worksheet[[#This Row],[Customer ID]],customers!$A$1:$A$1001,customers!$I$1:$I$1001,0)</f>
        <v>No</v>
      </c>
    </row>
    <row r="613" spans="1:16" x14ac:dyDescent="0.25">
      <c r="A613" s="2" t="s">
        <v>3939</v>
      </c>
      <c r="B613" s="4">
        <v>43739</v>
      </c>
      <c r="C613" s="2" t="s">
        <v>3940</v>
      </c>
      <c r="D613" t="s">
        <v>6148</v>
      </c>
      <c r="E613" s="2">
        <v>2</v>
      </c>
      <c r="F613" s="2" t="str">
        <f>_xlfn.XLOOKUP(C613,customers!$A$1:$A$1001,customers!$B$1:$B$1001,0)</f>
        <v>Temple Castiglione</v>
      </c>
      <c r="G613" s="2" t="s">
        <v>3942</v>
      </c>
      <c r="H613" s="2" t="str">
        <f>_xlfn.XLOOKUP(C613,customers!$A$1:$A$1001,customers!$G$1:$G$1001,0)</f>
        <v>United States</v>
      </c>
      <c r="I613" t="str">
        <f>_xlfn.XLOOKUP(D613,products!$A$1:$A$49,products!$B$1:$B$49,0)</f>
        <v>Exc</v>
      </c>
      <c r="J613" t="str">
        <f>_xlfn.XLOOKUP('data cleaned'!D613,products!$A$1:$A$49,products!$C$1:$C$49,0)</f>
        <v>L</v>
      </c>
      <c r="K613" s="5">
        <f>_xlfn.XLOOKUP('data cleaned'!D613,products!$A$1:$A$49,products!$D$1:$D$49,0)</f>
        <v>2.5</v>
      </c>
      <c r="L613" s="6">
        <f>_xlfn.XLOOKUP('data cleaned'!D613,products!$A$1:$A$49,products!$E$1:$E$49,0)</f>
        <v>34.154999999999994</v>
      </c>
      <c r="M613" s="6">
        <f>'data cleaned'!E613*'data cleaned'!L613</f>
        <v>68.309999999999988</v>
      </c>
      <c r="N613" t="str">
        <f t="shared" si="18"/>
        <v>Excelsa</v>
      </c>
      <c r="O613" t="str">
        <f t="shared" si="19"/>
        <v>Light</v>
      </c>
      <c r="P613" t="str">
        <f>_xlfn.XLOOKUP(worksheet[[#This Row],[Customer ID]],customers!$A$1:$A$1001,customers!$I$1:$I$1001,0)</f>
        <v>No</v>
      </c>
    </row>
    <row r="614" spans="1:16" x14ac:dyDescent="0.25">
      <c r="A614" s="2" t="s">
        <v>3945</v>
      </c>
      <c r="B614" s="4">
        <v>43896</v>
      </c>
      <c r="C614" s="2" t="s">
        <v>3946</v>
      </c>
      <c r="D614" t="s">
        <v>6152</v>
      </c>
      <c r="E614" s="2">
        <v>4</v>
      </c>
      <c r="F614" s="2" t="str">
        <f>_xlfn.XLOOKUP(C614,customers!$A$1:$A$1001,customers!$B$1:$B$1001,0)</f>
        <v>Betti Lacasa</v>
      </c>
      <c r="G614" s="2" t="s">
        <v>6222</v>
      </c>
      <c r="H614" s="2" t="str">
        <f>_xlfn.XLOOKUP(C614,customers!$A$1:$A$1001,customers!$G$1:$G$1001,0)</f>
        <v>Ireland</v>
      </c>
      <c r="I614" t="str">
        <f>_xlfn.XLOOKUP(D614,products!$A$1:$A$49,products!$B$1:$B$49,0)</f>
        <v>Ara</v>
      </c>
      <c r="J614" t="str">
        <f>_xlfn.XLOOKUP('data cleaned'!D614,products!$A$1:$A$49,products!$C$1:$C$49,0)</f>
        <v>M</v>
      </c>
      <c r="K614" s="5">
        <f>_xlfn.XLOOKUP('data cleaned'!D614,products!$A$1:$A$49,products!$D$1:$D$49,0)</f>
        <v>0.2</v>
      </c>
      <c r="L614" s="6">
        <f>_xlfn.XLOOKUP('data cleaned'!D614,products!$A$1:$A$49,products!$E$1:$E$49,0)</f>
        <v>3.375</v>
      </c>
      <c r="M614" s="6">
        <f>'data cleaned'!E614*'data cleaned'!L614</f>
        <v>13.5</v>
      </c>
      <c r="N614" t="str">
        <f t="shared" si="18"/>
        <v>Arabica</v>
      </c>
      <c r="O614" t="str">
        <f t="shared" si="19"/>
        <v>Medium</v>
      </c>
      <c r="P614" t="str">
        <f>_xlfn.XLOOKUP(worksheet[[#This Row],[Customer ID]],customers!$A$1:$A$1001,customers!$I$1:$I$1001,0)</f>
        <v>No</v>
      </c>
    </row>
    <row r="615" spans="1:16" x14ac:dyDescent="0.25">
      <c r="A615" s="2" t="s">
        <v>3950</v>
      </c>
      <c r="B615" s="4">
        <v>43761</v>
      </c>
      <c r="C615" s="2" t="s">
        <v>3951</v>
      </c>
      <c r="D615" t="s">
        <v>6146</v>
      </c>
      <c r="E615" s="2">
        <v>1</v>
      </c>
      <c r="F615" s="2" t="str">
        <f>_xlfn.XLOOKUP(C615,customers!$A$1:$A$1001,customers!$B$1:$B$1001,0)</f>
        <v>Gunilla Lynch</v>
      </c>
      <c r="G615" s="2" t="s">
        <v>6222</v>
      </c>
      <c r="H615" s="2" t="str">
        <f>_xlfn.XLOOKUP(C615,customers!$A$1:$A$1001,customers!$G$1:$G$1001,0)</f>
        <v>United States</v>
      </c>
      <c r="I615" t="str">
        <f>_xlfn.XLOOKUP(D615,products!$A$1:$A$49,products!$B$1:$B$49,0)</f>
        <v>Rob</v>
      </c>
      <c r="J615" t="str">
        <f>_xlfn.XLOOKUP('data cleaned'!D615,products!$A$1:$A$49,products!$C$1:$C$49,0)</f>
        <v>M</v>
      </c>
      <c r="K615" s="5">
        <f>_xlfn.XLOOKUP('data cleaned'!D615,products!$A$1:$A$49,products!$D$1:$D$49,0)</f>
        <v>0.5</v>
      </c>
      <c r="L615" s="6">
        <f>_xlfn.XLOOKUP('data cleaned'!D615,products!$A$1:$A$49,products!$E$1:$E$49,0)</f>
        <v>5.97</v>
      </c>
      <c r="M615" s="6">
        <f>'data cleaned'!E615*'data cleaned'!L615</f>
        <v>5.97</v>
      </c>
      <c r="N615" t="str">
        <f t="shared" si="18"/>
        <v>Robusta</v>
      </c>
      <c r="O615" t="str">
        <f t="shared" si="19"/>
        <v>Medium</v>
      </c>
      <c r="P615" t="str">
        <f>_xlfn.XLOOKUP(worksheet[[#This Row],[Customer ID]],customers!$A$1:$A$1001,customers!$I$1:$I$1001,0)</f>
        <v>No</v>
      </c>
    </row>
    <row r="616" spans="1:16" x14ac:dyDescent="0.25">
      <c r="A616" s="2" t="s">
        <v>3955</v>
      </c>
      <c r="B616" s="4">
        <v>43944</v>
      </c>
      <c r="C616" s="2" t="s">
        <v>3840</v>
      </c>
      <c r="D616" t="s">
        <v>6146</v>
      </c>
      <c r="E616" s="2">
        <v>5</v>
      </c>
      <c r="F616" s="2" t="str">
        <f>_xlfn.XLOOKUP(C616,customers!$A$1:$A$1001,customers!$B$1:$B$1001,0)</f>
        <v>Cody Verissimo</v>
      </c>
      <c r="G616" s="2" t="s">
        <v>3842</v>
      </c>
      <c r="H616" s="2" t="str">
        <f>_xlfn.XLOOKUP(C616,customers!$A$1:$A$1001,customers!$G$1:$G$1001,0)</f>
        <v>United Kingdom</v>
      </c>
      <c r="I616" t="str">
        <f>_xlfn.XLOOKUP(D616,products!$A$1:$A$49,products!$B$1:$B$49,0)</f>
        <v>Rob</v>
      </c>
      <c r="J616" t="str">
        <f>_xlfn.XLOOKUP('data cleaned'!D616,products!$A$1:$A$49,products!$C$1:$C$49,0)</f>
        <v>M</v>
      </c>
      <c r="K616" s="5">
        <f>_xlfn.XLOOKUP('data cleaned'!D616,products!$A$1:$A$49,products!$D$1:$D$49,0)</f>
        <v>0.5</v>
      </c>
      <c r="L616" s="6">
        <f>_xlfn.XLOOKUP('data cleaned'!D616,products!$A$1:$A$49,products!$E$1:$E$49,0)</f>
        <v>5.97</v>
      </c>
      <c r="M616" s="6">
        <f>'data cleaned'!E616*'data cleaned'!L616</f>
        <v>29.849999999999998</v>
      </c>
      <c r="N616" t="str">
        <f t="shared" si="18"/>
        <v>Robusta</v>
      </c>
      <c r="O616" t="str">
        <f t="shared" si="19"/>
        <v>Medium</v>
      </c>
      <c r="P616" t="str">
        <f>_xlfn.XLOOKUP(worksheet[[#This Row],[Customer ID]],customers!$A$1:$A$1001,customers!$I$1:$I$1001,0)</f>
        <v>Yes</v>
      </c>
    </row>
    <row r="617" spans="1:16" x14ac:dyDescent="0.25">
      <c r="A617" s="2" t="s">
        <v>3960</v>
      </c>
      <c r="B617" s="4">
        <v>44006</v>
      </c>
      <c r="C617" s="2" t="s">
        <v>3961</v>
      </c>
      <c r="D617" t="s">
        <v>6164</v>
      </c>
      <c r="E617" s="2">
        <v>2</v>
      </c>
      <c r="F617" s="2" t="str">
        <f>_xlfn.XLOOKUP(C617,customers!$A$1:$A$1001,customers!$B$1:$B$1001,0)</f>
        <v>Shay Couronne</v>
      </c>
      <c r="G617" s="2" t="s">
        <v>3963</v>
      </c>
      <c r="H617" s="2" t="str">
        <f>_xlfn.XLOOKUP(C617,customers!$A$1:$A$1001,customers!$G$1:$G$1001,0)</f>
        <v>United States</v>
      </c>
      <c r="I617" t="str">
        <f>_xlfn.XLOOKUP(D617,products!$A$1:$A$49,products!$B$1:$B$49,0)</f>
        <v>Lib</v>
      </c>
      <c r="J617" t="str">
        <f>_xlfn.XLOOKUP('data cleaned'!D617,products!$A$1:$A$49,products!$C$1:$C$49,0)</f>
        <v>L</v>
      </c>
      <c r="K617" s="5">
        <f>_xlfn.XLOOKUP('data cleaned'!D617,products!$A$1:$A$49,products!$D$1:$D$49,0)</f>
        <v>2.5</v>
      </c>
      <c r="L617" s="6">
        <f>_xlfn.XLOOKUP('data cleaned'!D617,products!$A$1:$A$49,products!$E$1:$E$49,0)</f>
        <v>36.454999999999998</v>
      </c>
      <c r="M617" s="6">
        <f>'data cleaned'!E617*'data cleaned'!L617</f>
        <v>72.91</v>
      </c>
      <c r="N617" t="str">
        <f t="shared" si="18"/>
        <v>Liberica</v>
      </c>
      <c r="O617" t="str">
        <f t="shared" si="19"/>
        <v>Light</v>
      </c>
      <c r="P617" t="str">
        <f>_xlfn.XLOOKUP(worksheet[[#This Row],[Customer ID]],customers!$A$1:$A$1001,customers!$I$1:$I$1001,0)</f>
        <v>Yes</v>
      </c>
    </row>
    <row r="618" spans="1:16" x14ac:dyDescent="0.25">
      <c r="A618" s="2" t="s">
        <v>3966</v>
      </c>
      <c r="B618" s="4">
        <v>44271</v>
      </c>
      <c r="C618" s="2" t="s">
        <v>3967</v>
      </c>
      <c r="D618" t="s">
        <v>6166</v>
      </c>
      <c r="E618" s="2">
        <v>4</v>
      </c>
      <c r="F618" s="2" t="str">
        <f>_xlfn.XLOOKUP(C618,customers!$A$1:$A$1001,customers!$B$1:$B$1001,0)</f>
        <v>Linus Flippelli</v>
      </c>
      <c r="G618" s="2" t="s">
        <v>3969</v>
      </c>
      <c r="H618" s="2" t="str">
        <f>_xlfn.XLOOKUP(C618,customers!$A$1:$A$1001,customers!$G$1:$G$1001,0)</f>
        <v>United Kingdom</v>
      </c>
      <c r="I618" t="str">
        <f>_xlfn.XLOOKUP(D618,products!$A$1:$A$49,products!$B$1:$B$49,0)</f>
        <v>Exc</v>
      </c>
      <c r="J618" t="str">
        <f>_xlfn.XLOOKUP('data cleaned'!D618,products!$A$1:$A$49,products!$C$1:$C$49,0)</f>
        <v>M</v>
      </c>
      <c r="K618" s="5">
        <f>_xlfn.XLOOKUP('data cleaned'!D618,products!$A$1:$A$49,products!$D$1:$D$49,0)</f>
        <v>2.5</v>
      </c>
      <c r="L618" s="6">
        <f>_xlfn.XLOOKUP('data cleaned'!D618,products!$A$1:$A$49,products!$E$1:$E$49,0)</f>
        <v>31.624999999999996</v>
      </c>
      <c r="M618" s="6">
        <f>'data cleaned'!E618*'data cleaned'!L618</f>
        <v>126.49999999999999</v>
      </c>
      <c r="N618" t="str">
        <f t="shared" si="18"/>
        <v>Excelsa</v>
      </c>
      <c r="O618" t="str">
        <f t="shared" si="19"/>
        <v>Medium</v>
      </c>
      <c r="P618" t="str">
        <f>_xlfn.XLOOKUP(worksheet[[#This Row],[Customer ID]],customers!$A$1:$A$1001,customers!$I$1:$I$1001,0)</f>
        <v>No</v>
      </c>
    </row>
    <row r="619" spans="1:16" x14ac:dyDescent="0.25">
      <c r="A619" s="2" t="s">
        <v>3972</v>
      </c>
      <c r="B619" s="4">
        <v>43928</v>
      </c>
      <c r="C619" s="2" t="s">
        <v>3973</v>
      </c>
      <c r="D619" t="s">
        <v>6181</v>
      </c>
      <c r="E619" s="2">
        <v>1</v>
      </c>
      <c r="F619" s="2" t="str">
        <f>_xlfn.XLOOKUP(C619,customers!$A$1:$A$1001,customers!$B$1:$B$1001,0)</f>
        <v>Rachelle Elizabeth</v>
      </c>
      <c r="G619" s="2" t="s">
        <v>3975</v>
      </c>
      <c r="H619" s="2" t="str">
        <f>_xlfn.XLOOKUP(C619,customers!$A$1:$A$1001,customers!$G$1:$G$1001,0)</f>
        <v>United States</v>
      </c>
      <c r="I619" t="str">
        <f>_xlfn.XLOOKUP(D619,products!$A$1:$A$49,products!$B$1:$B$49,0)</f>
        <v>Lib</v>
      </c>
      <c r="J619" t="str">
        <f>_xlfn.XLOOKUP('data cleaned'!D619,products!$A$1:$A$49,products!$C$1:$C$49,0)</f>
        <v>M</v>
      </c>
      <c r="K619" s="5">
        <f>_xlfn.XLOOKUP('data cleaned'!D619,products!$A$1:$A$49,products!$D$1:$D$49,0)</f>
        <v>2.5</v>
      </c>
      <c r="L619" s="6">
        <f>_xlfn.XLOOKUP('data cleaned'!D619,products!$A$1:$A$49,products!$E$1:$E$49,0)</f>
        <v>33.464999999999996</v>
      </c>
      <c r="M619" s="6">
        <f>'data cleaned'!E619*'data cleaned'!L619</f>
        <v>33.464999999999996</v>
      </c>
      <c r="N619" t="str">
        <f t="shared" si="18"/>
        <v>Liberica</v>
      </c>
      <c r="O619" t="str">
        <f t="shared" si="19"/>
        <v>Medium</v>
      </c>
      <c r="P619" t="str">
        <f>_xlfn.XLOOKUP(worksheet[[#This Row],[Customer ID]],customers!$A$1:$A$1001,customers!$I$1:$I$1001,0)</f>
        <v>No</v>
      </c>
    </row>
    <row r="620" spans="1:16" x14ac:dyDescent="0.25">
      <c r="A620" s="2" t="s">
        <v>3978</v>
      </c>
      <c r="B620" s="4">
        <v>44469</v>
      </c>
      <c r="C620" s="2" t="s">
        <v>3979</v>
      </c>
      <c r="D620" t="s">
        <v>6183</v>
      </c>
      <c r="E620" s="2">
        <v>6</v>
      </c>
      <c r="F620" s="2" t="str">
        <f>_xlfn.XLOOKUP(C620,customers!$A$1:$A$1001,customers!$B$1:$B$1001,0)</f>
        <v>Innis Renhard</v>
      </c>
      <c r="G620" s="2" t="s">
        <v>3981</v>
      </c>
      <c r="H620" s="2" t="str">
        <f>_xlfn.XLOOKUP(C620,customers!$A$1:$A$1001,customers!$G$1:$G$1001,0)</f>
        <v>United States</v>
      </c>
      <c r="I620" t="str">
        <f>_xlfn.XLOOKUP(D620,products!$A$1:$A$49,products!$B$1:$B$49,0)</f>
        <v>Exc</v>
      </c>
      <c r="J620" t="str">
        <f>_xlfn.XLOOKUP('data cleaned'!D620,products!$A$1:$A$49,products!$C$1:$C$49,0)</f>
        <v>D</v>
      </c>
      <c r="K620" s="5">
        <f>_xlfn.XLOOKUP('data cleaned'!D620,products!$A$1:$A$49,products!$D$1:$D$49,0)</f>
        <v>1</v>
      </c>
      <c r="L620" s="6">
        <f>_xlfn.XLOOKUP('data cleaned'!D620,products!$A$1:$A$49,products!$E$1:$E$49,0)</f>
        <v>12.15</v>
      </c>
      <c r="M620" s="6">
        <f>'data cleaned'!E620*'data cleaned'!L620</f>
        <v>72.900000000000006</v>
      </c>
      <c r="N620" t="str">
        <f t="shared" si="18"/>
        <v>Excelsa</v>
      </c>
      <c r="O620" t="str">
        <f t="shared" si="19"/>
        <v>Dark</v>
      </c>
      <c r="P620" t="str">
        <f>_xlfn.XLOOKUP(worksheet[[#This Row],[Customer ID]],customers!$A$1:$A$1001,customers!$I$1:$I$1001,0)</f>
        <v>Yes</v>
      </c>
    </row>
    <row r="621" spans="1:16" x14ac:dyDescent="0.25">
      <c r="A621" s="2" t="s">
        <v>3984</v>
      </c>
      <c r="B621" s="4">
        <v>44682</v>
      </c>
      <c r="C621" s="2" t="s">
        <v>3985</v>
      </c>
      <c r="D621" t="s">
        <v>6169</v>
      </c>
      <c r="E621" s="2">
        <v>2</v>
      </c>
      <c r="F621" s="2" t="str">
        <f>_xlfn.XLOOKUP(C621,customers!$A$1:$A$1001,customers!$B$1:$B$1001,0)</f>
        <v>Winne Roche</v>
      </c>
      <c r="G621" s="2" t="s">
        <v>3987</v>
      </c>
      <c r="H621" s="2" t="str">
        <f>_xlfn.XLOOKUP(C621,customers!$A$1:$A$1001,customers!$G$1:$G$1001,0)</f>
        <v>United States</v>
      </c>
      <c r="I621" t="str">
        <f>_xlfn.XLOOKUP(D621,products!$A$1:$A$49,products!$B$1:$B$49,0)</f>
        <v>Lib</v>
      </c>
      <c r="J621" t="str">
        <f>_xlfn.XLOOKUP('data cleaned'!D621,products!$A$1:$A$49,products!$C$1:$C$49,0)</f>
        <v>D</v>
      </c>
      <c r="K621" s="5">
        <f>_xlfn.XLOOKUP('data cleaned'!D621,products!$A$1:$A$49,products!$D$1:$D$49,0)</f>
        <v>0.5</v>
      </c>
      <c r="L621" s="6">
        <f>_xlfn.XLOOKUP('data cleaned'!D621,products!$A$1:$A$49,products!$E$1:$E$49,0)</f>
        <v>7.77</v>
      </c>
      <c r="M621" s="6">
        <f>'data cleaned'!E621*'data cleaned'!L621</f>
        <v>15.54</v>
      </c>
      <c r="N621" t="str">
        <f t="shared" si="18"/>
        <v>Liberica</v>
      </c>
      <c r="O621" t="str">
        <f t="shared" si="19"/>
        <v>Dark</v>
      </c>
      <c r="P621" t="str">
        <f>_xlfn.XLOOKUP(worksheet[[#This Row],[Customer ID]],customers!$A$1:$A$1001,customers!$I$1:$I$1001,0)</f>
        <v>Yes</v>
      </c>
    </row>
    <row r="622" spans="1:16" x14ac:dyDescent="0.25">
      <c r="A622" s="2" t="s">
        <v>3990</v>
      </c>
      <c r="B622" s="4">
        <v>44217</v>
      </c>
      <c r="C622" s="2" t="s">
        <v>4042</v>
      </c>
      <c r="D622" t="s">
        <v>6152</v>
      </c>
      <c r="E622" s="2">
        <v>6</v>
      </c>
      <c r="F622" s="2" t="str">
        <f>_xlfn.XLOOKUP(C622,customers!$A$1:$A$1001,customers!$B$1:$B$1001,0)</f>
        <v>Linn Alaway</v>
      </c>
      <c r="G622" s="2" t="s">
        <v>4044</v>
      </c>
      <c r="H622" s="2" t="str">
        <f>_xlfn.XLOOKUP(C622,customers!$A$1:$A$1001,customers!$G$1:$G$1001,0)</f>
        <v>United States</v>
      </c>
      <c r="I622" t="str">
        <f>_xlfn.XLOOKUP(D622,products!$A$1:$A$49,products!$B$1:$B$49,0)</f>
        <v>Ara</v>
      </c>
      <c r="J622" t="str">
        <f>_xlfn.XLOOKUP('data cleaned'!D622,products!$A$1:$A$49,products!$C$1:$C$49,0)</f>
        <v>M</v>
      </c>
      <c r="K622" s="5">
        <f>_xlfn.XLOOKUP('data cleaned'!D622,products!$A$1:$A$49,products!$D$1:$D$49,0)</f>
        <v>0.2</v>
      </c>
      <c r="L622" s="6">
        <f>_xlfn.XLOOKUP('data cleaned'!D622,products!$A$1:$A$49,products!$E$1:$E$49,0)</f>
        <v>3.375</v>
      </c>
      <c r="M622" s="6">
        <f>'data cleaned'!E622*'data cleaned'!L622</f>
        <v>20.25</v>
      </c>
      <c r="N622" t="str">
        <f t="shared" si="18"/>
        <v>Arabica</v>
      </c>
      <c r="O622" t="str">
        <f t="shared" si="19"/>
        <v>Medium</v>
      </c>
      <c r="P622" t="str">
        <f>_xlfn.XLOOKUP(worksheet[[#This Row],[Customer ID]],customers!$A$1:$A$1001,customers!$I$1:$I$1001,0)</f>
        <v>No</v>
      </c>
    </row>
    <row r="623" spans="1:16" x14ac:dyDescent="0.25">
      <c r="A623" s="2" t="s">
        <v>3996</v>
      </c>
      <c r="B623" s="4">
        <v>44006</v>
      </c>
      <c r="C623" s="2" t="s">
        <v>3997</v>
      </c>
      <c r="D623" t="s">
        <v>6140</v>
      </c>
      <c r="E623" s="2">
        <v>6</v>
      </c>
      <c r="F623" s="2" t="str">
        <f>_xlfn.XLOOKUP(C623,customers!$A$1:$A$1001,customers!$B$1:$B$1001,0)</f>
        <v>Cordy Odgaard</v>
      </c>
      <c r="G623" s="2" t="s">
        <v>3999</v>
      </c>
      <c r="H623" s="2" t="str">
        <f>_xlfn.XLOOKUP(C623,customers!$A$1:$A$1001,customers!$G$1:$G$1001,0)</f>
        <v>United States</v>
      </c>
      <c r="I623" t="str">
        <f>_xlfn.XLOOKUP(D623,products!$A$1:$A$49,products!$B$1:$B$49,0)</f>
        <v>Ara</v>
      </c>
      <c r="J623" t="str">
        <f>_xlfn.XLOOKUP('data cleaned'!D623,products!$A$1:$A$49,products!$C$1:$C$49,0)</f>
        <v>L</v>
      </c>
      <c r="K623" s="5">
        <f>_xlfn.XLOOKUP('data cleaned'!D623,products!$A$1:$A$49,products!$D$1:$D$49,0)</f>
        <v>1</v>
      </c>
      <c r="L623" s="6">
        <f>_xlfn.XLOOKUP('data cleaned'!D623,products!$A$1:$A$49,products!$E$1:$E$49,0)</f>
        <v>12.95</v>
      </c>
      <c r="M623" s="6">
        <f>'data cleaned'!E623*'data cleaned'!L623</f>
        <v>77.699999999999989</v>
      </c>
      <c r="N623" t="str">
        <f t="shared" si="18"/>
        <v>Arabica</v>
      </c>
      <c r="O623" t="str">
        <f t="shared" si="19"/>
        <v>Light</v>
      </c>
      <c r="P623" t="str">
        <f>_xlfn.XLOOKUP(worksheet[[#This Row],[Customer ID]],customers!$A$1:$A$1001,customers!$I$1:$I$1001,0)</f>
        <v>No</v>
      </c>
    </row>
    <row r="624" spans="1:16" x14ac:dyDescent="0.25">
      <c r="A624" s="2" t="s">
        <v>4002</v>
      </c>
      <c r="B624" s="4">
        <v>43527</v>
      </c>
      <c r="C624" s="2" t="s">
        <v>4003</v>
      </c>
      <c r="D624" t="s">
        <v>6181</v>
      </c>
      <c r="E624" s="2">
        <v>4</v>
      </c>
      <c r="F624" s="2" t="str">
        <f>_xlfn.XLOOKUP(C624,customers!$A$1:$A$1001,customers!$B$1:$B$1001,0)</f>
        <v>Bertine Byrd</v>
      </c>
      <c r="G624" s="2" t="s">
        <v>4005</v>
      </c>
      <c r="H624" s="2" t="str">
        <f>_xlfn.XLOOKUP(C624,customers!$A$1:$A$1001,customers!$G$1:$G$1001,0)</f>
        <v>United States</v>
      </c>
      <c r="I624" t="str">
        <f>_xlfn.XLOOKUP(D624,products!$A$1:$A$49,products!$B$1:$B$49,0)</f>
        <v>Lib</v>
      </c>
      <c r="J624" t="str">
        <f>_xlfn.XLOOKUP('data cleaned'!D624,products!$A$1:$A$49,products!$C$1:$C$49,0)</f>
        <v>M</v>
      </c>
      <c r="K624" s="5">
        <f>_xlfn.XLOOKUP('data cleaned'!D624,products!$A$1:$A$49,products!$D$1:$D$49,0)</f>
        <v>2.5</v>
      </c>
      <c r="L624" s="6">
        <f>_xlfn.XLOOKUP('data cleaned'!D624,products!$A$1:$A$49,products!$E$1:$E$49,0)</f>
        <v>33.464999999999996</v>
      </c>
      <c r="M624" s="6">
        <f>'data cleaned'!E624*'data cleaned'!L624</f>
        <v>133.85999999999999</v>
      </c>
      <c r="N624" t="str">
        <f t="shared" si="18"/>
        <v>Liberica</v>
      </c>
      <c r="O624" t="str">
        <f t="shared" si="19"/>
        <v>Medium</v>
      </c>
      <c r="P624" t="str">
        <f>_xlfn.XLOOKUP(worksheet[[#This Row],[Customer ID]],customers!$A$1:$A$1001,customers!$I$1:$I$1001,0)</f>
        <v>No</v>
      </c>
    </row>
    <row r="625" spans="1:16" x14ac:dyDescent="0.25">
      <c r="A625" s="2" t="s">
        <v>4007</v>
      </c>
      <c r="B625" s="4">
        <v>44224</v>
      </c>
      <c r="C625" s="2" t="s">
        <v>4008</v>
      </c>
      <c r="D625" t="s">
        <v>6183</v>
      </c>
      <c r="E625" s="2">
        <v>1</v>
      </c>
      <c r="F625" s="2" t="str">
        <f>_xlfn.XLOOKUP(C625,customers!$A$1:$A$1001,customers!$B$1:$B$1001,0)</f>
        <v>Nelie Garnson</v>
      </c>
      <c r="G625" s="2" t="s">
        <v>6222</v>
      </c>
      <c r="H625" s="2" t="str">
        <f>_xlfn.XLOOKUP(C625,customers!$A$1:$A$1001,customers!$G$1:$G$1001,0)</f>
        <v>United Kingdom</v>
      </c>
      <c r="I625" t="str">
        <f>_xlfn.XLOOKUP(D625,products!$A$1:$A$49,products!$B$1:$B$49,0)</f>
        <v>Exc</v>
      </c>
      <c r="J625" t="str">
        <f>_xlfn.XLOOKUP('data cleaned'!D625,products!$A$1:$A$49,products!$C$1:$C$49,0)</f>
        <v>D</v>
      </c>
      <c r="K625" s="5">
        <f>_xlfn.XLOOKUP('data cleaned'!D625,products!$A$1:$A$49,products!$D$1:$D$49,0)</f>
        <v>1</v>
      </c>
      <c r="L625" s="6">
        <f>_xlfn.XLOOKUP('data cleaned'!D625,products!$A$1:$A$49,products!$E$1:$E$49,0)</f>
        <v>12.15</v>
      </c>
      <c r="M625" s="6">
        <f>'data cleaned'!E625*'data cleaned'!L625</f>
        <v>12.15</v>
      </c>
      <c r="N625" t="str">
        <f t="shared" si="18"/>
        <v>Excelsa</v>
      </c>
      <c r="O625" t="str">
        <f t="shared" si="19"/>
        <v>Dark</v>
      </c>
      <c r="P625" t="str">
        <f>_xlfn.XLOOKUP(worksheet[[#This Row],[Customer ID]],customers!$A$1:$A$1001,customers!$I$1:$I$1001,0)</f>
        <v>No</v>
      </c>
    </row>
    <row r="626" spans="1:16" x14ac:dyDescent="0.25">
      <c r="A626" s="2" t="s">
        <v>4012</v>
      </c>
      <c r="B626" s="4">
        <v>44010</v>
      </c>
      <c r="C626" s="2" t="s">
        <v>4013</v>
      </c>
      <c r="D626" t="s">
        <v>6166</v>
      </c>
      <c r="E626" s="2">
        <v>2</v>
      </c>
      <c r="F626" s="2" t="str">
        <f>_xlfn.XLOOKUP(C626,customers!$A$1:$A$1001,customers!$B$1:$B$1001,0)</f>
        <v>Dianne Chardin</v>
      </c>
      <c r="G626" s="2" t="s">
        <v>4015</v>
      </c>
      <c r="H626" s="2" t="str">
        <f>_xlfn.XLOOKUP(C626,customers!$A$1:$A$1001,customers!$G$1:$G$1001,0)</f>
        <v>Ireland</v>
      </c>
      <c r="I626" t="str">
        <f>_xlfn.XLOOKUP(D626,products!$A$1:$A$49,products!$B$1:$B$49,0)</f>
        <v>Exc</v>
      </c>
      <c r="J626" t="str">
        <f>_xlfn.XLOOKUP('data cleaned'!D626,products!$A$1:$A$49,products!$C$1:$C$49,0)</f>
        <v>M</v>
      </c>
      <c r="K626" s="5">
        <f>_xlfn.XLOOKUP('data cleaned'!D626,products!$A$1:$A$49,products!$D$1:$D$49,0)</f>
        <v>2.5</v>
      </c>
      <c r="L626" s="6">
        <f>_xlfn.XLOOKUP('data cleaned'!D626,products!$A$1:$A$49,products!$E$1:$E$49,0)</f>
        <v>31.624999999999996</v>
      </c>
      <c r="M626" s="6">
        <f>'data cleaned'!E626*'data cleaned'!L626</f>
        <v>63.249999999999993</v>
      </c>
      <c r="N626" t="str">
        <f t="shared" si="18"/>
        <v>Excelsa</v>
      </c>
      <c r="O626" t="str">
        <f t="shared" si="19"/>
        <v>Medium</v>
      </c>
      <c r="P626" t="str">
        <f>_xlfn.XLOOKUP(worksheet[[#This Row],[Customer ID]],customers!$A$1:$A$1001,customers!$I$1:$I$1001,0)</f>
        <v>Yes</v>
      </c>
    </row>
    <row r="627" spans="1:16" x14ac:dyDescent="0.25">
      <c r="A627" s="2" t="s">
        <v>4017</v>
      </c>
      <c r="B627" s="4">
        <v>44017</v>
      </c>
      <c r="C627" s="2" t="s">
        <v>4018</v>
      </c>
      <c r="D627" t="s">
        <v>6173</v>
      </c>
      <c r="E627" s="2">
        <v>5</v>
      </c>
      <c r="F627" s="2" t="str">
        <f>_xlfn.XLOOKUP(C627,customers!$A$1:$A$1001,customers!$B$1:$B$1001,0)</f>
        <v>Hailee Radbone</v>
      </c>
      <c r="G627" s="2" t="s">
        <v>4020</v>
      </c>
      <c r="H627" s="2" t="str">
        <f>_xlfn.XLOOKUP(C627,customers!$A$1:$A$1001,customers!$G$1:$G$1001,0)</f>
        <v>United States</v>
      </c>
      <c r="I627" t="str">
        <f>_xlfn.XLOOKUP(D627,products!$A$1:$A$49,products!$B$1:$B$49,0)</f>
        <v>Rob</v>
      </c>
      <c r="J627" t="str">
        <f>_xlfn.XLOOKUP('data cleaned'!D627,products!$A$1:$A$49,products!$C$1:$C$49,0)</f>
        <v>L</v>
      </c>
      <c r="K627" s="5">
        <f>_xlfn.XLOOKUP('data cleaned'!D627,products!$A$1:$A$49,products!$D$1:$D$49,0)</f>
        <v>0.5</v>
      </c>
      <c r="L627" s="6">
        <f>_xlfn.XLOOKUP('data cleaned'!D627,products!$A$1:$A$49,products!$E$1:$E$49,0)</f>
        <v>7.169999999999999</v>
      </c>
      <c r="M627" s="6">
        <f>'data cleaned'!E627*'data cleaned'!L627</f>
        <v>35.849999999999994</v>
      </c>
      <c r="N627" t="str">
        <f t="shared" si="18"/>
        <v>Robusta</v>
      </c>
      <c r="O627" t="str">
        <f t="shared" si="19"/>
        <v>Light</v>
      </c>
      <c r="P627" t="str">
        <f>_xlfn.XLOOKUP(worksheet[[#This Row],[Customer ID]],customers!$A$1:$A$1001,customers!$I$1:$I$1001,0)</f>
        <v>No</v>
      </c>
    </row>
    <row r="628" spans="1:16" x14ac:dyDescent="0.25">
      <c r="A628" s="2" t="s">
        <v>4023</v>
      </c>
      <c r="B628" s="4">
        <v>43526</v>
      </c>
      <c r="C628" s="2" t="s">
        <v>4024</v>
      </c>
      <c r="D628" t="s">
        <v>6175</v>
      </c>
      <c r="E628" s="2">
        <v>3</v>
      </c>
      <c r="F628" s="2" t="str">
        <f>_xlfn.XLOOKUP(C628,customers!$A$1:$A$1001,customers!$B$1:$B$1001,0)</f>
        <v>Wallis Bernth</v>
      </c>
      <c r="G628" s="2" t="s">
        <v>4026</v>
      </c>
      <c r="H628" s="2" t="str">
        <f>_xlfn.XLOOKUP(C628,customers!$A$1:$A$1001,customers!$G$1:$G$1001,0)</f>
        <v>United States</v>
      </c>
      <c r="I628" t="str">
        <f>_xlfn.XLOOKUP(D628,products!$A$1:$A$49,products!$B$1:$B$49,0)</f>
        <v>Ara</v>
      </c>
      <c r="J628" t="str">
        <f>_xlfn.XLOOKUP('data cleaned'!D628,products!$A$1:$A$49,products!$C$1:$C$49,0)</f>
        <v>M</v>
      </c>
      <c r="K628" s="5">
        <f>_xlfn.XLOOKUP('data cleaned'!D628,products!$A$1:$A$49,products!$D$1:$D$49,0)</f>
        <v>2.5</v>
      </c>
      <c r="L628" s="6">
        <f>_xlfn.XLOOKUP('data cleaned'!D628,products!$A$1:$A$49,products!$E$1:$E$49,0)</f>
        <v>25.874999999999996</v>
      </c>
      <c r="M628" s="6">
        <f>'data cleaned'!E628*'data cleaned'!L628</f>
        <v>77.624999999999986</v>
      </c>
      <c r="N628" t="str">
        <f t="shared" si="18"/>
        <v>Arabica</v>
      </c>
      <c r="O628" t="str">
        <f t="shared" si="19"/>
        <v>Medium</v>
      </c>
      <c r="P628" t="str">
        <f>_xlfn.XLOOKUP(worksheet[[#This Row],[Customer ID]],customers!$A$1:$A$1001,customers!$I$1:$I$1001,0)</f>
        <v>No</v>
      </c>
    </row>
    <row r="629" spans="1:16" x14ac:dyDescent="0.25">
      <c r="A629" s="2" t="s">
        <v>4029</v>
      </c>
      <c r="B629" s="4">
        <v>44682</v>
      </c>
      <c r="C629" s="2" t="s">
        <v>4030</v>
      </c>
      <c r="D629" t="s">
        <v>6166</v>
      </c>
      <c r="E629" s="2">
        <v>2</v>
      </c>
      <c r="F629" s="2" t="str">
        <f>_xlfn.XLOOKUP(C629,customers!$A$1:$A$1001,customers!$B$1:$B$1001,0)</f>
        <v>Byron Acarson</v>
      </c>
      <c r="G629" s="2" t="s">
        <v>4032</v>
      </c>
      <c r="H629" s="2" t="str">
        <f>_xlfn.XLOOKUP(C629,customers!$A$1:$A$1001,customers!$G$1:$G$1001,0)</f>
        <v>United States</v>
      </c>
      <c r="I629" t="str">
        <f>_xlfn.XLOOKUP(D629,products!$A$1:$A$49,products!$B$1:$B$49,0)</f>
        <v>Exc</v>
      </c>
      <c r="J629" t="str">
        <f>_xlfn.XLOOKUP('data cleaned'!D629,products!$A$1:$A$49,products!$C$1:$C$49,0)</f>
        <v>M</v>
      </c>
      <c r="K629" s="5">
        <f>_xlfn.XLOOKUP('data cleaned'!D629,products!$A$1:$A$49,products!$D$1:$D$49,0)</f>
        <v>2.5</v>
      </c>
      <c r="L629" s="6">
        <f>_xlfn.XLOOKUP('data cleaned'!D629,products!$A$1:$A$49,products!$E$1:$E$49,0)</f>
        <v>31.624999999999996</v>
      </c>
      <c r="M629" s="6">
        <f>'data cleaned'!E629*'data cleaned'!L629</f>
        <v>63.249999999999993</v>
      </c>
      <c r="N629" t="str">
        <f t="shared" si="18"/>
        <v>Excelsa</v>
      </c>
      <c r="O629" t="str">
        <f t="shared" si="19"/>
        <v>Medium</v>
      </c>
      <c r="P629" t="str">
        <f>_xlfn.XLOOKUP(worksheet[[#This Row],[Customer ID]],customers!$A$1:$A$1001,customers!$I$1:$I$1001,0)</f>
        <v>Yes</v>
      </c>
    </row>
    <row r="630" spans="1:16" x14ac:dyDescent="0.25">
      <c r="A630" s="2" t="s">
        <v>4035</v>
      </c>
      <c r="B630" s="4">
        <v>44680</v>
      </c>
      <c r="C630" s="2" t="s">
        <v>4036</v>
      </c>
      <c r="D630" t="s">
        <v>6184</v>
      </c>
      <c r="E630" s="2">
        <v>6</v>
      </c>
      <c r="F630" s="2" t="str">
        <f>_xlfn.XLOOKUP(C630,customers!$A$1:$A$1001,customers!$B$1:$B$1001,0)</f>
        <v>Faunie Brigham</v>
      </c>
      <c r="G630" s="2" t="s">
        <v>4038</v>
      </c>
      <c r="H630" s="2" t="str">
        <f>_xlfn.XLOOKUP(C630,customers!$A$1:$A$1001,customers!$G$1:$G$1001,0)</f>
        <v>Ireland</v>
      </c>
      <c r="I630" t="str">
        <f>_xlfn.XLOOKUP(D630,products!$A$1:$A$49,products!$B$1:$B$49,0)</f>
        <v>Exc</v>
      </c>
      <c r="J630" t="str">
        <f>_xlfn.XLOOKUP('data cleaned'!D630,products!$A$1:$A$49,products!$C$1:$C$49,0)</f>
        <v>L</v>
      </c>
      <c r="K630" s="5">
        <f>_xlfn.XLOOKUP('data cleaned'!D630,products!$A$1:$A$49,products!$D$1:$D$49,0)</f>
        <v>0.2</v>
      </c>
      <c r="L630" s="6">
        <f>_xlfn.XLOOKUP('data cleaned'!D630,products!$A$1:$A$49,products!$E$1:$E$49,0)</f>
        <v>4.4550000000000001</v>
      </c>
      <c r="M630" s="6">
        <f>'data cleaned'!E630*'data cleaned'!L630</f>
        <v>26.73</v>
      </c>
      <c r="N630" t="str">
        <f t="shared" si="18"/>
        <v>Excelsa</v>
      </c>
      <c r="O630" t="str">
        <f t="shared" si="19"/>
        <v>Light</v>
      </c>
      <c r="P630" t="str">
        <f>_xlfn.XLOOKUP(worksheet[[#This Row],[Customer ID]],customers!$A$1:$A$1001,customers!$I$1:$I$1001,0)</f>
        <v>Yes</v>
      </c>
    </row>
    <row r="631" spans="1:16" x14ac:dyDescent="0.25">
      <c r="A631" s="2" t="s">
        <v>4035</v>
      </c>
      <c r="B631" s="4">
        <v>44680</v>
      </c>
      <c r="C631" s="2" t="s">
        <v>4036</v>
      </c>
      <c r="D631" t="s">
        <v>6169</v>
      </c>
      <c r="E631" s="2">
        <v>4</v>
      </c>
      <c r="F631" s="2" t="str">
        <f>_xlfn.XLOOKUP(C631,customers!$A$1:$A$1001,customers!$B$1:$B$1001,0)</f>
        <v>Faunie Brigham</v>
      </c>
      <c r="G631" s="2" t="s">
        <v>4038</v>
      </c>
      <c r="H631" s="2" t="str">
        <f>_xlfn.XLOOKUP(C631,customers!$A$1:$A$1001,customers!$G$1:$G$1001,0)</f>
        <v>Ireland</v>
      </c>
      <c r="I631" t="str">
        <f>_xlfn.XLOOKUP(D631,products!$A$1:$A$49,products!$B$1:$B$49,0)</f>
        <v>Lib</v>
      </c>
      <c r="J631" t="str">
        <f>_xlfn.XLOOKUP('data cleaned'!D631,products!$A$1:$A$49,products!$C$1:$C$49,0)</f>
        <v>D</v>
      </c>
      <c r="K631" s="5">
        <f>_xlfn.XLOOKUP('data cleaned'!D631,products!$A$1:$A$49,products!$D$1:$D$49,0)</f>
        <v>0.5</v>
      </c>
      <c r="L631" s="6">
        <f>_xlfn.XLOOKUP('data cleaned'!D631,products!$A$1:$A$49,products!$E$1:$E$49,0)</f>
        <v>7.77</v>
      </c>
      <c r="M631" s="6">
        <f>'data cleaned'!E631*'data cleaned'!L631</f>
        <v>31.08</v>
      </c>
      <c r="N631" t="str">
        <f t="shared" si="18"/>
        <v>Liberica</v>
      </c>
      <c r="O631" t="str">
        <f t="shared" si="19"/>
        <v>Dark</v>
      </c>
      <c r="P631" t="str">
        <f>_xlfn.XLOOKUP(worksheet[[#This Row],[Customer ID]],customers!$A$1:$A$1001,customers!$I$1:$I$1001,0)</f>
        <v>Yes</v>
      </c>
    </row>
    <row r="632" spans="1:16" x14ac:dyDescent="0.25">
      <c r="A632" s="2" t="s">
        <v>4035</v>
      </c>
      <c r="B632" s="4">
        <v>44680</v>
      </c>
      <c r="C632" s="2" t="s">
        <v>4036</v>
      </c>
      <c r="D632" t="s">
        <v>6154</v>
      </c>
      <c r="E632" s="2">
        <v>1</v>
      </c>
      <c r="F632" s="2" t="str">
        <f>_xlfn.XLOOKUP(C632,customers!$A$1:$A$1001,customers!$B$1:$B$1001,0)</f>
        <v>Faunie Brigham</v>
      </c>
      <c r="G632" s="2" t="s">
        <v>4038</v>
      </c>
      <c r="H632" s="2" t="str">
        <f>_xlfn.XLOOKUP(C632,customers!$A$1:$A$1001,customers!$G$1:$G$1001,0)</f>
        <v>Ireland</v>
      </c>
      <c r="I632" t="str">
        <f>_xlfn.XLOOKUP(D632,products!$A$1:$A$49,products!$B$1:$B$49,0)</f>
        <v>Ara</v>
      </c>
      <c r="J632" t="str">
        <f>_xlfn.XLOOKUP('data cleaned'!D632,products!$A$1:$A$49,products!$C$1:$C$49,0)</f>
        <v>D</v>
      </c>
      <c r="K632" s="5">
        <f>_xlfn.XLOOKUP('data cleaned'!D632,products!$A$1:$A$49,products!$D$1:$D$49,0)</f>
        <v>0.2</v>
      </c>
      <c r="L632" s="6">
        <f>_xlfn.XLOOKUP('data cleaned'!D632,products!$A$1:$A$49,products!$E$1:$E$49,0)</f>
        <v>2.9849999999999999</v>
      </c>
      <c r="M632" s="6">
        <f>'data cleaned'!E632*'data cleaned'!L632</f>
        <v>2.9849999999999999</v>
      </c>
      <c r="N632" t="str">
        <f t="shared" si="18"/>
        <v>Arabica</v>
      </c>
      <c r="O632" t="str">
        <f t="shared" si="19"/>
        <v>Dark</v>
      </c>
      <c r="P632" t="str">
        <f>_xlfn.XLOOKUP(worksheet[[#This Row],[Customer ID]],customers!$A$1:$A$1001,customers!$I$1:$I$1001,0)</f>
        <v>Yes</v>
      </c>
    </row>
    <row r="633" spans="1:16" x14ac:dyDescent="0.25">
      <c r="A633" s="2" t="s">
        <v>4035</v>
      </c>
      <c r="B633" s="4">
        <v>44680</v>
      </c>
      <c r="C633" s="2" t="s">
        <v>4036</v>
      </c>
      <c r="D633" t="s">
        <v>6149</v>
      </c>
      <c r="E633" s="2">
        <v>5</v>
      </c>
      <c r="F633" s="2" t="str">
        <f>_xlfn.XLOOKUP(C633,customers!$A$1:$A$1001,customers!$B$1:$B$1001,0)</f>
        <v>Faunie Brigham</v>
      </c>
      <c r="G633" s="2" t="s">
        <v>4038</v>
      </c>
      <c r="H633" s="2" t="str">
        <f>_xlfn.XLOOKUP(C633,customers!$A$1:$A$1001,customers!$G$1:$G$1001,0)</f>
        <v>Ireland</v>
      </c>
      <c r="I633" t="str">
        <f>_xlfn.XLOOKUP(D633,products!$A$1:$A$49,products!$B$1:$B$49,0)</f>
        <v>Rob</v>
      </c>
      <c r="J633" t="str">
        <f>_xlfn.XLOOKUP('data cleaned'!D633,products!$A$1:$A$49,products!$C$1:$C$49,0)</f>
        <v>D</v>
      </c>
      <c r="K633" s="5">
        <f>_xlfn.XLOOKUP('data cleaned'!D633,products!$A$1:$A$49,products!$D$1:$D$49,0)</f>
        <v>2.5</v>
      </c>
      <c r="L633" s="6">
        <f>_xlfn.XLOOKUP('data cleaned'!D633,products!$A$1:$A$49,products!$E$1:$E$49,0)</f>
        <v>20.584999999999997</v>
      </c>
      <c r="M633" s="6">
        <f>'data cleaned'!E633*'data cleaned'!L633</f>
        <v>102.92499999999998</v>
      </c>
      <c r="N633" t="str">
        <f t="shared" si="18"/>
        <v>Robusta</v>
      </c>
      <c r="O633" t="str">
        <f t="shared" si="19"/>
        <v>Dark</v>
      </c>
      <c r="P633" t="str">
        <f>_xlfn.XLOOKUP(worksheet[[#This Row],[Customer ID]],customers!$A$1:$A$1001,customers!$I$1:$I$1001,0)</f>
        <v>Yes</v>
      </c>
    </row>
    <row r="634" spans="1:16" x14ac:dyDescent="0.25">
      <c r="A634" s="2" t="s">
        <v>4056</v>
      </c>
      <c r="B634" s="4">
        <v>44049</v>
      </c>
      <c r="C634" s="2" t="s">
        <v>4057</v>
      </c>
      <c r="D634" t="s">
        <v>6176</v>
      </c>
      <c r="E634" s="2">
        <v>4</v>
      </c>
      <c r="F634" s="2" t="str">
        <f>_xlfn.XLOOKUP(C634,customers!$A$1:$A$1001,customers!$B$1:$B$1001,0)</f>
        <v>Marjorie Yoxen</v>
      </c>
      <c r="G634" s="2" t="s">
        <v>4059</v>
      </c>
      <c r="H634" s="2" t="str">
        <f>_xlfn.XLOOKUP(C634,customers!$A$1:$A$1001,customers!$G$1:$G$1001,0)</f>
        <v>United States</v>
      </c>
      <c r="I634" t="str">
        <f>_xlfn.XLOOKUP(D634,products!$A$1:$A$49,products!$B$1:$B$49,0)</f>
        <v>Exc</v>
      </c>
      <c r="J634" t="str">
        <f>_xlfn.XLOOKUP('data cleaned'!D634,products!$A$1:$A$49,products!$C$1:$C$49,0)</f>
        <v>L</v>
      </c>
      <c r="K634" s="5">
        <f>_xlfn.XLOOKUP('data cleaned'!D634,products!$A$1:$A$49,products!$D$1:$D$49,0)</f>
        <v>0.5</v>
      </c>
      <c r="L634" s="6">
        <f>_xlfn.XLOOKUP('data cleaned'!D634,products!$A$1:$A$49,products!$E$1:$E$49,0)</f>
        <v>8.91</v>
      </c>
      <c r="M634" s="6">
        <f>'data cleaned'!E634*'data cleaned'!L634</f>
        <v>35.64</v>
      </c>
      <c r="N634" t="str">
        <f t="shared" si="18"/>
        <v>Excelsa</v>
      </c>
      <c r="O634" t="str">
        <f t="shared" si="19"/>
        <v>Light</v>
      </c>
      <c r="P634" t="str">
        <f>_xlfn.XLOOKUP(worksheet[[#This Row],[Customer ID]],customers!$A$1:$A$1001,customers!$I$1:$I$1001,0)</f>
        <v>No</v>
      </c>
    </row>
    <row r="635" spans="1:16" x14ac:dyDescent="0.25">
      <c r="A635" s="2" t="s">
        <v>4062</v>
      </c>
      <c r="B635" s="4">
        <v>43820</v>
      </c>
      <c r="C635" s="2" t="s">
        <v>4063</v>
      </c>
      <c r="D635" t="s">
        <v>6179</v>
      </c>
      <c r="E635" s="2">
        <v>4</v>
      </c>
      <c r="F635" s="2" t="str">
        <f>_xlfn.XLOOKUP(C635,customers!$A$1:$A$1001,customers!$B$1:$B$1001,0)</f>
        <v>Gaspar McGavin</v>
      </c>
      <c r="G635" s="2" t="s">
        <v>4065</v>
      </c>
      <c r="H635" s="2" t="str">
        <f>_xlfn.XLOOKUP(C635,customers!$A$1:$A$1001,customers!$G$1:$G$1001,0)</f>
        <v>United States</v>
      </c>
      <c r="I635" t="str">
        <f>_xlfn.XLOOKUP(D635,products!$A$1:$A$49,products!$B$1:$B$49,0)</f>
        <v>Rob</v>
      </c>
      <c r="J635" t="str">
        <f>_xlfn.XLOOKUP('data cleaned'!D635,products!$A$1:$A$49,products!$C$1:$C$49,0)</f>
        <v>L</v>
      </c>
      <c r="K635" s="5">
        <f>_xlfn.XLOOKUP('data cleaned'!D635,products!$A$1:$A$49,products!$D$1:$D$49,0)</f>
        <v>1</v>
      </c>
      <c r="L635" s="6">
        <f>_xlfn.XLOOKUP('data cleaned'!D635,products!$A$1:$A$49,products!$E$1:$E$49,0)</f>
        <v>11.95</v>
      </c>
      <c r="M635" s="6">
        <f>'data cleaned'!E635*'data cleaned'!L635</f>
        <v>47.8</v>
      </c>
      <c r="N635" t="str">
        <f t="shared" si="18"/>
        <v>Robusta</v>
      </c>
      <c r="O635" t="str">
        <f t="shared" si="19"/>
        <v>Light</v>
      </c>
      <c r="P635" t="str">
        <f>_xlfn.XLOOKUP(worksheet[[#This Row],[Customer ID]],customers!$A$1:$A$1001,customers!$I$1:$I$1001,0)</f>
        <v>No</v>
      </c>
    </row>
    <row r="636" spans="1:16" x14ac:dyDescent="0.25">
      <c r="A636" s="2" t="s">
        <v>4068</v>
      </c>
      <c r="B636" s="4">
        <v>43940</v>
      </c>
      <c r="C636" s="2" t="s">
        <v>4069</v>
      </c>
      <c r="D636" t="s">
        <v>6162</v>
      </c>
      <c r="E636" s="2">
        <v>3</v>
      </c>
      <c r="F636" s="2" t="str">
        <f>_xlfn.XLOOKUP(C636,customers!$A$1:$A$1001,customers!$B$1:$B$1001,0)</f>
        <v>Lindy Uttermare</v>
      </c>
      <c r="G636" s="2" t="s">
        <v>4071</v>
      </c>
      <c r="H636" s="2" t="str">
        <f>_xlfn.XLOOKUP(C636,customers!$A$1:$A$1001,customers!$G$1:$G$1001,0)</f>
        <v>United States</v>
      </c>
      <c r="I636" t="str">
        <f>_xlfn.XLOOKUP(D636,products!$A$1:$A$49,products!$B$1:$B$49,0)</f>
        <v>Lib</v>
      </c>
      <c r="J636" t="str">
        <f>_xlfn.XLOOKUP('data cleaned'!D636,products!$A$1:$A$49,products!$C$1:$C$49,0)</f>
        <v>M</v>
      </c>
      <c r="K636" s="5">
        <f>_xlfn.XLOOKUP('data cleaned'!D636,products!$A$1:$A$49,products!$D$1:$D$49,0)</f>
        <v>1</v>
      </c>
      <c r="L636" s="6">
        <f>_xlfn.XLOOKUP('data cleaned'!D636,products!$A$1:$A$49,products!$E$1:$E$49,0)</f>
        <v>14.55</v>
      </c>
      <c r="M636" s="6">
        <f>'data cleaned'!E636*'data cleaned'!L636</f>
        <v>43.650000000000006</v>
      </c>
      <c r="N636" t="str">
        <f t="shared" si="18"/>
        <v>Liberica</v>
      </c>
      <c r="O636" t="str">
        <f t="shared" si="19"/>
        <v>Medium</v>
      </c>
      <c r="P636" t="str">
        <f>_xlfn.XLOOKUP(worksheet[[#This Row],[Customer ID]],customers!$A$1:$A$1001,customers!$I$1:$I$1001,0)</f>
        <v>No</v>
      </c>
    </row>
    <row r="637" spans="1:16" x14ac:dyDescent="0.25">
      <c r="A637" s="2" t="s">
        <v>4074</v>
      </c>
      <c r="B637" s="4">
        <v>44578</v>
      </c>
      <c r="C637" s="2" t="s">
        <v>4075</v>
      </c>
      <c r="D637" t="s">
        <v>6176</v>
      </c>
      <c r="E637" s="2">
        <v>4</v>
      </c>
      <c r="F637" s="2" t="str">
        <f>_xlfn.XLOOKUP(C637,customers!$A$1:$A$1001,customers!$B$1:$B$1001,0)</f>
        <v>Eal D'Ambrogio</v>
      </c>
      <c r="G637" s="2" t="s">
        <v>4077</v>
      </c>
      <c r="H637" s="2" t="str">
        <f>_xlfn.XLOOKUP(C637,customers!$A$1:$A$1001,customers!$G$1:$G$1001,0)</f>
        <v>United States</v>
      </c>
      <c r="I637" t="str">
        <f>_xlfn.XLOOKUP(D637,products!$A$1:$A$49,products!$B$1:$B$49,0)</f>
        <v>Exc</v>
      </c>
      <c r="J637" t="str">
        <f>_xlfn.XLOOKUP('data cleaned'!D637,products!$A$1:$A$49,products!$C$1:$C$49,0)</f>
        <v>L</v>
      </c>
      <c r="K637" s="5">
        <f>_xlfn.XLOOKUP('data cleaned'!D637,products!$A$1:$A$49,products!$D$1:$D$49,0)</f>
        <v>0.5</v>
      </c>
      <c r="L637" s="6">
        <f>_xlfn.XLOOKUP('data cleaned'!D637,products!$A$1:$A$49,products!$E$1:$E$49,0)</f>
        <v>8.91</v>
      </c>
      <c r="M637" s="6">
        <f>'data cleaned'!E637*'data cleaned'!L637</f>
        <v>35.64</v>
      </c>
      <c r="N637" t="str">
        <f t="shared" si="18"/>
        <v>Excelsa</v>
      </c>
      <c r="O637" t="str">
        <f t="shared" si="19"/>
        <v>Light</v>
      </c>
      <c r="P637" t="str">
        <f>_xlfn.XLOOKUP(worksheet[[#This Row],[Customer ID]],customers!$A$1:$A$1001,customers!$I$1:$I$1001,0)</f>
        <v>Yes</v>
      </c>
    </row>
    <row r="638" spans="1:16" x14ac:dyDescent="0.25">
      <c r="A638" s="2" t="s">
        <v>4080</v>
      </c>
      <c r="B638" s="4">
        <v>43487</v>
      </c>
      <c r="C638" s="2" t="s">
        <v>4081</v>
      </c>
      <c r="D638" t="s">
        <v>6170</v>
      </c>
      <c r="E638" s="2">
        <v>6</v>
      </c>
      <c r="F638" s="2" t="str">
        <f>_xlfn.XLOOKUP(C638,customers!$A$1:$A$1001,customers!$B$1:$B$1001,0)</f>
        <v>Carolee Winchcombe</v>
      </c>
      <c r="G638" s="2" t="s">
        <v>4083</v>
      </c>
      <c r="H638" s="2" t="str">
        <f>_xlfn.XLOOKUP(C638,customers!$A$1:$A$1001,customers!$G$1:$G$1001,0)</f>
        <v>United States</v>
      </c>
      <c r="I638" t="str">
        <f>_xlfn.XLOOKUP(D638,products!$A$1:$A$49,products!$B$1:$B$49,0)</f>
        <v>Lib</v>
      </c>
      <c r="J638" t="str">
        <f>_xlfn.XLOOKUP('data cleaned'!D638,products!$A$1:$A$49,products!$C$1:$C$49,0)</f>
        <v>L</v>
      </c>
      <c r="K638" s="5">
        <f>_xlfn.XLOOKUP('data cleaned'!D638,products!$A$1:$A$49,products!$D$1:$D$49,0)</f>
        <v>1</v>
      </c>
      <c r="L638" s="6">
        <f>_xlfn.XLOOKUP('data cleaned'!D638,products!$A$1:$A$49,products!$E$1:$E$49,0)</f>
        <v>15.85</v>
      </c>
      <c r="M638" s="6">
        <f>'data cleaned'!E638*'data cleaned'!L638</f>
        <v>95.1</v>
      </c>
      <c r="N638" t="str">
        <f t="shared" si="18"/>
        <v>Liberica</v>
      </c>
      <c r="O638" t="str">
        <f t="shared" si="19"/>
        <v>Light</v>
      </c>
      <c r="P638" t="str">
        <f>_xlfn.XLOOKUP(worksheet[[#This Row],[Customer ID]],customers!$A$1:$A$1001,customers!$I$1:$I$1001,0)</f>
        <v>Yes</v>
      </c>
    </row>
    <row r="639" spans="1:16" x14ac:dyDescent="0.25">
      <c r="A639" s="2" t="s">
        <v>4086</v>
      </c>
      <c r="B639" s="4">
        <v>43889</v>
      </c>
      <c r="C639" s="2" t="s">
        <v>4087</v>
      </c>
      <c r="D639" t="s">
        <v>6166</v>
      </c>
      <c r="E639" s="2">
        <v>1</v>
      </c>
      <c r="F639" s="2" t="str">
        <f>_xlfn.XLOOKUP(C639,customers!$A$1:$A$1001,customers!$B$1:$B$1001,0)</f>
        <v>Benedikta Paumier</v>
      </c>
      <c r="G639" s="2" t="s">
        <v>4089</v>
      </c>
      <c r="H639" s="2" t="str">
        <f>_xlfn.XLOOKUP(C639,customers!$A$1:$A$1001,customers!$G$1:$G$1001,0)</f>
        <v>Ireland</v>
      </c>
      <c r="I639" t="str">
        <f>_xlfn.XLOOKUP(D639,products!$A$1:$A$49,products!$B$1:$B$49,0)</f>
        <v>Exc</v>
      </c>
      <c r="J639" t="str">
        <f>_xlfn.XLOOKUP('data cleaned'!D639,products!$A$1:$A$49,products!$C$1:$C$49,0)</f>
        <v>M</v>
      </c>
      <c r="K639" s="5">
        <f>_xlfn.XLOOKUP('data cleaned'!D639,products!$A$1:$A$49,products!$D$1:$D$49,0)</f>
        <v>2.5</v>
      </c>
      <c r="L639" s="6">
        <f>_xlfn.XLOOKUP('data cleaned'!D639,products!$A$1:$A$49,products!$E$1:$E$49,0)</f>
        <v>31.624999999999996</v>
      </c>
      <c r="M639" s="6">
        <f>'data cleaned'!E639*'data cleaned'!L639</f>
        <v>31.624999999999996</v>
      </c>
      <c r="N639" t="str">
        <f t="shared" si="18"/>
        <v>Excelsa</v>
      </c>
      <c r="O639" t="str">
        <f t="shared" si="19"/>
        <v>Medium</v>
      </c>
      <c r="P639" t="str">
        <f>_xlfn.XLOOKUP(worksheet[[#This Row],[Customer ID]],customers!$A$1:$A$1001,customers!$I$1:$I$1001,0)</f>
        <v>Yes</v>
      </c>
    </row>
    <row r="640" spans="1:16" x14ac:dyDescent="0.25">
      <c r="A640" s="2" t="s">
        <v>4093</v>
      </c>
      <c r="B640" s="4">
        <v>43684</v>
      </c>
      <c r="C640" s="2" t="s">
        <v>4094</v>
      </c>
      <c r="D640" t="s">
        <v>6175</v>
      </c>
      <c r="E640" s="2">
        <v>3</v>
      </c>
      <c r="F640" s="2" t="str">
        <f>_xlfn.XLOOKUP(C640,customers!$A$1:$A$1001,customers!$B$1:$B$1001,0)</f>
        <v>Neville Piatto</v>
      </c>
      <c r="G640" s="2" t="s">
        <v>6222</v>
      </c>
      <c r="H640" s="2" t="str">
        <f>_xlfn.XLOOKUP(C640,customers!$A$1:$A$1001,customers!$G$1:$G$1001,0)</f>
        <v>Ireland</v>
      </c>
      <c r="I640" t="str">
        <f>_xlfn.XLOOKUP(D640,products!$A$1:$A$49,products!$B$1:$B$49,0)</f>
        <v>Ara</v>
      </c>
      <c r="J640" t="str">
        <f>_xlfn.XLOOKUP('data cleaned'!D640,products!$A$1:$A$49,products!$C$1:$C$49,0)</f>
        <v>M</v>
      </c>
      <c r="K640" s="5">
        <f>_xlfn.XLOOKUP('data cleaned'!D640,products!$A$1:$A$49,products!$D$1:$D$49,0)</f>
        <v>2.5</v>
      </c>
      <c r="L640" s="6">
        <f>_xlfn.XLOOKUP('data cleaned'!D640,products!$A$1:$A$49,products!$E$1:$E$49,0)</f>
        <v>25.874999999999996</v>
      </c>
      <c r="M640" s="6">
        <f>'data cleaned'!E640*'data cleaned'!L640</f>
        <v>77.624999999999986</v>
      </c>
      <c r="N640" t="str">
        <f t="shared" si="18"/>
        <v>Arabica</v>
      </c>
      <c r="O640" t="str">
        <f t="shared" si="19"/>
        <v>Medium</v>
      </c>
      <c r="P640" t="str">
        <f>_xlfn.XLOOKUP(worksheet[[#This Row],[Customer ID]],customers!$A$1:$A$1001,customers!$I$1:$I$1001,0)</f>
        <v>Yes</v>
      </c>
    </row>
    <row r="641" spans="1:16" x14ac:dyDescent="0.25">
      <c r="A641" s="2" t="s">
        <v>4098</v>
      </c>
      <c r="B641" s="4">
        <v>44331</v>
      </c>
      <c r="C641" s="2" t="s">
        <v>4099</v>
      </c>
      <c r="D641" t="s">
        <v>6150</v>
      </c>
      <c r="E641" s="2">
        <v>1</v>
      </c>
      <c r="F641" s="2" t="str">
        <f>_xlfn.XLOOKUP(C641,customers!$A$1:$A$1001,customers!$B$1:$B$1001,0)</f>
        <v>Jeno Capey</v>
      </c>
      <c r="G641" s="2" t="s">
        <v>4101</v>
      </c>
      <c r="H641" s="2" t="str">
        <f>_xlfn.XLOOKUP(C641,customers!$A$1:$A$1001,customers!$G$1:$G$1001,0)</f>
        <v>United States</v>
      </c>
      <c r="I641" t="str">
        <f>_xlfn.XLOOKUP(D641,products!$A$1:$A$49,products!$B$1:$B$49,0)</f>
        <v>Lib</v>
      </c>
      <c r="J641" t="str">
        <f>_xlfn.XLOOKUP('data cleaned'!D641,products!$A$1:$A$49,products!$C$1:$C$49,0)</f>
        <v>D</v>
      </c>
      <c r="K641" s="5">
        <f>_xlfn.XLOOKUP('data cleaned'!D641,products!$A$1:$A$49,products!$D$1:$D$49,0)</f>
        <v>0.2</v>
      </c>
      <c r="L641" s="6">
        <f>_xlfn.XLOOKUP('data cleaned'!D641,products!$A$1:$A$49,products!$E$1:$E$49,0)</f>
        <v>3.8849999999999998</v>
      </c>
      <c r="M641" s="6">
        <f>'data cleaned'!E641*'data cleaned'!L641</f>
        <v>3.8849999999999998</v>
      </c>
      <c r="N641" t="str">
        <f t="shared" si="18"/>
        <v>Liberica</v>
      </c>
      <c r="O641" t="str">
        <f t="shared" si="19"/>
        <v>Dark</v>
      </c>
      <c r="P641" t="str">
        <f>_xlfn.XLOOKUP(worksheet[[#This Row],[Customer ID]],customers!$A$1:$A$1001,customers!$I$1:$I$1001,0)</f>
        <v>Yes</v>
      </c>
    </row>
    <row r="642" spans="1:16" x14ac:dyDescent="0.25">
      <c r="A642" s="2" t="s">
        <v>4104</v>
      </c>
      <c r="B642" s="4">
        <v>44547</v>
      </c>
      <c r="C642" s="2" t="s">
        <v>4152</v>
      </c>
      <c r="D642" t="s">
        <v>6142</v>
      </c>
      <c r="E642" s="2">
        <v>5</v>
      </c>
      <c r="F642" s="2" t="str">
        <f>_xlfn.XLOOKUP(C642,customers!$A$1:$A$1001,customers!$B$1:$B$1001,0)</f>
        <v>Tuckie Mathonnet</v>
      </c>
      <c r="G642" s="2" t="s">
        <v>4154</v>
      </c>
      <c r="H642" s="2" t="str">
        <f>_xlfn.XLOOKUP(C642,customers!$A$1:$A$1001,customers!$G$1:$G$1001,0)</f>
        <v>United States</v>
      </c>
      <c r="I642" t="str">
        <f>_xlfn.XLOOKUP(D642,products!$A$1:$A$49,products!$B$1:$B$49,0)</f>
        <v>Rob</v>
      </c>
      <c r="J642" t="str">
        <f>_xlfn.XLOOKUP('data cleaned'!D642,products!$A$1:$A$49,products!$C$1:$C$49,0)</f>
        <v>L</v>
      </c>
      <c r="K642" s="5">
        <f>_xlfn.XLOOKUP('data cleaned'!D642,products!$A$1:$A$49,products!$D$1:$D$49,0)</f>
        <v>2.5</v>
      </c>
      <c r="L642" s="6">
        <f>_xlfn.XLOOKUP('data cleaned'!D642,products!$A$1:$A$49,products!$E$1:$E$49,0)</f>
        <v>27.484999999999996</v>
      </c>
      <c r="M642" s="6">
        <f>'data cleaned'!E642*'data cleaned'!L642</f>
        <v>137.42499999999998</v>
      </c>
      <c r="N642" t="str">
        <f t="shared" si="18"/>
        <v>Robusta</v>
      </c>
      <c r="O642" t="str">
        <f t="shared" si="19"/>
        <v>Light</v>
      </c>
      <c r="P642" t="str">
        <f>_xlfn.XLOOKUP(worksheet[[#This Row],[Customer ID]],customers!$A$1:$A$1001,customers!$I$1:$I$1001,0)</f>
        <v>No</v>
      </c>
    </row>
    <row r="643" spans="1:16" x14ac:dyDescent="0.25">
      <c r="A643" s="2" t="s">
        <v>4109</v>
      </c>
      <c r="B643" s="4">
        <v>44448</v>
      </c>
      <c r="C643" s="2" t="s">
        <v>4110</v>
      </c>
      <c r="D643" t="s">
        <v>6179</v>
      </c>
      <c r="E643" s="2">
        <v>3</v>
      </c>
      <c r="F643" s="2" t="str">
        <f>_xlfn.XLOOKUP(C643,customers!$A$1:$A$1001,customers!$B$1:$B$1001,0)</f>
        <v>Yardley Basill</v>
      </c>
      <c r="G643" s="2" t="s">
        <v>4112</v>
      </c>
      <c r="H643" s="2" t="str">
        <f>_xlfn.XLOOKUP(C643,customers!$A$1:$A$1001,customers!$G$1:$G$1001,0)</f>
        <v>United States</v>
      </c>
      <c r="I643" t="str">
        <f>_xlfn.XLOOKUP(D643,products!$A$1:$A$49,products!$B$1:$B$49,0)</f>
        <v>Rob</v>
      </c>
      <c r="J643" t="str">
        <f>_xlfn.XLOOKUP('data cleaned'!D643,products!$A$1:$A$49,products!$C$1:$C$49,0)</f>
        <v>L</v>
      </c>
      <c r="K643" s="5">
        <f>_xlfn.XLOOKUP('data cleaned'!D643,products!$A$1:$A$49,products!$D$1:$D$49,0)</f>
        <v>1</v>
      </c>
      <c r="L643" s="6">
        <f>_xlfn.XLOOKUP('data cleaned'!D643,products!$A$1:$A$49,products!$E$1:$E$49,0)</f>
        <v>11.95</v>
      </c>
      <c r="M643" s="6">
        <f>'data cleaned'!E643*'data cleaned'!L643</f>
        <v>35.849999999999994</v>
      </c>
      <c r="N643" t="str">
        <f t="shared" ref="N643:N706" si="20">IF(I643="Rob","Robusta",IF(I643="Exc","Excelsa",IF(I643="Ara","Arabica",IF(I643="Lib","Liberica",""))))</f>
        <v>Robusta</v>
      </c>
      <c r="O643" t="str">
        <f t="shared" ref="O643:O706" si="21">IF(J643="M","Medium",IF(J643="L","Light",IF(J643="D","Dark","")))</f>
        <v>Light</v>
      </c>
      <c r="P643" t="str">
        <f>_xlfn.XLOOKUP(worksheet[[#This Row],[Customer ID]],customers!$A$1:$A$1001,customers!$I$1:$I$1001,0)</f>
        <v>Yes</v>
      </c>
    </row>
    <row r="644" spans="1:16" x14ac:dyDescent="0.25">
      <c r="A644" s="2" t="s">
        <v>4115</v>
      </c>
      <c r="B644" s="4">
        <v>43880</v>
      </c>
      <c r="C644" s="2" t="s">
        <v>4116</v>
      </c>
      <c r="D644" t="s">
        <v>6156</v>
      </c>
      <c r="E644" s="2">
        <v>2</v>
      </c>
      <c r="F644" s="2" t="str">
        <f>_xlfn.XLOOKUP(C644,customers!$A$1:$A$1001,customers!$B$1:$B$1001,0)</f>
        <v>Maggy Baistow</v>
      </c>
      <c r="G644" s="2" t="s">
        <v>4118</v>
      </c>
      <c r="H644" s="2" t="str">
        <f>_xlfn.XLOOKUP(C644,customers!$A$1:$A$1001,customers!$G$1:$G$1001,0)</f>
        <v>United Kingdom</v>
      </c>
      <c r="I644" t="str">
        <f>_xlfn.XLOOKUP(D644,products!$A$1:$A$49,products!$B$1:$B$49,0)</f>
        <v>Exc</v>
      </c>
      <c r="J644" t="str">
        <f>_xlfn.XLOOKUP('data cleaned'!D644,products!$A$1:$A$49,products!$C$1:$C$49,0)</f>
        <v>M</v>
      </c>
      <c r="K644" s="5">
        <f>_xlfn.XLOOKUP('data cleaned'!D644,products!$A$1:$A$49,products!$D$1:$D$49,0)</f>
        <v>0.2</v>
      </c>
      <c r="L644" s="6">
        <f>_xlfn.XLOOKUP('data cleaned'!D644,products!$A$1:$A$49,products!$E$1:$E$49,0)</f>
        <v>4.125</v>
      </c>
      <c r="M644" s="6">
        <f>'data cleaned'!E644*'data cleaned'!L644</f>
        <v>8.25</v>
      </c>
      <c r="N644" t="str">
        <f t="shared" si="20"/>
        <v>Excelsa</v>
      </c>
      <c r="O644" t="str">
        <f t="shared" si="21"/>
        <v>Medium</v>
      </c>
      <c r="P644" t="str">
        <f>_xlfn.XLOOKUP(worksheet[[#This Row],[Customer ID]],customers!$A$1:$A$1001,customers!$I$1:$I$1001,0)</f>
        <v>Yes</v>
      </c>
    </row>
    <row r="645" spans="1:16" x14ac:dyDescent="0.25">
      <c r="A645" s="2" t="s">
        <v>4123</v>
      </c>
      <c r="B645" s="4">
        <v>44011</v>
      </c>
      <c r="C645" s="2" t="s">
        <v>4124</v>
      </c>
      <c r="D645" t="s">
        <v>6148</v>
      </c>
      <c r="E645" s="2">
        <v>3</v>
      </c>
      <c r="F645" s="2" t="str">
        <f>_xlfn.XLOOKUP(C645,customers!$A$1:$A$1001,customers!$B$1:$B$1001,0)</f>
        <v>Courtney Pallant</v>
      </c>
      <c r="G645" s="2" t="s">
        <v>4126</v>
      </c>
      <c r="H645" s="2" t="str">
        <f>_xlfn.XLOOKUP(C645,customers!$A$1:$A$1001,customers!$G$1:$G$1001,0)</f>
        <v>United States</v>
      </c>
      <c r="I645" t="str">
        <f>_xlfn.XLOOKUP(D645,products!$A$1:$A$49,products!$B$1:$B$49,0)</f>
        <v>Exc</v>
      </c>
      <c r="J645" t="str">
        <f>_xlfn.XLOOKUP('data cleaned'!D645,products!$A$1:$A$49,products!$C$1:$C$49,0)</f>
        <v>L</v>
      </c>
      <c r="K645" s="5">
        <f>_xlfn.XLOOKUP('data cleaned'!D645,products!$A$1:$A$49,products!$D$1:$D$49,0)</f>
        <v>2.5</v>
      </c>
      <c r="L645" s="6">
        <f>_xlfn.XLOOKUP('data cleaned'!D645,products!$A$1:$A$49,products!$E$1:$E$49,0)</f>
        <v>34.154999999999994</v>
      </c>
      <c r="M645" s="6">
        <f>'data cleaned'!E645*'data cleaned'!L645</f>
        <v>102.46499999999997</v>
      </c>
      <c r="N645" t="str">
        <f t="shared" si="20"/>
        <v>Excelsa</v>
      </c>
      <c r="O645" t="str">
        <f t="shared" si="21"/>
        <v>Light</v>
      </c>
      <c r="P645" t="str">
        <f>_xlfn.XLOOKUP(worksheet[[#This Row],[Customer ID]],customers!$A$1:$A$1001,customers!$I$1:$I$1001,0)</f>
        <v>Yes</v>
      </c>
    </row>
    <row r="646" spans="1:16" x14ac:dyDescent="0.25">
      <c r="A646" s="2" t="s">
        <v>4128</v>
      </c>
      <c r="B646" s="4">
        <v>44694</v>
      </c>
      <c r="C646" s="2" t="s">
        <v>4129</v>
      </c>
      <c r="D646" t="s">
        <v>6149</v>
      </c>
      <c r="E646" s="2">
        <v>2</v>
      </c>
      <c r="F646" s="2" t="str">
        <f>_xlfn.XLOOKUP(C646,customers!$A$1:$A$1001,customers!$B$1:$B$1001,0)</f>
        <v>Marne Mingey</v>
      </c>
      <c r="G646" s="2" t="s">
        <v>6222</v>
      </c>
      <c r="H646" s="2" t="str">
        <f>_xlfn.XLOOKUP(C646,customers!$A$1:$A$1001,customers!$G$1:$G$1001,0)</f>
        <v>United States</v>
      </c>
      <c r="I646" t="str">
        <f>_xlfn.XLOOKUP(D646,products!$A$1:$A$49,products!$B$1:$B$49,0)</f>
        <v>Rob</v>
      </c>
      <c r="J646" t="str">
        <f>_xlfn.XLOOKUP('data cleaned'!D646,products!$A$1:$A$49,products!$C$1:$C$49,0)</f>
        <v>D</v>
      </c>
      <c r="K646" s="5">
        <f>_xlfn.XLOOKUP('data cleaned'!D646,products!$A$1:$A$49,products!$D$1:$D$49,0)</f>
        <v>2.5</v>
      </c>
      <c r="L646" s="6">
        <f>_xlfn.XLOOKUP('data cleaned'!D646,products!$A$1:$A$49,products!$E$1:$E$49,0)</f>
        <v>20.584999999999997</v>
      </c>
      <c r="M646" s="6">
        <f>'data cleaned'!E646*'data cleaned'!L646</f>
        <v>41.169999999999995</v>
      </c>
      <c r="N646" t="str">
        <f t="shared" si="20"/>
        <v>Robusta</v>
      </c>
      <c r="O646" t="str">
        <f t="shared" si="21"/>
        <v>Dark</v>
      </c>
      <c r="P646" t="str">
        <f>_xlfn.XLOOKUP(worksheet[[#This Row],[Customer ID]],customers!$A$1:$A$1001,customers!$I$1:$I$1001,0)</f>
        <v>No</v>
      </c>
    </row>
    <row r="647" spans="1:16" x14ac:dyDescent="0.25">
      <c r="A647" s="2" t="s">
        <v>4133</v>
      </c>
      <c r="B647" s="4">
        <v>44106</v>
      </c>
      <c r="C647" s="2" t="s">
        <v>4134</v>
      </c>
      <c r="D647" t="s">
        <v>6168</v>
      </c>
      <c r="E647" s="2">
        <v>3</v>
      </c>
      <c r="F647" s="2" t="str">
        <f>_xlfn.XLOOKUP(C647,customers!$A$1:$A$1001,customers!$B$1:$B$1001,0)</f>
        <v>Denny O' Ronan</v>
      </c>
      <c r="G647" s="2" t="s">
        <v>4136</v>
      </c>
      <c r="H647" s="2" t="str">
        <f>_xlfn.XLOOKUP(C647,customers!$A$1:$A$1001,customers!$G$1:$G$1001,0)</f>
        <v>United States</v>
      </c>
      <c r="I647" t="str">
        <f>_xlfn.XLOOKUP(D647,products!$A$1:$A$49,products!$B$1:$B$49,0)</f>
        <v>Ara</v>
      </c>
      <c r="J647" t="str">
        <f>_xlfn.XLOOKUP('data cleaned'!D647,products!$A$1:$A$49,products!$C$1:$C$49,0)</f>
        <v>D</v>
      </c>
      <c r="K647" s="5">
        <f>_xlfn.XLOOKUP('data cleaned'!D647,products!$A$1:$A$49,products!$D$1:$D$49,0)</f>
        <v>2.5</v>
      </c>
      <c r="L647" s="6">
        <f>_xlfn.XLOOKUP('data cleaned'!D647,products!$A$1:$A$49,products!$E$1:$E$49,0)</f>
        <v>22.884999999999998</v>
      </c>
      <c r="M647" s="6">
        <f>'data cleaned'!E647*'data cleaned'!L647</f>
        <v>68.655000000000001</v>
      </c>
      <c r="N647" t="str">
        <f t="shared" si="20"/>
        <v>Arabica</v>
      </c>
      <c r="O647" t="str">
        <f t="shared" si="21"/>
        <v>Dark</v>
      </c>
      <c r="P647" t="str">
        <f>_xlfn.XLOOKUP(worksheet[[#This Row],[Customer ID]],customers!$A$1:$A$1001,customers!$I$1:$I$1001,0)</f>
        <v>Yes</v>
      </c>
    </row>
    <row r="648" spans="1:16" x14ac:dyDescent="0.25">
      <c r="A648" s="2" t="s">
        <v>4139</v>
      </c>
      <c r="B648" s="4">
        <v>44532</v>
      </c>
      <c r="C648" s="2" t="s">
        <v>4140</v>
      </c>
      <c r="D648" t="s">
        <v>6147</v>
      </c>
      <c r="E648" s="2">
        <v>1</v>
      </c>
      <c r="F648" s="2" t="str">
        <f>_xlfn.XLOOKUP(C648,customers!$A$1:$A$1001,customers!$B$1:$B$1001,0)</f>
        <v>Dottie Rallin</v>
      </c>
      <c r="G648" s="2" t="s">
        <v>4142</v>
      </c>
      <c r="H648" s="2" t="str">
        <f>_xlfn.XLOOKUP(C648,customers!$A$1:$A$1001,customers!$G$1:$G$1001,0)</f>
        <v>United States</v>
      </c>
      <c r="I648" t="str">
        <f>_xlfn.XLOOKUP(D648,products!$A$1:$A$49,products!$B$1:$B$49,0)</f>
        <v>Ara</v>
      </c>
      <c r="J648" t="str">
        <f>_xlfn.XLOOKUP('data cleaned'!D648,products!$A$1:$A$49,products!$C$1:$C$49,0)</f>
        <v>D</v>
      </c>
      <c r="K648" s="5">
        <f>_xlfn.XLOOKUP('data cleaned'!D648,products!$A$1:$A$49,products!$D$1:$D$49,0)</f>
        <v>1</v>
      </c>
      <c r="L648" s="6">
        <f>_xlfn.XLOOKUP('data cleaned'!D648,products!$A$1:$A$49,products!$E$1:$E$49,0)</f>
        <v>9.9499999999999993</v>
      </c>
      <c r="M648" s="6">
        <f>'data cleaned'!E648*'data cleaned'!L648</f>
        <v>9.9499999999999993</v>
      </c>
      <c r="N648" t="str">
        <f t="shared" si="20"/>
        <v>Arabica</v>
      </c>
      <c r="O648" t="str">
        <f t="shared" si="21"/>
        <v>Dark</v>
      </c>
      <c r="P648" t="str">
        <f>_xlfn.XLOOKUP(worksheet[[#This Row],[Customer ID]],customers!$A$1:$A$1001,customers!$I$1:$I$1001,0)</f>
        <v>Yes</v>
      </c>
    </row>
    <row r="649" spans="1:16" x14ac:dyDescent="0.25">
      <c r="A649" s="2" t="s">
        <v>4145</v>
      </c>
      <c r="B649" s="4">
        <v>44502</v>
      </c>
      <c r="C649" s="2" t="s">
        <v>4146</v>
      </c>
      <c r="D649" t="s">
        <v>6161</v>
      </c>
      <c r="E649" s="2">
        <v>3</v>
      </c>
      <c r="F649" s="2" t="str">
        <f>_xlfn.XLOOKUP(C649,customers!$A$1:$A$1001,customers!$B$1:$B$1001,0)</f>
        <v>Ardith Chill</v>
      </c>
      <c r="G649" s="2" t="s">
        <v>4148</v>
      </c>
      <c r="H649" s="2" t="str">
        <f>_xlfn.XLOOKUP(C649,customers!$A$1:$A$1001,customers!$G$1:$G$1001,0)</f>
        <v>United Kingdom</v>
      </c>
      <c r="I649" t="str">
        <f>_xlfn.XLOOKUP(D649,products!$A$1:$A$49,products!$B$1:$B$49,0)</f>
        <v>Lib</v>
      </c>
      <c r="J649" t="str">
        <f>_xlfn.XLOOKUP('data cleaned'!D649,products!$A$1:$A$49,products!$C$1:$C$49,0)</f>
        <v>L</v>
      </c>
      <c r="K649" s="5">
        <f>_xlfn.XLOOKUP('data cleaned'!D649,products!$A$1:$A$49,products!$D$1:$D$49,0)</f>
        <v>0.5</v>
      </c>
      <c r="L649" s="6">
        <f>_xlfn.XLOOKUP('data cleaned'!D649,products!$A$1:$A$49,products!$E$1:$E$49,0)</f>
        <v>9.51</v>
      </c>
      <c r="M649" s="6">
        <f>'data cleaned'!E649*'data cleaned'!L649</f>
        <v>28.53</v>
      </c>
      <c r="N649" t="str">
        <f t="shared" si="20"/>
        <v>Liberica</v>
      </c>
      <c r="O649" t="str">
        <f t="shared" si="21"/>
        <v>Light</v>
      </c>
      <c r="P649" t="str">
        <f>_xlfn.XLOOKUP(worksheet[[#This Row],[Customer ID]],customers!$A$1:$A$1001,customers!$I$1:$I$1001,0)</f>
        <v>Yes</v>
      </c>
    </row>
    <row r="650" spans="1:16" x14ac:dyDescent="0.25">
      <c r="A650" s="2" t="s">
        <v>4151</v>
      </c>
      <c r="B650" s="4">
        <v>43884</v>
      </c>
      <c r="C650" s="2" t="s">
        <v>4152</v>
      </c>
      <c r="D650" t="s">
        <v>6163</v>
      </c>
      <c r="E650" s="2">
        <v>6</v>
      </c>
      <c r="F650" s="2" t="str">
        <f>_xlfn.XLOOKUP(C650,customers!$A$1:$A$1001,customers!$B$1:$B$1001,0)</f>
        <v>Tuckie Mathonnet</v>
      </c>
      <c r="G650" s="2" t="s">
        <v>4154</v>
      </c>
      <c r="H650" s="2" t="str">
        <f>_xlfn.XLOOKUP(C650,customers!$A$1:$A$1001,customers!$G$1:$G$1001,0)</f>
        <v>United States</v>
      </c>
      <c r="I650" t="str">
        <f>_xlfn.XLOOKUP(D650,products!$A$1:$A$49,products!$B$1:$B$49,0)</f>
        <v>Rob</v>
      </c>
      <c r="J650" t="str">
        <f>_xlfn.XLOOKUP('data cleaned'!D650,products!$A$1:$A$49,products!$C$1:$C$49,0)</f>
        <v>D</v>
      </c>
      <c r="K650" s="5">
        <f>_xlfn.XLOOKUP('data cleaned'!D650,products!$A$1:$A$49,products!$D$1:$D$49,0)</f>
        <v>0.2</v>
      </c>
      <c r="L650" s="6">
        <f>_xlfn.XLOOKUP('data cleaned'!D650,products!$A$1:$A$49,products!$E$1:$E$49,0)</f>
        <v>2.6849999999999996</v>
      </c>
      <c r="M650" s="6">
        <f>'data cleaned'!E650*'data cleaned'!L650</f>
        <v>16.11</v>
      </c>
      <c r="N650" t="str">
        <f t="shared" si="20"/>
        <v>Robusta</v>
      </c>
      <c r="O650" t="str">
        <f t="shared" si="21"/>
        <v>Dark</v>
      </c>
      <c r="P650" t="str">
        <f>_xlfn.XLOOKUP(worksheet[[#This Row],[Customer ID]],customers!$A$1:$A$1001,customers!$I$1:$I$1001,0)</f>
        <v>No</v>
      </c>
    </row>
    <row r="651" spans="1:16" x14ac:dyDescent="0.25">
      <c r="A651" s="2" t="s">
        <v>4157</v>
      </c>
      <c r="B651" s="4">
        <v>44015</v>
      </c>
      <c r="C651" s="2" t="s">
        <v>4158</v>
      </c>
      <c r="D651" t="s">
        <v>6170</v>
      </c>
      <c r="E651" s="2">
        <v>6</v>
      </c>
      <c r="F651" s="2" t="str">
        <f>_xlfn.XLOOKUP(C651,customers!$A$1:$A$1001,customers!$B$1:$B$1001,0)</f>
        <v>Charmane Denys</v>
      </c>
      <c r="G651" s="2" t="s">
        <v>4160</v>
      </c>
      <c r="H651" s="2" t="str">
        <f>_xlfn.XLOOKUP(C651,customers!$A$1:$A$1001,customers!$G$1:$G$1001,0)</f>
        <v>United Kingdom</v>
      </c>
      <c r="I651" t="str">
        <f>_xlfn.XLOOKUP(D651,products!$A$1:$A$49,products!$B$1:$B$49,0)</f>
        <v>Lib</v>
      </c>
      <c r="J651" t="str">
        <f>_xlfn.XLOOKUP('data cleaned'!D651,products!$A$1:$A$49,products!$C$1:$C$49,0)</f>
        <v>L</v>
      </c>
      <c r="K651" s="5">
        <f>_xlfn.XLOOKUP('data cleaned'!D651,products!$A$1:$A$49,products!$D$1:$D$49,0)</f>
        <v>1</v>
      </c>
      <c r="L651" s="6">
        <f>_xlfn.XLOOKUP('data cleaned'!D651,products!$A$1:$A$49,products!$E$1:$E$49,0)</f>
        <v>15.85</v>
      </c>
      <c r="M651" s="6">
        <f>'data cleaned'!E651*'data cleaned'!L651</f>
        <v>95.1</v>
      </c>
      <c r="N651" t="str">
        <f t="shared" si="20"/>
        <v>Liberica</v>
      </c>
      <c r="O651" t="str">
        <f t="shared" si="21"/>
        <v>Light</v>
      </c>
      <c r="P651" t="str">
        <f>_xlfn.XLOOKUP(worksheet[[#This Row],[Customer ID]],customers!$A$1:$A$1001,customers!$I$1:$I$1001,0)</f>
        <v>No</v>
      </c>
    </row>
    <row r="652" spans="1:16" x14ac:dyDescent="0.25">
      <c r="A652" s="2" t="s">
        <v>4163</v>
      </c>
      <c r="B652" s="4">
        <v>43507</v>
      </c>
      <c r="C652" s="2" t="s">
        <v>4164</v>
      </c>
      <c r="D652" t="s">
        <v>6172</v>
      </c>
      <c r="E652" s="2">
        <v>1</v>
      </c>
      <c r="F652" s="2" t="str">
        <f>_xlfn.XLOOKUP(C652,customers!$A$1:$A$1001,customers!$B$1:$B$1001,0)</f>
        <v>Cecily Stebbings</v>
      </c>
      <c r="G652" s="2" t="s">
        <v>4166</v>
      </c>
      <c r="H652" s="2" t="str">
        <f>_xlfn.XLOOKUP(C652,customers!$A$1:$A$1001,customers!$G$1:$G$1001,0)</f>
        <v>United States</v>
      </c>
      <c r="I652" t="str">
        <f>_xlfn.XLOOKUP(D652,products!$A$1:$A$49,products!$B$1:$B$49,0)</f>
        <v>Rob</v>
      </c>
      <c r="J652" t="str">
        <f>_xlfn.XLOOKUP('data cleaned'!D652,products!$A$1:$A$49,products!$C$1:$C$49,0)</f>
        <v>D</v>
      </c>
      <c r="K652" s="5">
        <f>_xlfn.XLOOKUP('data cleaned'!D652,products!$A$1:$A$49,products!$D$1:$D$49,0)</f>
        <v>0.5</v>
      </c>
      <c r="L652" s="6">
        <f>_xlfn.XLOOKUP('data cleaned'!D652,products!$A$1:$A$49,products!$E$1:$E$49,0)</f>
        <v>5.3699999999999992</v>
      </c>
      <c r="M652" s="6">
        <f>'data cleaned'!E652*'data cleaned'!L652</f>
        <v>5.3699999999999992</v>
      </c>
      <c r="N652" t="str">
        <f t="shared" si="20"/>
        <v>Robusta</v>
      </c>
      <c r="O652" t="str">
        <f t="shared" si="21"/>
        <v>Dark</v>
      </c>
      <c r="P652" t="str">
        <f>_xlfn.XLOOKUP(worksheet[[#This Row],[Customer ID]],customers!$A$1:$A$1001,customers!$I$1:$I$1001,0)</f>
        <v>Yes</v>
      </c>
    </row>
    <row r="653" spans="1:16" x14ac:dyDescent="0.25">
      <c r="A653" s="2" t="s">
        <v>4169</v>
      </c>
      <c r="B653" s="4">
        <v>44084</v>
      </c>
      <c r="C653" s="2" t="s">
        <v>4170</v>
      </c>
      <c r="D653" t="s">
        <v>6179</v>
      </c>
      <c r="E653" s="2">
        <v>4</v>
      </c>
      <c r="F653" s="2" t="str">
        <f>_xlfn.XLOOKUP(C653,customers!$A$1:$A$1001,customers!$B$1:$B$1001,0)</f>
        <v>Giana Tonnesen</v>
      </c>
      <c r="G653" s="2" t="s">
        <v>6222</v>
      </c>
      <c r="H653" s="2" t="str">
        <f>_xlfn.XLOOKUP(C653,customers!$A$1:$A$1001,customers!$G$1:$G$1001,0)</f>
        <v>United States</v>
      </c>
      <c r="I653" t="str">
        <f>_xlfn.XLOOKUP(D653,products!$A$1:$A$49,products!$B$1:$B$49,0)</f>
        <v>Rob</v>
      </c>
      <c r="J653" t="str">
        <f>_xlfn.XLOOKUP('data cleaned'!D653,products!$A$1:$A$49,products!$C$1:$C$49,0)</f>
        <v>L</v>
      </c>
      <c r="K653" s="5">
        <f>_xlfn.XLOOKUP('data cleaned'!D653,products!$A$1:$A$49,products!$D$1:$D$49,0)</f>
        <v>1</v>
      </c>
      <c r="L653" s="6">
        <f>_xlfn.XLOOKUP('data cleaned'!D653,products!$A$1:$A$49,products!$E$1:$E$49,0)</f>
        <v>11.95</v>
      </c>
      <c r="M653" s="6">
        <f>'data cleaned'!E653*'data cleaned'!L653</f>
        <v>47.8</v>
      </c>
      <c r="N653" t="str">
        <f t="shared" si="20"/>
        <v>Robusta</v>
      </c>
      <c r="O653" t="str">
        <f t="shared" si="21"/>
        <v>Light</v>
      </c>
      <c r="P653" t="str">
        <f>_xlfn.XLOOKUP(worksheet[[#This Row],[Customer ID]],customers!$A$1:$A$1001,customers!$I$1:$I$1001,0)</f>
        <v>No</v>
      </c>
    </row>
    <row r="654" spans="1:16" x14ac:dyDescent="0.25">
      <c r="A654" s="2" t="s">
        <v>4174</v>
      </c>
      <c r="B654" s="4">
        <v>43892</v>
      </c>
      <c r="C654" s="2" t="s">
        <v>4175</v>
      </c>
      <c r="D654" t="s">
        <v>6170</v>
      </c>
      <c r="E654" s="2">
        <v>4</v>
      </c>
      <c r="F654" s="2" t="str">
        <f>_xlfn.XLOOKUP(C654,customers!$A$1:$A$1001,customers!$B$1:$B$1001,0)</f>
        <v>Rhetta Zywicki</v>
      </c>
      <c r="G654" s="2" t="s">
        <v>4177</v>
      </c>
      <c r="H654" s="2" t="str">
        <f>_xlfn.XLOOKUP(C654,customers!$A$1:$A$1001,customers!$G$1:$G$1001,0)</f>
        <v>Ireland</v>
      </c>
      <c r="I654" t="str">
        <f>_xlfn.XLOOKUP(D654,products!$A$1:$A$49,products!$B$1:$B$49,0)</f>
        <v>Lib</v>
      </c>
      <c r="J654" t="str">
        <f>_xlfn.XLOOKUP('data cleaned'!D654,products!$A$1:$A$49,products!$C$1:$C$49,0)</f>
        <v>L</v>
      </c>
      <c r="K654" s="5">
        <f>_xlfn.XLOOKUP('data cleaned'!D654,products!$A$1:$A$49,products!$D$1:$D$49,0)</f>
        <v>1</v>
      </c>
      <c r="L654" s="6">
        <f>_xlfn.XLOOKUP('data cleaned'!D654,products!$A$1:$A$49,products!$E$1:$E$49,0)</f>
        <v>15.85</v>
      </c>
      <c r="M654" s="6">
        <f>'data cleaned'!E654*'data cleaned'!L654</f>
        <v>63.4</v>
      </c>
      <c r="N654" t="str">
        <f t="shared" si="20"/>
        <v>Liberica</v>
      </c>
      <c r="O654" t="str">
        <f t="shared" si="21"/>
        <v>Light</v>
      </c>
      <c r="P654" t="str">
        <f>_xlfn.XLOOKUP(worksheet[[#This Row],[Customer ID]],customers!$A$1:$A$1001,customers!$I$1:$I$1001,0)</f>
        <v>No</v>
      </c>
    </row>
    <row r="655" spans="1:16" x14ac:dyDescent="0.25">
      <c r="A655" s="2" t="s">
        <v>4179</v>
      </c>
      <c r="B655" s="4">
        <v>44375</v>
      </c>
      <c r="C655" s="2" t="s">
        <v>4180</v>
      </c>
      <c r="D655" t="s">
        <v>6175</v>
      </c>
      <c r="E655" s="2">
        <v>4</v>
      </c>
      <c r="F655" s="2" t="str">
        <f>_xlfn.XLOOKUP(C655,customers!$A$1:$A$1001,customers!$B$1:$B$1001,0)</f>
        <v>Almeria Burgett</v>
      </c>
      <c r="G655" s="2" t="s">
        <v>4182</v>
      </c>
      <c r="H655" s="2" t="str">
        <f>_xlfn.XLOOKUP(C655,customers!$A$1:$A$1001,customers!$G$1:$G$1001,0)</f>
        <v>United States</v>
      </c>
      <c r="I655" t="str">
        <f>_xlfn.XLOOKUP(D655,products!$A$1:$A$49,products!$B$1:$B$49,0)</f>
        <v>Ara</v>
      </c>
      <c r="J655" t="str">
        <f>_xlfn.XLOOKUP('data cleaned'!D655,products!$A$1:$A$49,products!$C$1:$C$49,0)</f>
        <v>M</v>
      </c>
      <c r="K655" s="5">
        <f>_xlfn.XLOOKUP('data cleaned'!D655,products!$A$1:$A$49,products!$D$1:$D$49,0)</f>
        <v>2.5</v>
      </c>
      <c r="L655" s="6">
        <f>_xlfn.XLOOKUP('data cleaned'!D655,products!$A$1:$A$49,products!$E$1:$E$49,0)</f>
        <v>25.874999999999996</v>
      </c>
      <c r="M655" s="6">
        <f>'data cleaned'!E655*'data cleaned'!L655</f>
        <v>103.49999999999999</v>
      </c>
      <c r="N655" t="str">
        <f t="shared" si="20"/>
        <v>Arabica</v>
      </c>
      <c r="O655" t="str">
        <f t="shared" si="21"/>
        <v>Medium</v>
      </c>
      <c r="P655" t="str">
        <f>_xlfn.XLOOKUP(worksheet[[#This Row],[Customer ID]],customers!$A$1:$A$1001,customers!$I$1:$I$1001,0)</f>
        <v>No</v>
      </c>
    </row>
    <row r="656" spans="1:16" x14ac:dyDescent="0.25">
      <c r="A656" s="2" t="s">
        <v>4185</v>
      </c>
      <c r="B656" s="4">
        <v>43476</v>
      </c>
      <c r="C656" s="2" t="s">
        <v>4186</v>
      </c>
      <c r="D656" t="s">
        <v>6168</v>
      </c>
      <c r="E656" s="2">
        <v>3</v>
      </c>
      <c r="F656" s="2" t="str">
        <f>_xlfn.XLOOKUP(C656,customers!$A$1:$A$1001,customers!$B$1:$B$1001,0)</f>
        <v>Marvin Malloy</v>
      </c>
      <c r="G656" s="2" t="s">
        <v>4188</v>
      </c>
      <c r="H656" s="2" t="str">
        <f>_xlfn.XLOOKUP(C656,customers!$A$1:$A$1001,customers!$G$1:$G$1001,0)</f>
        <v>United States</v>
      </c>
      <c r="I656" t="str">
        <f>_xlfn.XLOOKUP(D656,products!$A$1:$A$49,products!$B$1:$B$49,0)</f>
        <v>Ara</v>
      </c>
      <c r="J656" t="str">
        <f>_xlfn.XLOOKUP('data cleaned'!D656,products!$A$1:$A$49,products!$C$1:$C$49,0)</f>
        <v>D</v>
      </c>
      <c r="K656" s="5">
        <f>_xlfn.XLOOKUP('data cleaned'!D656,products!$A$1:$A$49,products!$D$1:$D$49,0)</f>
        <v>2.5</v>
      </c>
      <c r="L656" s="6">
        <f>_xlfn.XLOOKUP('data cleaned'!D656,products!$A$1:$A$49,products!$E$1:$E$49,0)</f>
        <v>22.884999999999998</v>
      </c>
      <c r="M656" s="6">
        <f>'data cleaned'!E656*'data cleaned'!L656</f>
        <v>68.655000000000001</v>
      </c>
      <c r="N656" t="str">
        <f t="shared" si="20"/>
        <v>Arabica</v>
      </c>
      <c r="O656" t="str">
        <f t="shared" si="21"/>
        <v>Dark</v>
      </c>
      <c r="P656" t="str">
        <f>_xlfn.XLOOKUP(worksheet[[#This Row],[Customer ID]],customers!$A$1:$A$1001,customers!$I$1:$I$1001,0)</f>
        <v>No</v>
      </c>
    </row>
    <row r="657" spans="1:16" x14ac:dyDescent="0.25">
      <c r="A657" s="2" t="s">
        <v>4191</v>
      </c>
      <c r="B657" s="4">
        <v>43728</v>
      </c>
      <c r="C657" s="2" t="s">
        <v>4192</v>
      </c>
      <c r="D657" t="s">
        <v>6151</v>
      </c>
      <c r="E657" s="2">
        <v>2</v>
      </c>
      <c r="F657" s="2" t="str">
        <f>_xlfn.XLOOKUP(C657,customers!$A$1:$A$1001,customers!$B$1:$B$1001,0)</f>
        <v>Maxim McParland</v>
      </c>
      <c r="G657" s="2" t="s">
        <v>4194</v>
      </c>
      <c r="H657" s="2" t="str">
        <f>_xlfn.XLOOKUP(C657,customers!$A$1:$A$1001,customers!$G$1:$G$1001,0)</f>
        <v>United States</v>
      </c>
      <c r="I657" t="str">
        <f>_xlfn.XLOOKUP(D657,products!$A$1:$A$49,products!$B$1:$B$49,0)</f>
        <v>Rob</v>
      </c>
      <c r="J657" t="str">
        <f>_xlfn.XLOOKUP('data cleaned'!D657,products!$A$1:$A$49,products!$C$1:$C$49,0)</f>
        <v>M</v>
      </c>
      <c r="K657" s="5">
        <f>_xlfn.XLOOKUP('data cleaned'!D657,products!$A$1:$A$49,products!$D$1:$D$49,0)</f>
        <v>2.5</v>
      </c>
      <c r="L657" s="6">
        <f>_xlfn.XLOOKUP('data cleaned'!D657,products!$A$1:$A$49,products!$E$1:$E$49,0)</f>
        <v>22.884999999999998</v>
      </c>
      <c r="M657" s="6">
        <f>'data cleaned'!E657*'data cleaned'!L657</f>
        <v>45.769999999999996</v>
      </c>
      <c r="N657" t="str">
        <f t="shared" si="20"/>
        <v>Robusta</v>
      </c>
      <c r="O657" t="str">
        <f t="shared" si="21"/>
        <v>Medium</v>
      </c>
      <c r="P657" t="str">
        <f>_xlfn.XLOOKUP(worksheet[[#This Row],[Customer ID]],customers!$A$1:$A$1001,customers!$I$1:$I$1001,0)</f>
        <v>Yes</v>
      </c>
    </row>
    <row r="658" spans="1:16" x14ac:dyDescent="0.25">
      <c r="A658" s="2" t="s">
        <v>4196</v>
      </c>
      <c r="B658" s="4">
        <v>44485</v>
      </c>
      <c r="C658" s="2" t="s">
        <v>4197</v>
      </c>
      <c r="D658" t="s">
        <v>6143</v>
      </c>
      <c r="E658" s="2">
        <v>4</v>
      </c>
      <c r="F658" s="2" t="str">
        <f>_xlfn.XLOOKUP(C658,customers!$A$1:$A$1001,customers!$B$1:$B$1001,0)</f>
        <v>Sylas Jennaroy</v>
      </c>
      <c r="G658" s="2" t="s">
        <v>4199</v>
      </c>
      <c r="H658" s="2" t="str">
        <f>_xlfn.XLOOKUP(C658,customers!$A$1:$A$1001,customers!$G$1:$G$1001,0)</f>
        <v>United States</v>
      </c>
      <c r="I658" t="str">
        <f>_xlfn.XLOOKUP(D658,products!$A$1:$A$49,products!$B$1:$B$49,0)</f>
        <v>Lib</v>
      </c>
      <c r="J658" t="str">
        <f>_xlfn.XLOOKUP('data cleaned'!D658,products!$A$1:$A$49,products!$C$1:$C$49,0)</f>
        <v>D</v>
      </c>
      <c r="K658" s="5">
        <f>_xlfn.XLOOKUP('data cleaned'!D658,products!$A$1:$A$49,products!$D$1:$D$49,0)</f>
        <v>1</v>
      </c>
      <c r="L658" s="6">
        <f>_xlfn.XLOOKUP('data cleaned'!D658,products!$A$1:$A$49,products!$E$1:$E$49,0)</f>
        <v>12.95</v>
      </c>
      <c r="M658" s="6">
        <f>'data cleaned'!E658*'data cleaned'!L658</f>
        <v>51.8</v>
      </c>
      <c r="N658" t="str">
        <f t="shared" si="20"/>
        <v>Liberica</v>
      </c>
      <c r="O658" t="str">
        <f t="shared" si="21"/>
        <v>Dark</v>
      </c>
      <c r="P658" t="str">
        <f>_xlfn.XLOOKUP(worksheet[[#This Row],[Customer ID]],customers!$A$1:$A$1001,customers!$I$1:$I$1001,0)</f>
        <v>No</v>
      </c>
    </row>
    <row r="659" spans="1:16" x14ac:dyDescent="0.25">
      <c r="A659" s="2" t="s">
        <v>4201</v>
      </c>
      <c r="B659" s="4">
        <v>43831</v>
      </c>
      <c r="C659" s="2" t="s">
        <v>4202</v>
      </c>
      <c r="D659" t="s">
        <v>6157</v>
      </c>
      <c r="E659" s="2">
        <v>2</v>
      </c>
      <c r="F659" s="2" t="str">
        <f>_xlfn.XLOOKUP(C659,customers!$A$1:$A$1001,customers!$B$1:$B$1001,0)</f>
        <v>Wren Place</v>
      </c>
      <c r="G659" s="2" t="s">
        <v>4204</v>
      </c>
      <c r="H659" s="2" t="str">
        <f>_xlfn.XLOOKUP(C659,customers!$A$1:$A$1001,customers!$G$1:$G$1001,0)</f>
        <v>United States</v>
      </c>
      <c r="I659" t="str">
        <f>_xlfn.XLOOKUP(D659,products!$A$1:$A$49,products!$B$1:$B$49,0)</f>
        <v>Ara</v>
      </c>
      <c r="J659" t="str">
        <f>_xlfn.XLOOKUP('data cleaned'!D659,products!$A$1:$A$49,products!$C$1:$C$49,0)</f>
        <v>M</v>
      </c>
      <c r="K659" s="5">
        <f>_xlfn.XLOOKUP('data cleaned'!D659,products!$A$1:$A$49,products!$D$1:$D$49,0)</f>
        <v>0.5</v>
      </c>
      <c r="L659" s="6">
        <f>_xlfn.XLOOKUP('data cleaned'!D659,products!$A$1:$A$49,products!$E$1:$E$49,0)</f>
        <v>6.75</v>
      </c>
      <c r="M659" s="6">
        <f>'data cleaned'!E659*'data cleaned'!L659</f>
        <v>13.5</v>
      </c>
      <c r="N659" t="str">
        <f t="shared" si="20"/>
        <v>Arabica</v>
      </c>
      <c r="O659" t="str">
        <f t="shared" si="21"/>
        <v>Medium</v>
      </c>
      <c r="P659" t="str">
        <f>_xlfn.XLOOKUP(worksheet[[#This Row],[Customer ID]],customers!$A$1:$A$1001,customers!$I$1:$I$1001,0)</f>
        <v>Yes</v>
      </c>
    </row>
    <row r="660" spans="1:16" x14ac:dyDescent="0.25">
      <c r="A660" s="2" t="s">
        <v>4207</v>
      </c>
      <c r="B660" s="4">
        <v>44630</v>
      </c>
      <c r="C660" s="2" t="s">
        <v>4263</v>
      </c>
      <c r="D660" t="s">
        <v>6139</v>
      </c>
      <c r="E660" s="2">
        <v>3</v>
      </c>
      <c r="F660" s="2" t="str">
        <f>_xlfn.XLOOKUP(C660,customers!$A$1:$A$1001,customers!$B$1:$B$1001,0)</f>
        <v>Janella Millett</v>
      </c>
      <c r="G660" s="2" t="s">
        <v>4265</v>
      </c>
      <c r="H660" s="2" t="str">
        <f>_xlfn.XLOOKUP(C660,customers!$A$1:$A$1001,customers!$G$1:$G$1001,0)</f>
        <v>United States</v>
      </c>
      <c r="I660" t="str">
        <f>_xlfn.XLOOKUP(D660,products!$A$1:$A$49,products!$B$1:$B$49,0)</f>
        <v>Exc</v>
      </c>
      <c r="J660" t="str">
        <f>_xlfn.XLOOKUP('data cleaned'!D660,products!$A$1:$A$49,products!$C$1:$C$49,0)</f>
        <v>M</v>
      </c>
      <c r="K660" s="5">
        <f>_xlfn.XLOOKUP('data cleaned'!D660,products!$A$1:$A$49,products!$D$1:$D$49,0)</f>
        <v>0.5</v>
      </c>
      <c r="L660" s="6">
        <f>_xlfn.XLOOKUP('data cleaned'!D660,products!$A$1:$A$49,products!$E$1:$E$49,0)</f>
        <v>8.25</v>
      </c>
      <c r="M660" s="6">
        <f>'data cleaned'!E660*'data cleaned'!L660</f>
        <v>24.75</v>
      </c>
      <c r="N660" t="str">
        <f t="shared" si="20"/>
        <v>Excelsa</v>
      </c>
      <c r="O660" t="str">
        <f t="shared" si="21"/>
        <v>Medium</v>
      </c>
      <c r="P660" t="str">
        <f>_xlfn.XLOOKUP(worksheet[[#This Row],[Customer ID]],customers!$A$1:$A$1001,customers!$I$1:$I$1001,0)</f>
        <v>Yes</v>
      </c>
    </row>
    <row r="661" spans="1:16" x14ac:dyDescent="0.25">
      <c r="A661" s="2" t="s">
        <v>4211</v>
      </c>
      <c r="B661" s="4">
        <v>44693</v>
      </c>
      <c r="C661" s="2" t="s">
        <v>4212</v>
      </c>
      <c r="D661" t="s">
        <v>6168</v>
      </c>
      <c r="E661" s="2">
        <v>2</v>
      </c>
      <c r="F661" s="2" t="str">
        <f>_xlfn.XLOOKUP(C661,customers!$A$1:$A$1001,customers!$B$1:$B$1001,0)</f>
        <v>Dollie Gadsden</v>
      </c>
      <c r="G661" s="2" t="s">
        <v>4214</v>
      </c>
      <c r="H661" s="2" t="str">
        <f>_xlfn.XLOOKUP(C661,customers!$A$1:$A$1001,customers!$G$1:$G$1001,0)</f>
        <v>Ireland</v>
      </c>
      <c r="I661" t="str">
        <f>_xlfn.XLOOKUP(D661,products!$A$1:$A$49,products!$B$1:$B$49,0)</f>
        <v>Ara</v>
      </c>
      <c r="J661" t="str">
        <f>_xlfn.XLOOKUP('data cleaned'!D661,products!$A$1:$A$49,products!$C$1:$C$49,0)</f>
        <v>D</v>
      </c>
      <c r="K661" s="5">
        <f>_xlfn.XLOOKUP('data cleaned'!D661,products!$A$1:$A$49,products!$D$1:$D$49,0)</f>
        <v>2.5</v>
      </c>
      <c r="L661" s="6">
        <f>_xlfn.XLOOKUP('data cleaned'!D661,products!$A$1:$A$49,products!$E$1:$E$49,0)</f>
        <v>22.884999999999998</v>
      </c>
      <c r="M661" s="6">
        <f>'data cleaned'!E661*'data cleaned'!L661</f>
        <v>45.769999999999996</v>
      </c>
      <c r="N661" t="str">
        <f t="shared" si="20"/>
        <v>Arabica</v>
      </c>
      <c r="O661" t="str">
        <f t="shared" si="21"/>
        <v>Dark</v>
      </c>
      <c r="P661" t="str">
        <f>_xlfn.XLOOKUP(worksheet[[#This Row],[Customer ID]],customers!$A$1:$A$1001,customers!$I$1:$I$1001,0)</f>
        <v>Yes</v>
      </c>
    </row>
    <row r="662" spans="1:16" x14ac:dyDescent="0.25">
      <c r="A662" s="2" t="s">
        <v>4217</v>
      </c>
      <c r="B662" s="4">
        <v>44084</v>
      </c>
      <c r="C662" s="2" t="s">
        <v>4218</v>
      </c>
      <c r="D662" t="s">
        <v>6176</v>
      </c>
      <c r="E662" s="2">
        <v>6</v>
      </c>
      <c r="F662" s="2" t="str">
        <f>_xlfn.XLOOKUP(C662,customers!$A$1:$A$1001,customers!$B$1:$B$1001,0)</f>
        <v>Val Wakelin</v>
      </c>
      <c r="G662" s="2" t="s">
        <v>4220</v>
      </c>
      <c r="H662" s="2" t="str">
        <f>_xlfn.XLOOKUP(C662,customers!$A$1:$A$1001,customers!$G$1:$G$1001,0)</f>
        <v>United States</v>
      </c>
      <c r="I662" t="str">
        <f>_xlfn.XLOOKUP(D662,products!$A$1:$A$49,products!$B$1:$B$49,0)</f>
        <v>Exc</v>
      </c>
      <c r="J662" t="str">
        <f>_xlfn.XLOOKUP('data cleaned'!D662,products!$A$1:$A$49,products!$C$1:$C$49,0)</f>
        <v>L</v>
      </c>
      <c r="K662" s="5">
        <f>_xlfn.XLOOKUP('data cleaned'!D662,products!$A$1:$A$49,products!$D$1:$D$49,0)</f>
        <v>0.5</v>
      </c>
      <c r="L662" s="6">
        <f>_xlfn.XLOOKUP('data cleaned'!D662,products!$A$1:$A$49,products!$E$1:$E$49,0)</f>
        <v>8.91</v>
      </c>
      <c r="M662" s="6">
        <f>'data cleaned'!E662*'data cleaned'!L662</f>
        <v>53.46</v>
      </c>
      <c r="N662" t="str">
        <f t="shared" si="20"/>
        <v>Excelsa</v>
      </c>
      <c r="O662" t="str">
        <f t="shared" si="21"/>
        <v>Light</v>
      </c>
      <c r="P662" t="str">
        <f>_xlfn.XLOOKUP(worksheet[[#This Row],[Customer ID]],customers!$A$1:$A$1001,customers!$I$1:$I$1001,0)</f>
        <v>No</v>
      </c>
    </row>
    <row r="663" spans="1:16" x14ac:dyDescent="0.25">
      <c r="A663" s="2" t="s">
        <v>4223</v>
      </c>
      <c r="B663" s="4">
        <v>44485</v>
      </c>
      <c r="C663" s="2" t="s">
        <v>4224</v>
      </c>
      <c r="D663" t="s">
        <v>6152</v>
      </c>
      <c r="E663" s="2">
        <v>6</v>
      </c>
      <c r="F663" s="2" t="str">
        <f>_xlfn.XLOOKUP(C663,customers!$A$1:$A$1001,customers!$B$1:$B$1001,0)</f>
        <v>Annie Campsall</v>
      </c>
      <c r="G663" s="2" t="s">
        <v>4226</v>
      </c>
      <c r="H663" s="2" t="str">
        <f>_xlfn.XLOOKUP(C663,customers!$A$1:$A$1001,customers!$G$1:$G$1001,0)</f>
        <v>United States</v>
      </c>
      <c r="I663" t="str">
        <f>_xlfn.XLOOKUP(D663,products!$A$1:$A$49,products!$B$1:$B$49,0)</f>
        <v>Ara</v>
      </c>
      <c r="J663" t="str">
        <f>_xlfn.XLOOKUP('data cleaned'!D663,products!$A$1:$A$49,products!$C$1:$C$49,0)</f>
        <v>M</v>
      </c>
      <c r="K663" s="5">
        <f>_xlfn.XLOOKUP('data cleaned'!D663,products!$A$1:$A$49,products!$D$1:$D$49,0)</f>
        <v>0.2</v>
      </c>
      <c r="L663" s="6">
        <f>_xlfn.XLOOKUP('data cleaned'!D663,products!$A$1:$A$49,products!$E$1:$E$49,0)</f>
        <v>3.375</v>
      </c>
      <c r="M663" s="6">
        <f>'data cleaned'!E663*'data cleaned'!L663</f>
        <v>20.25</v>
      </c>
      <c r="N663" t="str">
        <f t="shared" si="20"/>
        <v>Arabica</v>
      </c>
      <c r="O663" t="str">
        <f t="shared" si="21"/>
        <v>Medium</v>
      </c>
      <c r="P663" t="str">
        <f>_xlfn.XLOOKUP(worksheet[[#This Row],[Customer ID]],customers!$A$1:$A$1001,customers!$I$1:$I$1001,0)</f>
        <v>Yes</v>
      </c>
    </row>
    <row r="664" spans="1:16" x14ac:dyDescent="0.25">
      <c r="A664" s="2" t="s">
        <v>4229</v>
      </c>
      <c r="B664" s="4">
        <v>44364</v>
      </c>
      <c r="C664" s="2" t="s">
        <v>4230</v>
      </c>
      <c r="D664" t="s">
        <v>6165</v>
      </c>
      <c r="E664" s="2">
        <v>5</v>
      </c>
      <c r="F664" s="2" t="str">
        <f>_xlfn.XLOOKUP(C664,customers!$A$1:$A$1001,customers!$B$1:$B$1001,0)</f>
        <v>Shermy Moseby</v>
      </c>
      <c r="G664" s="2" t="s">
        <v>4232</v>
      </c>
      <c r="H664" s="2" t="str">
        <f>_xlfn.XLOOKUP(C664,customers!$A$1:$A$1001,customers!$G$1:$G$1001,0)</f>
        <v>United States</v>
      </c>
      <c r="I664" t="str">
        <f>_xlfn.XLOOKUP(D664,products!$A$1:$A$49,products!$B$1:$B$49,0)</f>
        <v>Lib</v>
      </c>
      <c r="J664" t="str">
        <f>_xlfn.XLOOKUP('data cleaned'!D664,products!$A$1:$A$49,products!$C$1:$C$49,0)</f>
        <v>D</v>
      </c>
      <c r="K664" s="5">
        <f>_xlfn.XLOOKUP('data cleaned'!D664,products!$A$1:$A$49,products!$D$1:$D$49,0)</f>
        <v>2.5</v>
      </c>
      <c r="L664" s="6">
        <f>_xlfn.XLOOKUP('data cleaned'!D664,products!$A$1:$A$49,products!$E$1:$E$49,0)</f>
        <v>29.784999999999997</v>
      </c>
      <c r="M664" s="6">
        <f>'data cleaned'!E664*'data cleaned'!L664</f>
        <v>148.92499999999998</v>
      </c>
      <c r="N664" t="str">
        <f t="shared" si="20"/>
        <v>Liberica</v>
      </c>
      <c r="O664" t="str">
        <f t="shared" si="21"/>
        <v>Dark</v>
      </c>
      <c r="P664" t="str">
        <f>_xlfn.XLOOKUP(worksheet[[#This Row],[Customer ID]],customers!$A$1:$A$1001,customers!$I$1:$I$1001,0)</f>
        <v>No</v>
      </c>
    </row>
    <row r="665" spans="1:16" x14ac:dyDescent="0.25">
      <c r="A665" s="2" t="s">
        <v>4234</v>
      </c>
      <c r="B665" s="4">
        <v>43554</v>
      </c>
      <c r="C665" s="2" t="s">
        <v>4235</v>
      </c>
      <c r="D665" t="s">
        <v>6155</v>
      </c>
      <c r="E665" s="2">
        <v>6</v>
      </c>
      <c r="F665" s="2" t="str">
        <f>_xlfn.XLOOKUP(C665,customers!$A$1:$A$1001,customers!$B$1:$B$1001,0)</f>
        <v>Corrie Wass</v>
      </c>
      <c r="G665" s="2" t="s">
        <v>4237</v>
      </c>
      <c r="H665" s="2" t="str">
        <f>_xlfn.XLOOKUP(C665,customers!$A$1:$A$1001,customers!$G$1:$G$1001,0)</f>
        <v>United States</v>
      </c>
      <c r="I665" t="str">
        <f>_xlfn.XLOOKUP(D665,products!$A$1:$A$49,products!$B$1:$B$49,0)</f>
        <v>Ara</v>
      </c>
      <c r="J665" t="str">
        <f>_xlfn.XLOOKUP('data cleaned'!D665,products!$A$1:$A$49,products!$C$1:$C$49,0)</f>
        <v>M</v>
      </c>
      <c r="K665" s="5">
        <f>_xlfn.XLOOKUP('data cleaned'!D665,products!$A$1:$A$49,products!$D$1:$D$49,0)</f>
        <v>1</v>
      </c>
      <c r="L665" s="6">
        <f>_xlfn.XLOOKUP('data cleaned'!D665,products!$A$1:$A$49,products!$E$1:$E$49,0)</f>
        <v>11.25</v>
      </c>
      <c r="M665" s="6">
        <f>'data cleaned'!E665*'data cleaned'!L665</f>
        <v>67.5</v>
      </c>
      <c r="N665" t="str">
        <f t="shared" si="20"/>
        <v>Arabica</v>
      </c>
      <c r="O665" t="str">
        <f t="shared" si="21"/>
        <v>Medium</v>
      </c>
      <c r="P665" t="str">
        <f>_xlfn.XLOOKUP(worksheet[[#This Row],[Customer ID]],customers!$A$1:$A$1001,customers!$I$1:$I$1001,0)</f>
        <v>No</v>
      </c>
    </row>
    <row r="666" spans="1:16" x14ac:dyDescent="0.25">
      <c r="A666" s="2" t="s">
        <v>4239</v>
      </c>
      <c r="B666" s="4">
        <v>44549</v>
      </c>
      <c r="C666" s="2" t="s">
        <v>4240</v>
      </c>
      <c r="D666" t="s">
        <v>6183</v>
      </c>
      <c r="E666" s="2">
        <v>6</v>
      </c>
      <c r="F666" s="2" t="str">
        <f>_xlfn.XLOOKUP(C666,customers!$A$1:$A$1001,customers!$B$1:$B$1001,0)</f>
        <v>Ira Sjostrom</v>
      </c>
      <c r="G666" s="2" t="s">
        <v>4242</v>
      </c>
      <c r="H666" s="2" t="str">
        <f>_xlfn.XLOOKUP(C666,customers!$A$1:$A$1001,customers!$G$1:$G$1001,0)</f>
        <v>United States</v>
      </c>
      <c r="I666" t="str">
        <f>_xlfn.XLOOKUP(D666,products!$A$1:$A$49,products!$B$1:$B$49,0)</f>
        <v>Exc</v>
      </c>
      <c r="J666" t="str">
        <f>_xlfn.XLOOKUP('data cleaned'!D666,products!$A$1:$A$49,products!$C$1:$C$49,0)</f>
        <v>D</v>
      </c>
      <c r="K666" s="5">
        <f>_xlfn.XLOOKUP('data cleaned'!D666,products!$A$1:$A$49,products!$D$1:$D$49,0)</f>
        <v>1</v>
      </c>
      <c r="L666" s="6">
        <f>_xlfn.XLOOKUP('data cleaned'!D666,products!$A$1:$A$49,products!$E$1:$E$49,0)</f>
        <v>12.15</v>
      </c>
      <c r="M666" s="6">
        <f>'data cleaned'!E666*'data cleaned'!L666</f>
        <v>72.900000000000006</v>
      </c>
      <c r="N666" t="str">
        <f t="shared" si="20"/>
        <v>Excelsa</v>
      </c>
      <c r="O666" t="str">
        <f t="shared" si="21"/>
        <v>Dark</v>
      </c>
      <c r="P666" t="str">
        <f>_xlfn.XLOOKUP(worksheet[[#This Row],[Customer ID]],customers!$A$1:$A$1001,customers!$I$1:$I$1001,0)</f>
        <v>No</v>
      </c>
    </row>
    <row r="667" spans="1:16" x14ac:dyDescent="0.25">
      <c r="A667" s="2" t="s">
        <v>4239</v>
      </c>
      <c r="B667" s="4">
        <v>44549</v>
      </c>
      <c r="C667" s="2" t="s">
        <v>4240</v>
      </c>
      <c r="D667" t="s">
        <v>6150</v>
      </c>
      <c r="E667" s="2">
        <v>2</v>
      </c>
      <c r="F667" s="2" t="str">
        <f>_xlfn.XLOOKUP(C667,customers!$A$1:$A$1001,customers!$B$1:$B$1001,0)</f>
        <v>Ira Sjostrom</v>
      </c>
      <c r="G667" s="2" t="s">
        <v>4242</v>
      </c>
      <c r="H667" s="2" t="str">
        <f>_xlfn.XLOOKUP(C667,customers!$A$1:$A$1001,customers!$G$1:$G$1001,0)</f>
        <v>United States</v>
      </c>
      <c r="I667" t="str">
        <f>_xlfn.XLOOKUP(D667,products!$A$1:$A$49,products!$B$1:$B$49,0)</f>
        <v>Lib</v>
      </c>
      <c r="J667" t="str">
        <f>_xlfn.XLOOKUP('data cleaned'!D667,products!$A$1:$A$49,products!$C$1:$C$49,0)</f>
        <v>D</v>
      </c>
      <c r="K667" s="5">
        <f>_xlfn.XLOOKUP('data cleaned'!D667,products!$A$1:$A$49,products!$D$1:$D$49,0)</f>
        <v>0.2</v>
      </c>
      <c r="L667" s="6">
        <f>_xlfn.XLOOKUP('data cleaned'!D667,products!$A$1:$A$49,products!$E$1:$E$49,0)</f>
        <v>3.8849999999999998</v>
      </c>
      <c r="M667" s="6">
        <f>'data cleaned'!E667*'data cleaned'!L667</f>
        <v>7.77</v>
      </c>
      <c r="N667" t="str">
        <f t="shared" si="20"/>
        <v>Liberica</v>
      </c>
      <c r="O667" t="str">
        <f t="shared" si="21"/>
        <v>Dark</v>
      </c>
      <c r="P667" t="str">
        <f>_xlfn.XLOOKUP(worksheet[[#This Row],[Customer ID]],customers!$A$1:$A$1001,customers!$I$1:$I$1001,0)</f>
        <v>No</v>
      </c>
    </row>
    <row r="668" spans="1:16" x14ac:dyDescent="0.25">
      <c r="A668" s="2" t="s">
        <v>4250</v>
      </c>
      <c r="B668" s="4">
        <v>43987</v>
      </c>
      <c r="C668" s="2" t="s">
        <v>4251</v>
      </c>
      <c r="D668" t="s">
        <v>6168</v>
      </c>
      <c r="E668" s="2">
        <v>4</v>
      </c>
      <c r="F668" s="2" t="str">
        <f>_xlfn.XLOOKUP(C668,customers!$A$1:$A$1001,customers!$B$1:$B$1001,0)</f>
        <v>Jermaine Branchett</v>
      </c>
      <c r="G668" s="2" t="s">
        <v>4253</v>
      </c>
      <c r="H668" s="2" t="str">
        <f>_xlfn.XLOOKUP(C668,customers!$A$1:$A$1001,customers!$G$1:$G$1001,0)</f>
        <v>United States</v>
      </c>
      <c r="I668" t="str">
        <f>_xlfn.XLOOKUP(D668,products!$A$1:$A$49,products!$B$1:$B$49,0)</f>
        <v>Ara</v>
      </c>
      <c r="J668" t="str">
        <f>_xlfn.XLOOKUP('data cleaned'!D668,products!$A$1:$A$49,products!$C$1:$C$49,0)</f>
        <v>D</v>
      </c>
      <c r="K668" s="5">
        <f>_xlfn.XLOOKUP('data cleaned'!D668,products!$A$1:$A$49,products!$D$1:$D$49,0)</f>
        <v>2.5</v>
      </c>
      <c r="L668" s="6">
        <f>_xlfn.XLOOKUP('data cleaned'!D668,products!$A$1:$A$49,products!$E$1:$E$49,0)</f>
        <v>22.884999999999998</v>
      </c>
      <c r="M668" s="6">
        <f>'data cleaned'!E668*'data cleaned'!L668</f>
        <v>91.539999999999992</v>
      </c>
      <c r="N668" t="str">
        <f t="shared" si="20"/>
        <v>Arabica</v>
      </c>
      <c r="O668" t="str">
        <f t="shared" si="21"/>
        <v>Dark</v>
      </c>
      <c r="P668" t="str">
        <f>_xlfn.XLOOKUP(worksheet[[#This Row],[Customer ID]],customers!$A$1:$A$1001,customers!$I$1:$I$1001,0)</f>
        <v>No</v>
      </c>
    </row>
    <row r="669" spans="1:16" x14ac:dyDescent="0.25">
      <c r="A669" s="2" t="s">
        <v>4256</v>
      </c>
      <c r="B669" s="4">
        <v>44451</v>
      </c>
      <c r="C669" s="2" t="s">
        <v>4257</v>
      </c>
      <c r="D669" t="s">
        <v>6147</v>
      </c>
      <c r="E669" s="2">
        <v>6</v>
      </c>
      <c r="F669" s="2" t="str">
        <f>_xlfn.XLOOKUP(C669,customers!$A$1:$A$1001,customers!$B$1:$B$1001,0)</f>
        <v>Nissie Rudland</v>
      </c>
      <c r="G669" s="2" t="s">
        <v>4259</v>
      </c>
      <c r="H669" s="2" t="str">
        <f>_xlfn.XLOOKUP(C669,customers!$A$1:$A$1001,customers!$G$1:$G$1001,0)</f>
        <v>Ireland</v>
      </c>
      <c r="I669" t="str">
        <f>_xlfn.XLOOKUP(D669,products!$A$1:$A$49,products!$B$1:$B$49,0)</f>
        <v>Ara</v>
      </c>
      <c r="J669" t="str">
        <f>_xlfn.XLOOKUP('data cleaned'!D669,products!$A$1:$A$49,products!$C$1:$C$49,0)</f>
        <v>D</v>
      </c>
      <c r="K669" s="5">
        <f>_xlfn.XLOOKUP('data cleaned'!D669,products!$A$1:$A$49,products!$D$1:$D$49,0)</f>
        <v>1</v>
      </c>
      <c r="L669" s="6">
        <f>_xlfn.XLOOKUP('data cleaned'!D669,products!$A$1:$A$49,products!$E$1:$E$49,0)</f>
        <v>9.9499999999999993</v>
      </c>
      <c r="M669" s="6">
        <f>'data cleaned'!E669*'data cleaned'!L669</f>
        <v>59.699999999999996</v>
      </c>
      <c r="N669" t="str">
        <f t="shared" si="20"/>
        <v>Arabica</v>
      </c>
      <c r="O669" t="str">
        <f t="shared" si="21"/>
        <v>Dark</v>
      </c>
      <c r="P669" t="str">
        <f>_xlfn.XLOOKUP(worksheet[[#This Row],[Customer ID]],customers!$A$1:$A$1001,customers!$I$1:$I$1001,0)</f>
        <v>No</v>
      </c>
    </row>
    <row r="670" spans="1:16" x14ac:dyDescent="0.25">
      <c r="A670" s="2" t="s">
        <v>4262</v>
      </c>
      <c r="B670" s="4">
        <v>44636</v>
      </c>
      <c r="C670" s="2" t="s">
        <v>4263</v>
      </c>
      <c r="D670" t="s">
        <v>6142</v>
      </c>
      <c r="E670" s="2">
        <v>5</v>
      </c>
      <c r="F670" s="2" t="str">
        <f>_xlfn.XLOOKUP(C670,customers!$A$1:$A$1001,customers!$B$1:$B$1001,0)</f>
        <v>Janella Millett</v>
      </c>
      <c r="G670" s="2" t="s">
        <v>4265</v>
      </c>
      <c r="H670" s="2" t="str">
        <f>_xlfn.XLOOKUP(C670,customers!$A$1:$A$1001,customers!$G$1:$G$1001,0)</f>
        <v>United States</v>
      </c>
      <c r="I670" t="str">
        <f>_xlfn.XLOOKUP(D670,products!$A$1:$A$49,products!$B$1:$B$49,0)</f>
        <v>Rob</v>
      </c>
      <c r="J670" t="str">
        <f>_xlfn.XLOOKUP('data cleaned'!D670,products!$A$1:$A$49,products!$C$1:$C$49,0)</f>
        <v>L</v>
      </c>
      <c r="K670" s="5">
        <f>_xlfn.XLOOKUP('data cleaned'!D670,products!$A$1:$A$49,products!$D$1:$D$49,0)</f>
        <v>2.5</v>
      </c>
      <c r="L670" s="6">
        <f>_xlfn.XLOOKUP('data cleaned'!D670,products!$A$1:$A$49,products!$E$1:$E$49,0)</f>
        <v>27.484999999999996</v>
      </c>
      <c r="M670" s="6">
        <f>'data cleaned'!E670*'data cleaned'!L670</f>
        <v>137.42499999999998</v>
      </c>
      <c r="N670" t="str">
        <f t="shared" si="20"/>
        <v>Robusta</v>
      </c>
      <c r="O670" t="str">
        <f t="shared" si="21"/>
        <v>Light</v>
      </c>
      <c r="P670" t="str">
        <f>_xlfn.XLOOKUP(worksheet[[#This Row],[Customer ID]],customers!$A$1:$A$1001,customers!$I$1:$I$1001,0)</f>
        <v>Yes</v>
      </c>
    </row>
    <row r="671" spans="1:16" x14ac:dyDescent="0.25">
      <c r="A671" s="2" t="s">
        <v>4268</v>
      </c>
      <c r="B671" s="4">
        <v>44551</v>
      </c>
      <c r="C671" s="2" t="s">
        <v>4269</v>
      </c>
      <c r="D671" t="s">
        <v>6181</v>
      </c>
      <c r="E671" s="2">
        <v>2</v>
      </c>
      <c r="F671" s="2" t="str">
        <f>_xlfn.XLOOKUP(C671,customers!$A$1:$A$1001,customers!$B$1:$B$1001,0)</f>
        <v>Ferdie Tourry</v>
      </c>
      <c r="G671" s="2" t="s">
        <v>4271</v>
      </c>
      <c r="H671" s="2" t="str">
        <f>_xlfn.XLOOKUP(C671,customers!$A$1:$A$1001,customers!$G$1:$G$1001,0)</f>
        <v>United States</v>
      </c>
      <c r="I671" t="str">
        <f>_xlfn.XLOOKUP(D671,products!$A$1:$A$49,products!$B$1:$B$49,0)</f>
        <v>Lib</v>
      </c>
      <c r="J671" t="str">
        <f>_xlfn.XLOOKUP('data cleaned'!D671,products!$A$1:$A$49,products!$C$1:$C$49,0)</f>
        <v>M</v>
      </c>
      <c r="K671" s="5">
        <f>_xlfn.XLOOKUP('data cleaned'!D671,products!$A$1:$A$49,products!$D$1:$D$49,0)</f>
        <v>2.5</v>
      </c>
      <c r="L671" s="6">
        <f>_xlfn.XLOOKUP('data cleaned'!D671,products!$A$1:$A$49,products!$E$1:$E$49,0)</f>
        <v>33.464999999999996</v>
      </c>
      <c r="M671" s="6">
        <f>'data cleaned'!E671*'data cleaned'!L671</f>
        <v>66.929999999999993</v>
      </c>
      <c r="N671" t="str">
        <f t="shared" si="20"/>
        <v>Liberica</v>
      </c>
      <c r="O671" t="str">
        <f t="shared" si="21"/>
        <v>Medium</v>
      </c>
      <c r="P671" t="str">
        <f>_xlfn.XLOOKUP(worksheet[[#This Row],[Customer ID]],customers!$A$1:$A$1001,customers!$I$1:$I$1001,0)</f>
        <v>No</v>
      </c>
    </row>
    <row r="672" spans="1:16" x14ac:dyDescent="0.25">
      <c r="A672" s="2" t="s">
        <v>4274</v>
      </c>
      <c r="B672" s="4">
        <v>43606</v>
      </c>
      <c r="C672" s="2" t="s">
        <v>4275</v>
      </c>
      <c r="D672" t="s">
        <v>6159</v>
      </c>
      <c r="E672" s="2">
        <v>3</v>
      </c>
      <c r="F672" s="2" t="str">
        <f>_xlfn.XLOOKUP(C672,customers!$A$1:$A$1001,customers!$B$1:$B$1001,0)</f>
        <v>Cecil Weatherall</v>
      </c>
      <c r="G672" s="2" t="s">
        <v>4277</v>
      </c>
      <c r="H672" s="2" t="str">
        <f>_xlfn.XLOOKUP(C672,customers!$A$1:$A$1001,customers!$G$1:$G$1001,0)</f>
        <v>United States</v>
      </c>
      <c r="I672" t="str">
        <f>_xlfn.XLOOKUP(D672,products!$A$1:$A$49,products!$B$1:$B$49,0)</f>
        <v>Lib</v>
      </c>
      <c r="J672" t="str">
        <f>_xlfn.XLOOKUP('data cleaned'!D672,products!$A$1:$A$49,products!$C$1:$C$49,0)</f>
        <v>M</v>
      </c>
      <c r="K672" s="5">
        <f>_xlfn.XLOOKUP('data cleaned'!D672,products!$A$1:$A$49,products!$D$1:$D$49,0)</f>
        <v>0.2</v>
      </c>
      <c r="L672" s="6">
        <f>_xlfn.XLOOKUP('data cleaned'!D672,products!$A$1:$A$49,products!$E$1:$E$49,0)</f>
        <v>4.3650000000000002</v>
      </c>
      <c r="M672" s="6">
        <f>'data cleaned'!E672*'data cleaned'!L672</f>
        <v>13.095000000000001</v>
      </c>
      <c r="N672" t="str">
        <f t="shared" si="20"/>
        <v>Liberica</v>
      </c>
      <c r="O672" t="str">
        <f t="shared" si="21"/>
        <v>Medium</v>
      </c>
      <c r="P672" t="str">
        <f>_xlfn.XLOOKUP(worksheet[[#This Row],[Customer ID]],customers!$A$1:$A$1001,customers!$I$1:$I$1001,0)</f>
        <v>Yes</v>
      </c>
    </row>
    <row r="673" spans="1:16" x14ac:dyDescent="0.25">
      <c r="A673" s="2" t="s">
        <v>4280</v>
      </c>
      <c r="B673" s="4">
        <v>44495</v>
      </c>
      <c r="C673" s="2" t="s">
        <v>4281</v>
      </c>
      <c r="D673" t="s">
        <v>6179</v>
      </c>
      <c r="E673" s="2">
        <v>5</v>
      </c>
      <c r="F673" s="2" t="str">
        <f>_xlfn.XLOOKUP(C673,customers!$A$1:$A$1001,customers!$B$1:$B$1001,0)</f>
        <v>Gale Heindrick</v>
      </c>
      <c r="G673" s="2" t="s">
        <v>4283</v>
      </c>
      <c r="H673" s="2" t="str">
        <f>_xlfn.XLOOKUP(C673,customers!$A$1:$A$1001,customers!$G$1:$G$1001,0)</f>
        <v>United States</v>
      </c>
      <c r="I673" t="str">
        <f>_xlfn.XLOOKUP(D673,products!$A$1:$A$49,products!$B$1:$B$49,0)</f>
        <v>Rob</v>
      </c>
      <c r="J673" t="str">
        <f>_xlfn.XLOOKUP('data cleaned'!D673,products!$A$1:$A$49,products!$C$1:$C$49,0)</f>
        <v>L</v>
      </c>
      <c r="K673" s="5">
        <f>_xlfn.XLOOKUP('data cleaned'!D673,products!$A$1:$A$49,products!$D$1:$D$49,0)</f>
        <v>1</v>
      </c>
      <c r="L673" s="6">
        <f>_xlfn.XLOOKUP('data cleaned'!D673,products!$A$1:$A$49,products!$E$1:$E$49,0)</f>
        <v>11.95</v>
      </c>
      <c r="M673" s="6">
        <f>'data cleaned'!E673*'data cleaned'!L673</f>
        <v>59.75</v>
      </c>
      <c r="N673" t="str">
        <f t="shared" si="20"/>
        <v>Robusta</v>
      </c>
      <c r="O673" t="str">
        <f t="shared" si="21"/>
        <v>Light</v>
      </c>
      <c r="P673" t="str">
        <f>_xlfn.XLOOKUP(worksheet[[#This Row],[Customer ID]],customers!$A$1:$A$1001,customers!$I$1:$I$1001,0)</f>
        <v>No</v>
      </c>
    </row>
    <row r="674" spans="1:16" x14ac:dyDescent="0.25">
      <c r="A674" s="2" t="s">
        <v>4286</v>
      </c>
      <c r="B674" s="4">
        <v>43916</v>
      </c>
      <c r="C674" s="2" t="s">
        <v>4287</v>
      </c>
      <c r="D674" t="s">
        <v>6160</v>
      </c>
      <c r="E674" s="2">
        <v>5</v>
      </c>
      <c r="F674" s="2" t="str">
        <f>_xlfn.XLOOKUP(C674,customers!$A$1:$A$1001,customers!$B$1:$B$1001,0)</f>
        <v>Layne Imason</v>
      </c>
      <c r="G674" s="2" t="s">
        <v>4289</v>
      </c>
      <c r="H674" s="2" t="str">
        <f>_xlfn.XLOOKUP(C674,customers!$A$1:$A$1001,customers!$G$1:$G$1001,0)</f>
        <v>United States</v>
      </c>
      <c r="I674" t="str">
        <f>_xlfn.XLOOKUP(D674,products!$A$1:$A$49,products!$B$1:$B$49,0)</f>
        <v>Lib</v>
      </c>
      <c r="J674" t="str">
        <f>_xlfn.XLOOKUP('data cleaned'!D674,products!$A$1:$A$49,products!$C$1:$C$49,0)</f>
        <v>M</v>
      </c>
      <c r="K674" s="5">
        <f>_xlfn.XLOOKUP('data cleaned'!D674,products!$A$1:$A$49,products!$D$1:$D$49,0)</f>
        <v>0.5</v>
      </c>
      <c r="L674" s="6">
        <f>_xlfn.XLOOKUP('data cleaned'!D674,products!$A$1:$A$49,products!$E$1:$E$49,0)</f>
        <v>8.73</v>
      </c>
      <c r="M674" s="6">
        <f>'data cleaned'!E674*'data cleaned'!L674</f>
        <v>43.650000000000006</v>
      </c>
      <c r="N674" t="str">
        <f t="shared" si="20"/>
        <v>Liberica</v>
      </c>
      <c r="O674" t="str">
        <f t="shared" si="21"/>
        <v>Medium</v>
      </c>
      <c r="P674" t="str">
        <f>_xlfn.XLOOKUP(worksheet[[#This Row],[Customer ID]],customers!$A$1:$A$1001,customers!$I$1:$I$1001,0)</f>
        <v>Yes</v>
      </c>
    </row>
    <row r="675" spans="1:16" x14ac:dyDescent="0.25">
      <c r="A675" s="2" t="s">
        <v>4291</v>
      </c>
      <c r="B675" s="4">
        <v>44118</v>
      </c>
      <c r="C675" s="2" t="s">
        <v>4292</v>
      </c>
      <c r="D675" t="s">
        <v>6141</v>
      </c>
      <c r="E675" s="2">
        <v>6</v>
      </c>
      <c r="F675" s="2" t="str">
        <f>_xlfn.XLOOKUP(C675,customers!$A$1:$A$1001,customers!$B$1:$B$1001,0)</f>
        <v>Hazel Saill</v>
      </c>
      <c r="G675" s="2" t="s">
        <v>4294</v>
      </c>
      <c r="H675" s="2" t="str">
        <f>_xlfn.XLOOKUP(C675,customers!$A$1:$A$1001,customers!$G$1:$G$1001,0)</f>
        <v>United States</v>
      </c>
      <c r="I675" t="str">
        <f>_xlfn.XLOOKUP(D675,products!$A$1:$A$49,products!$B$1:$B$49,0)</f>
        <v>Exc</v>
      </c>
      <c r="J675" t="str">
        <f>_xlfn.XLOOKUP('data cleaned'!D675,products!$A$1:$A$49,products!$C$1:$C$49,0)</f>
        <v>M</v>
      </c>
      <c r="K675" s="5">
        <f>_xlfn.XLOOKUP('data cleaned'!D675,products!$A$1:$A$49,products!$D$1:$D$49,0)</f>
        <v>1</v>
      </c>
      <c r="L675" s="6">
        <f>_xlfn.XLOOKUP('data cleaned'!D675,products!$A$1:$A$49,products!$E$1:$E$49,0)</f>
        <v>13.75</v>
      </c>
      <c r="M675" s="6">
        <f>'data cleaned'!E675*'data cleaned'!L675</f>
        <v>82.5</v>
      </c>
      <c r="N675" t="str">
        <f t="shared" si="20"/>
        <v>Excelsa</v>
      </c>
      <c r="O675" t="str">
        <f t="shared" si="21"/>
        <v>Medium</v>
      </c>
      <c r="P675" t="str">
        <f>_xlfn.XLOOKUP(worksheet[[#This Row],[Customer ID]],customers!$A$1:$A$1001,customers!$I$1:$I$1001,0)</f>
        <v>Yes</v>
      </c>
    </row>
    <row r="676" spans="1:16" x14ac:dyDescent="0.25">
      <c r="A676" s="2" t="s">
        <v>4297</v>
      </c>
      <c r="B676" s="4">
        <v>44543</v>
      </c>
      <c r="C676" s="2" t="s">
        <v>4298</v>
      </c>
      <c r="D676" t="s">
        <v>6182</v>
      </c>
      <c r="E676" s="2">
        <v>6</v>
      </c>
      <c r="F676" s="2" t="str">
        <f>_xlfn.XLOOKUP(C676,customers!$A$1:$A$1001,customers!$B$1:$B$1001,0)</f>
        <v>Hermann Larvor</v>
      </c>
      <c r="G676" s="2" t="s">
        <v>4300</v>
      </c>
      <c r="H676" s="2" t="str">
        <f>_xlfn.XLOOKUP(C676,customers!$A$1:$A$1001,customers!$G$1:$G$1001,0)</f>
        <v>United States</v>
      </c>
      <c r="I676" t="str">
        <f>_xlfn.XLOOKUP(D676,products!$A$1:$A$49,products!$B$1:$B$49,0)</f>
        <v>Ara</v>
      </c>
      <c r="J676" t="str">
        <f>_xlfn.XLOOKUP('data cleaned'!D676,products!$A$1:$A$49,products!$C$1:$C$49,0)</f>
        <v>L</v>
      </c>
      <c r="K676" s="5">
        <f>_xlfn.XLOOKUP('data cleaned'!D676,products!$A$1:$A$49,products!$D$1:$D$49,0)</f>
        <v>2.5</v>
      </c>
      <c r="L676" s="6">
        <f>_xlfn.XLOOKUP('data cleaned'!D676,products!$A$1:$A$49,products!$E$1:$E$49,0)</f>
        <v>29.784999999999997</v>
      </c>
      <c r="M676" s="6">
        <f>'data cleaned'!E676*'data cleaned'!L676</f>
        <v>178.70999999999998</v>
      </c>
      <c r="N676" t="str">
        <f t="shared" si="20"/>
        <v>Arabica</v>
      </c>
      <c r="O676" t="str">
        <f t="shared" si="21"/>
        <v>Light</v>
      </c>
      <c r="P676" t="str">
        <f>_xlfn.XLOOKUP(worksheet[[#This Row],[Customer ID]],customers!$A$1:$A$1001,customers!$I$1:$I$1001,0)</f>
        <v>Yes</v>
      </c>
    </row>
    <row r="677" spans="1:16" x14ac:dyDescent="0.25">
      <c r="A677" s="2" t="s">
        <v>4303</v>
      </c>
      <c r="B677" s="4">
        <v>44263</v>
      </c>
      <c r="C677" s="2" t="s">
        <v>4304</v>
      </c>
      <c r="D677" t="s">
        <v>6165</v>
      </c>
      <c r="E677" s="2">
        <v>4</v>
      </c>
      <c r="F677" s="2" t="str">
        <f>_xlfn.XLOOKUP(C677,customers!$A$1:$A$1001,customers!$B$1:$B$1001,0)</f>
        <v>Terri Lyford</v>
      </c>
      <c r="G677" s="2" t="s">
        <v>6222</v>
      </c>
      <c r="H677" s="2" t="str">
        <f>_xlfn.XLOOKUP(C677,customers!$A$1:$A$1001,customers!$G$1:$G$1001,0)</f>
        <v>United States</v>
      </c>
      <c r="I677" t="str">
        <f>_xlfn.XLOOKUP(D677,products!$A$1:$A$49,products!$B$1:$B$49,0)</f>
        <v>Lib</v>
      </c>
      <c r="J677" t="str">
        <f>_xlfn.XLOOKUP('data cleaned'!D677,products!$A$1:$A$49,products!$C$1:$C$49,0)</f>
        <v>D</v>
      </c>
      <c r="K677" s="5">
        <f>_xlfn.XLOOKUP('data cleaned'!D677,products!$A$1:$A$49,products!$D$1:$D$49,0)</f>
        <v>2.5</v>
      </c>
      <c r="L677" s="6">
        <f>_xlfn.XLOOKUP('data cleaned'!D677,products!$A$1:$A$49,products!$E$1:$E$49,0)</f>
        <v>29.784999999999997</v>
      </c>
      <c r="M677" s="6">
        <f>'data cleaned'!E677*'data cleaned'!L677</f>
        <v>119.13999999999999</v>
      </c>
      <c r="N677" t="str">
        <f t="shared" si="20"/>
        <v>Liberica</v>
      </c>
      <c r="O677" t="str">
        <f t="shared" si="21"/>
        <v>Dark</v>
      </c>
      <c r="P677" t="str">
        <f>_xlfn.XLOOKUP(worksheet[[#This Row],[Customer ID]],customers!$A$1:$A$1001,customers!$I$1:$I$1001,0)</f>
        <v>Yes</v>
      </c>
    </row>
    <row r="678" spans="1:16" x14ac:dyDescent="0.25">
      <c r="A678" s="2" t="s">
        <v>4308</v>
      </c>
      <c r="B678" s="4">
        <v>44217</v>
      </c>
      <c r="C678" s="2" t="s">
        <v>4309</v>
      </c>
      <c r="D678" t="s">
        <v>6161</v>
      </c>
      <c r="E678" s="2">
        <v>5</v>
      </c>
      <c r="F678" s="2" t="str">
        <f>_xlfn.XLOOKUP(C678,customers!$A$1:$A$1001,customers!$B$1:$B$1001,0)</f>
        <v>Gabey Cogan</v>
      </c>
      <c r="G678" s="2" t="s">
        <v>6222</v>
      </c>
      <c r="H678" s="2" t="str">
        <f>_xlfn.XLOOKUP(C678,customers!$A$1:$A$1001,customers!$G$1:$G$1001,0)</f>
        <v>United States</v>
      </c>
      <c r="I678" t="str">
        <f>_xlfn.XLOOKUP(D678,products!$A$1:$A$49,products!$B$1:$B$49,0)</f>
        <v>Lib</v>
      </c>
      <c r="J678" t="str">
        <f>_xlfn.XLOOKUP('data cleaned'!D678,products!$A$1:$A$49,products!$C$1:$C$49,0)</f>
        <v>L</v>
      </c>
      <c r="K678" s="5">
        <f>_xlfn.XLOOKUP('data cleaned'!D678,products!$A$1:$A$49,products!$D$1:$D$49,0)</f>
        <v>0.5</v>
      </c>
      <c r="L678" s="6">
        <f>_xlfn.XLOOKUP('data cleaned'!D678,products!$A$1:$A$49,products!$E$1:$E$49,0)</f>
        <v>9.51</v>
      </c>
      <c r="M678" s="6">
        <f>'data cleaned'!E678*'data cleaned'!L678</f>
        <v>47.55</v>
      </c>
      <c r="N678" t="str">
        <f t="shared" si="20"/>
        <v>Liberica</v>
      </c>
      <c r="O678" t="str">
        <f t="shared" si="21"/>
        <v>Light</v>
      </c>
      <c r="P678" t="str">
        <f>_xlfn.XLOOKUP(worksheet[[#This Row],[Customer ID]],customers!$A$1:$A$1001,customers!$I$1:$I$1001,0)</f>
        <v>No</v>
      </c>
    </row>
    <row r="679" spans="1:16" x14ac:dyDescent="0.25">
      <c r="A679" s="2" t="s">
        <v>4313</v>
      </c>
      <c r="B679" s="4">
        <v>44206</v>
      </c>
      <c r="C679" s="2" t="s">
        <v>4314</v>
      </c>
      <c r="D679" t="s">
        <v>6160</v>
      </c>
      <c r="E679" s="2">
        <v>5</v>
      </c>
      <c r="F679" s="2" t="str">
        <f>_xlfn.XLOOKUP(C679,customers!$A$1:$A$1001,customers!$B$1:$B$1001,0)</f>
        <v>Charin Penwarden</v>
      </c>
      <c r="G679" s="2" t="s">
        <v>4316</v>
      </c>
      <c r="H679" s="2" t="str">
        <f>_xlfn.XLOOKUP(C679,customers!$A$1:$A$1001,customers!$G$1:$G$1001,0)</f>
        <v>Ireland</v>
      </c>
      <c r="I679" t="str">
        <f>_xlfn.XLOOKUP(D679,products!$A$1:$A$49,products!$B$1:$B$49,0)</f>
        <v>Lib</v>
      </c>
      <c r="J679" t="str">
        <f>_xlfn.XLOOKUP('data cleaned'!D679,products!$A$1:$A$49,products!$C$1:$C$49,0)</f>
        <v>M</v>
      </c>
      <c r="K679" s="5">
        <f>_xlfn.XLOOKUP('data cleaned'!D679,products!$A$1:$A$49,products!$D$1:$D$49,0)</f>
        <v>0.5</v>
      </c>
      <c r="L679" s="6">
        <f>_xlfn.XLOOKUP('data cleaned'!D679,products!$A$1:$A$49,products!$E$1:$E$49,0)</f>
        <v>8.73</v>
      </c>
      <c r="M679" s="6">
        <f>'data cleaned'!E679*'data cleaned'!L679</f>
        <v>43.650000000000006</v>
      </c>
      <c r="N679" t="str">
        <f t="shared" si="20"/>
        <v>Liberica</v>
      </c>
      <c r="O679" t="str">
        <f t="shared" si="21"/>
        <v>Medium</v>
      </c>
      <c r="P679" t="str">
        <f>_xlfn.XLOOKUP(worksheet[[#This Row],[Customer ID]],customers!$A$1:$A$1001,customers!$I$1:$I$1001,0)</f>
        <v>No</v>
      </c>
    </row>
    <row r="680" spans="1:16" x14ac:dyDescent="0.25">
      <c r="A680" s="2" t="s">
        <v>4319</v>
      </c>
      <c r="B680" s="4">
        <v>44281</v>
      </c>
      <c r="C680" s="2" t="s">
        <v>4320</v>
      </c>
      <c r="D680" t="s">
        <v>6182</v>
      </c>
      <c r="E680" s="2">
        <v>6</v>
      </c>
      <c r="F680" s="2" t="str">
        <f>_xlfn.XLOOKUP(C680,customers!$A$1:$A$1001,customers!$B$1:$B$1001,0)</f>
        <v>Milty Middis</v>
      </c>
      <c r="G680" s="2" t="s">
        <v>4322</v>
      </c>
      <c r="H680" s="2" t="str">
        <f>_xlfn.XLOOKUP(C680,customers!$A$1:$A$1001,customers!$G$1:$G$1001,0)</f>
        <v>United States</v>
      </c>
      <c r="I680" t="str">
        <f>_xlfn.XLOOKUP(D680,products!$A$1:$A$49,products!$B$1:$B$49,0)</f>
        <v>Ara</v>
      </c>
      <c r="J680" t="str">
        <f>_xlfn.XLOOKUP('data cleaned'!D680,products!$A$1:$A$49,products!$C$1:$C$49,0)</f>
        <v>L</v>
      </c>
      <c r="K680" s="5">
        <f>_xlfn.XLOOKUP('data cleaned'!D680,products!$A$1:$A$49,products!$D$1:$D$49,0)</f>
        <v>2.5</v>
      </c>
      <c r="L680" s="6">
        <f>_xlfn.XLOOKUP('data cleaned'!D680,products!$A$1:$A$49,products!$E$1:$E$49,0)</f>
        <v>29.784999999999997</v>
      </c>
      <c r="M680" s="6">
        <f>'data cleaned'!E680*'data cleaned'!L680</f>
        <v>178.70999999999998</v>
      </c>
      <c r="N680" t="str">
        <f t="shared" si="20"/>
        <v>Arabica</v>
      </c>
      <c r="O680" t="str">
        <f t="shared" si="21"/>
        <v>Light</v>
      </c>
      <c r="P680" t="str">
        <f>_xlfn.XLOOKUP(worksheet[[#This Row],[Customer ID]],customers!$A$1:$A$1001,customers!$I$1:$I$1001,0)</f>
        <v>Yes</v>
      </c>
    </row>
    <row r="681" spans="1:16" x14ac:dyDescent="0.25">
      <c r="A681" s="2" t="s">
        <v>4325</v>
      </c>
      <c r="B681" s="4">
        <v>44645</v>
      </c>
      <c r="C681" s="2" t="s">
        <v>4326</v>
      </c>
      <c r="D681" t="s">
        <v>6142</v>
      </c>
      <c r="E681" s="2">
        <v>1</v>
      </c>
      <c r="F681" s="2" t="str">
        <f>_xlfn.XLOOKUP(C681,customers!$A$1:$A$1001,customers!$B$1:$B$1001,0)</f>
        <v>Adrianne Vairow</v>
      </c>
      <c r="G681" s="2" t="s">
        <v>4328</v>
      </c>
      <c r="H681" s="2" t="str">
        <f>_xlfn.XLOOKUP(C681,customers!$A$1:$A$1001,customers!$G$1:$G$1001,0)</f>
        <v>United Kingdom</v>
      </c>
      <c r="I681" t="str">
        <f>_xlfn.XLOOKUP(D681,products!$A$1:$A$49,products!$B$1:$B$49,0)</f>
        <v>Rob</v>
      </c>
      <c r="J681" t="str">
        <f>_xlfn.XLOOKUP('data cleaned'!D681,products!$A$1:$A$49,products!$C$1:$C$49,0)</f>
        <v>L</v>
      </c>
      <c r="K681" s="5">
        <f>_xlfn.XLOOKUP('data cleaned'!D681,products!$A$1:$A$49,products!$D$1:$D$49,0)</f>
        <v>2.5</v>
      </c>
      <c r="L681" s="6">
        <f>_xlfn.XLOOKUP('data cleaned'!D681,products!$A$1:$A$49,products!$E$1:$E$49,0)</f>
        <v>27.484999999999996</v>
      </c>
      <c r="M681" s="6">
        <f>'data cleaned'!E681*'data cleaned'!L681</f>
        <v>27.484999999999996</v>
      </c>
      <c r="N681" t="str">
        <f t="shared" si="20"/>
        <v>Robusta</v>
      </c>
      <c r="O681" t="str">
        <f t="shared" si="21"/>
        <v>Light</v>
      </c>
      <c r="P681" t="str">
        <f>_xlfn.XLOOKUP(worksheet[[#This Row],[Customer ID]],customers!$A$1:$A$1001,customers!$I$1:$I$1001,0)</f>
        <v>No</v>
      </c>
    </row>
    <row r="682" spans="1:16" x14ac:dyDescent="0.25">
      <c r="A682" s="2" t="s">
        <v>4331</v>
      </c>
      <c r="B682" s="4">
        <v>44399</v>
      </c>
      <c r="C682" s="2" t="s">
        <v>4332</v>
      </c>
      <c r="D682" t="s">
        <v>6155</v>
      </c>
      <c r="E682" s="2">
        <v>5</v>
      </c>
      <c r="F682" s="2" t="str">
        <f>_xlfn.XLOOKUP(C682,customers!$A$1:$A$1001,customers!$B$1:$B$1001,0)</f>
        <v>Anjanette Goldie</v>
      </c>
      <c r="G682" s="2" t="s">
        <v>4334</v>
      </c>
      <c r="H682" s="2" t="str">
        <f>_xlfn.XLOOKUP(C682,customers!$A$1:$A$1001,customers!$G$1:$G$1001,0)</f>
        <v>United States</v>
      </c>
      <c r="I682" t="str">
        <f>_xlfn.XLOOKUP(D682,products!$A$1:$A$49,products!$B$1:$B$49,0)</f>
        <v>Ara</v>
      </c>
      <c r="J682" t="str">
        <f>_xlfn.XLOOKUP('data cleaned'!D682,products!$A$1:$A$49,products!$C$1:$C$49,0)</f>
        <v>M</v>
      </c>
      <c r="K682" s="5">
        <f>_xlfn.XLOOKUP('data cleaned'!D682,products!$A$1:$A$49,products!$D$1:$D$49,0)</f>
        <v>1</v>
      </c>
      <c r="L682" s="6">
        <f>_xlfn.XLOOKUP('data cleaned'!D682,products!$A$1:$A$49,products!$E$1:$E$49,0)</f>
        <v>11.25</v>
      </c>
      <c r="M682" s="6">
        <f>'data cleaned'!E682*'data cleaned'!L682</f>
        <v>56.25</v>
      </c>
      <c r="N682" t="str">
        <f t="shared" si="20"/>
        <v>Arabica</v>
      </c>
      <c r="O682" t="str">
        <f t="shared" si="21"/>
        <v>Medium</v>
      </c>
      <c r="P682" t="str">
        <f>_xlfn.XLOOKUP(worksheet[[#This Row],[Customer ID]],customers!$A$1:$A$1001,customers!$I$1:$I$1001,0)</f>
        <v>No</v>
      </c>
    </row>
    <row r="683" spans="1:16" x14ac:dyDescent="0.25">
      <c r="A683" s="2" t="s">
        <v>4336</v>
      </c>
      <c r="B683" s="4">
        <v>44080</v>
      </c>
      <c r="C683" s="2" t="s">
        <v>4337</v>
      </c>
      <c r="D683" t="s">
        <v>6145</v>
      </c>
      <c r="E683" s="2">
        <v>2</v>
      </c>
      <c r="F683" s="2" t="str">
        <f>_xlfn.XLOOKUP(C683,customers!$A$1:$A$1001,customers!$B$1:$B$1001,0)</f>
        <v>Nicky Ayris</v>
      </c>
      <c r="G683" s="2" t="s">
        <v>4339</v>
      </c>
      <c r="H683" s="2" t="str">
        <f>_xlfn.XLOOKUP(C683,customers!$A$1:$A$1001,customers!$G$1:$G$1001,0)</f>
        <v>United Kingdom</v>
      </c>
      <c r="I683" t="str">
        <f>_xlfn.XLOOKUP(D683,products!$A$1:$A$49,products!$B$1:$B$49,0)</f>
        <v>Lib</v>
      </c>
      <c r="J683" t="str">
        <f>_xlfn.XLOOKUP('data cleaned'!D683,products!$A$1:$A$49,products!$C$1:$C$49,0)</f>
        <v>L</v>
      </c>
      <c r="K683" s="5">
        <f>_xlfn.XLOOKUP('data cleaned'!D683,products!$A$1:$A$49,products!$D$1:$D$49,0)</f>
        <v>0.2</v>
      </c>
      <c r="L683" s="6">
        <f>_xlfn.XLOOKUP('data cleaned'!D683,products!$A$1:$A$49,products!$E$1:$E$49,0)</f>
        <v>4.7549999999999999</v>
      </c>
      <c r="M683" s="6">
        <f>'data cleaned'!E683*'data cleaned'!L683</f>
        <v>9.51</v>
      </c>
      <c r="N683" t="str">
        <f t="shared" si="20"/>
        <v>Liberica</v>
      </c>
      <c r="O683" t="str">
        <f t="shared" si="21"/>
        <v>Light</v>
      </c>
      <c r="P683" t="str">
        <f>_xlfn.XLOOKUP(worksheet[[#This Row],[Customer ID]],customers!$A$1:$A$1001,customers!$I$1:$I$1001,0)</f>
        <v>Yes</v>
      </c>
    </row>
    <row r="684" spans="1:16" x14ac:dyDescent="0.25">
      <c r="A684" s="2" t="s">
        <v>4342</v>
      </c>
      <c r="B684" s="4">
        <v>43827</v>
      </c>
      <c r="C684" s="2" t="s">
        <v>4343</v>
      </c>
      <c r="D684" t="s">
        <v>6156</v>
      </c>
      <c r="E684" s="2">
        <v>2</v>
      </c>
      <c r="F684" s="2" t="str">
        <f>_xlfn.XLOOKUP(C684,customers!$A$1:$A$1001,customers!$B$1:$B$1001,0)</f>
        <v>Laryssa Benediktovich</v>
      </c>
      <c r="G684" s="2" t="s">
        <v>4345</v>
      </c>
      <c r="H684" s="2" t="str">
        <f>_xlfn.XLOOKUP(C684,customers!$A$1:$A$1001,customers!$G$1:$G$1001,0)</f>
        <v>United States</v>
      </c>
      <c r="I684" t="str">
        <f>_xlfn.XLOOKUP(D684,products!$A$1:$A$49,products!$B$1:$B$49,0)</f>
        <v>Exc</v>
      </c>
      <c r="J684" t="str">
        <f>_xlfn.XLOOKUP('data cleaned'!D684,products!$A$1:$A$49,products!$C$1:$C$49,0)</f>
        <v>M</v>
      </c>
      <c r="K684" s="5">
        <f>_xlfn.XLOOKUP('data cleaned'!D684,products!$A$1:$A$49,products!$D$1:$D$49,0)</f>
        <v>0.2</v>
      </c>
      <c r="L684" s="6">
        <f>_xlfn.XLOOKUP('data cleaned'!D684,products!$A$1:$A$49,products!$E$1:$E$49,0)</f>
        <v>4.125</v>
      </c>
      <c r="M684" s="6">
        <f>'data cleaned'!E684*'data cleaned'!L684</f>
        <v>8.25</v>
      </c>
      <c r="N684" t="str">
        <f t="shared" si="20"/>
        <v>Excelsa</v>
      </c>
      <c r="O684" t="str">
        <f t="shared" si="21"/>
        <v>Medium</v>
      </c>
      <c r="P684" t="str">
        <f>_xlfn.XLOOKUP(worksheet[[#This Row],[Customer ID]],customers!$A$1:$A$1001,customers!$I$1:$I$1001,0)</f>
        <v>Yes</v>
      </c>
    </row>
    <row r="685" spans="1:16" x14ac:dyDescent="0.25">
      <c r="A685" s="2" t="s">
        <v>4348</v>
      </c>
      <c r="B685" s="4">
        <v>43941</v>
      </c>
      <c r="C685" s="2" t="s">
        <v>4349</v>
      </c>
      <c r="D685" t="s">
        <v>6169</v>
      </c>
      <c r="E685" s="2">
        <v>6</v>
      </c>
      <c r="F685" s="2" t="str">
        <f>_xlfn.XLOOKUP(C685,customers!$A$1:$A$1001,customers!$B$1:$B$1001,0)</f>
        <v>Theo Jacobovitz</v>
      </c>
      <c r="G685" s="2" t="s">
        <v>4351</v>
      </c>
      <c r="H685" s="2" t="str">
        <f>_xlfn.XLOOKUP(C685,customers!$A$1:$A$1001,customers!$G$1:$G$1001,0)</f>
        <v>United States</v>
      </c>
      <c r="I685" t="str">
        <f>_xlfn.XLOOKUP(D685,products!$A$1:$A$49,products!$B$1:$B$49,0)</f>
        <v>Lib</v>
      </c>
      <c r="J685" t="str">
        <f>_xlfn.XLOOKUP('data cleaned'!D685,products!$A$1:$A$49,products!$C$1:$C$49,0)</f>
        <v>D</v>
      </c>
      <c r="K685" s="5">
        <f>_xlfn.XLOOKUP('data cleaned'!D685,products!$A$1:$A$49,products!$D$1:$D$49,0)</f>
        <v>0.5</v>
      </c>
      <c r="L685" s="6">
        <f>_xlfn.XLOOKUP('data cleaned'!D685,products!$A$1:$A$49,products!$E$1:$E$49,0)</f>
        <v>7.77</v>
      </c>
      <c r="M685" s="6">
        <f>'data cleaned'!E685*'data cleaned'!L685</f>
        <v>46.62</v>
      </c>
      <c r="N685" t="str">
        <f t="shared" si="20"/>
        <v>Liberica</v>
      </c>
      <c r="O685" t="str">
        <f t="shared" si="21"/>
        <v>Dark</v>
      </c>
      <c r="P685" t="str">
        <f>_xlfn.XLOOKUP(worksheet[[#This Row],[Customer ID]],customers!$A$1:$A$1001,customers!$I$1:$I$1001,0)</f>
        <v>No</v>
      </c>
    </row>
    <row r="686" spans="1:16" x14ac:dyDescent="0.25">
      <c r="A686" s="2" t="s">
        <v>4354</v>
      </c>
      <c r="B686" s="4">
        <v>43517</v>
      </c>
      <c r="C686" s="2" t="s">
        <v>4355</v>
      </c>
      <c r="D686" t="s">
        <v>6179</v>
      </c>
      <c r="E686" s="2">
        <v>6</v>
      </c>
      <c r="F686" s="2" t="str">
        <f>_xlfn.XLOOKUP(C686,customers!$A$1:$A$1001,customers!$B$1:$B$1001,0)</f>
        <v>Becca Ableson</v>
      </c>
      <c r="G686" s="2" t="s">
        <v>6222</v>
      </c>
      <c r="H686" s="2" t="str">
        <f>_xlfn.XLOOKUP(C686,customers!$A$1:$A$1001,customers!$G$1:$G$1001,0)</f>
        <v>United States</v>
      </c>
      <c r="I686" t="str">
        <f>_xlfn.XLOOKUP(D686,products!$A$1:$A$49,products!$B$1:$B$49,0)</f>
        <v>Rob</v>
      </c>
      <c r="J686" t="str">
        <f>_xlfn.XLOOKUP('data cleaned'!D686,products!$A$1:$A$49,products!$C$1:$C$49,0)</f>
        <v>L</v>
      </c>
      <c r="K686" s="5">
        <f>_xlfn.XLOOKUP('data cleaned'!D686,products!$A$1:$A$49,products!$D$1:$D$49,0)</f>
        <v>1</v>
      </c>
      <c r="L686" s="6">
        <f>_xlfn.XLOOKUP('data cleaned'!D686,products!$A$1:$A$49,products!$E$1:$E$49,0)</f>
        <v>11.95</v>
      </c>
      <c r="M686" s="6">
        <f>'data cleaned'!E686*'data cleaned'!L686</f>
        <v>71.699999999999989</v>
      </c>
      <c r="N686" t="str">
        <f t="shared" si="20"/>
        <v>Robusta</v>
      </c>
      <c r="O686" t="str">
        <f t="shared" si="21"/>
        <v>Light</v>
      </c>
      <c r="P686" t="str">
        <f>_xlfn.XLOOKUP(worksheet[[#This Row],[Customer ID]],customers!$A$1:$A$1001,customers!$I$1:$I$1001,0)</f>
        <v>No</v>
      </c>
    </row>
    <row r="687" spans="1:16" x14ac:dyDescent="0.25">
      <c r="A687" s="2" t="s">
        <v>4359</v>
      </c>
      <c r="B687" s="4">
        <v>44637</v>
      </c>
      <c r="C687" s="2" t="s">
        <v>4360</v>
      </c>
      <c r="D687" t="s">
        <v>6164</v>
      </c>
      <c r="E687" s="2">
        <v>2</v>
      </c>
      <c r="F687" s="2" t="str">
        <f>_xlfn.XLOOKUP(C687,customers!$A$1:$A$1001,customers!$B$1:$B$1001,0)</f>
        <v>Jeno Druitt</v>
      </c>
      <c r="G687" s="2" t="s">
        <v>4362</v>
      </c>
      <c r="H687" s="2" t="str">
        <f>_xlfn.XLOOKUP(C687,customers!$A$1:$A$1001,customers!$G$1:$G$1001,0)</f>
        <v>United States</v>
      </c>
      <c r="I687" t="str">
        <f>_xlfn.XLOOKUP(D687,products!$A$1:$A$49,products!$B$1:$B$49,0)</f>
        <v>Lib</v>
      </c>
      <c r="J687" t="str">
        <f>_xlfn.XLOOKUP('data cleaned'!D687,products!$A$1:$A$49,products!$C$1:$C$49,0)</f>
        <v>L</v>
      </c>
      <c r="K687" s="5">
        <f>_xlfn.XLOOKUP('data cleaned'!D687,products!$A$1:$A$49,products!$D$1:$D$49,0)</f>
        <v>2.5</v>
      </c>
      <c r="L687" s="6">
        <f>_xlfn.XLOOKUP('data cleaned'!D687,products!$A$1:$A$49,products!$E$1:$E$49,0)</f>
        <v>36.454999999999998</v>
      </c>
      <c r="M687" s="6">
        <f>'data cleaned'!E687*'data cleaned'!L687</f>
        <v>72.91</v>
      </c>
      <c r="N687" t="str">
        <f t="shared" si="20"/>
        <v>Liberica</v>
      </c>
      <c r="O687" t="str">
        <f t="shared" si="21"/>
        <v>Light</v>
      </c>
      <c r="P687" t="str">
        <f>_xlfn.XLOOKUP(worksheet[[#This Row],[Customer ID]],customers!$A$1:$A$1001,customers!$I$1:$I$1001,0)</f>
        <v>Yes</v>
      </c>
    </row>
    <row r="688" spans="1:16" x14ac:dyDescent="0.25">
      <c r="A688" s="2" t="s">
        <v>4365</v>
      </c>
      <c r="B688" s="4">
        <v>44330</v>
      </c>
      <c r="C688" s="2" t="s">
        <v>4366</v>
      </c>
      <c r="D688" t="s">
        <v>6163</v>
      </c>
      <c r="E688" s="2">
        <v>3</v>
      </c>
      <c r="F688" s="2" t="str">
        <f>_xlfn.XLOOKUP(C688,customers!$A$1:$A$1001,customers!$B$1:$B$1001,0)</f>
        <v>Deonne Shortall</v>
      </c>
      <c r="G688" s="2" t="s">
        <v>4368</v>
      </c>
      <c r="H688" s="2" t="str">
        <f>_xlfn.XLOOKUP(C688,customers!$A$1:$A$1001,customers!$G$1:$G$1001,0)</f>
        <v>United States</v>
      </c>
      <c r="I688" t="str">
        <f>_xlfn.XLOOKUP(D688,products!$A$1:$A$49,products!$B$1:$B$49,0)</f>
        <v>Rob</v>
      </c>
      <c r="J688" t="str">
        <f>_xlfn.XLOOKUP('data cleaned'!D688,products!$A$1:$A$49,products!$C$1:$C$49,0)</f>
        <v>D</v>
      </c>
      <c r="K688" s="5">
        <f>_xlfn.XLOOKUP('data cleaned'!D688,products!$A$1:$A$49,products!$D$1:$D$49,0)</f>
        <v>0.2</v>
      </c>
      <c r="L688" s="6">
        <f>_xlfn.XLOOKUP('data cleaned'!D688,products!$A$1:$A$49,products!$E$1:$E$49,0)</f>
        <v>2.6849999999999996</v>
      </c>
      <c r="M688" s="6">
        <f>'data cleaned'!E688*'data cleaned'!L688</f>
        <v>8.0549999999999997</v>
      </c>
      <c r="N688" t="str">
        <f t="shared" si="20"/>
        <v>Robusta</v>
      </c>
      <c r="O688" t="str">
        <f t="shared" si="21"/>
        <v>Dark</v>
      </c>
      <c r="P688" t="str">
        <f>_xlfn.XLOOKUP(worksheet[[#This Row],[Customer ID]],customers!$A$1:$A$1001,customers!$I$1:$I$1001,0)</f>
        <v>Yes</v>
      </c>
    </row>
    <row r="689" spans="1:16" x14ac:dyDescent="0.25">
      <c r="A689" s="2" t="s">
        <v>4371</v>
      </c>
      <c r="B689" s="4">
        <v>43471</v>
      </c>
      <c r="C689" s="2" t="s">
        <v>4372</v>
      </c>
      <c r="D689" t="s">
        <v>6139</v>
      </c>
      <c r="E689" s="2">
        <v>2</v>
      </c>
      <c r="F689" s="2" t="str">
        <f>_xlfn.XLOOKUP(C689,customers!$A$1:$A$1001,customers!$B$1:$B$1001,0)</f>
        <v>Wilton Cottier</v>
      </c>
      <c r="G689" s="2" t="s">
        <v>4374</v>
      </c>
      <c r="H689" s="2" t="str">
        <f>_xlfn.XLOOKUP(C689,customers!$A$1:$A$1001,customers!$G$1:$G$1001,0)</f>
        <v>United States</v>
      </c>
      <c r="I689" t="str">
        <f>_xlfn.XLOOKUP(D689,products!$A$1:$A$49,products!$B$1:$B$49,0)</f>
        <v>Exc</v>
      </c>
      <c r="J689" t="str">
        <f>_xlfn.XLOOKUP('data cleaned'!D689,products!$A$1:$A$49,products!$C$1:$C$49,0)</f>
        <v>M</v>
      </c>
      <c r="K689" s="5">
        <f>_xlfn.XLOOKUP('data cleaned'!D689,products!$A$1:$A$49,products!$D$1:$D$49,0)</f>
        <v>0.5</v>
      </c>
      <c r="L689" s="6">
        <f>_xlfn.XLOOKUP('data cleaned'!D689,products!$A$1:$A$49,products!$E$1:$E$49,0)</f>
        <v>8.25</v>
      </c>
      <c r="M689" s="6">
        <f>'data cleaned'!E689*'data cleaned'!L689</f>
        <v>16.5</v>
      </c>
      <c r="N689" t="str">
        <f t="shared" si="20"/>
        <v>Excelsa</v>
      </c>
      <c r="O689" t="str">
        <f t="shared" si="21"/>
        <v>Medium</v>
      </c>
      <c r="P689" t="str">
        <f>_xlfn.XLOOKUP(worksheet[[#This Row],[Customer ID]],customers!$A$1:$A$1001,customers!$I$1:$I$1001,0)</f>
        <v>No</v>
      </c>
    </row>
    <row r="690" spans="1:16" x14ac:dyDescent="0.25">
      <c r="A690" s="2" t="s">
        <v>4377</v>
      </c>
      <c r="B690" s="4">
        <v>43579</v>
      </c>
      <c r="C690" s="2" t="s">
        <v>4378</v>
      </c>
      <c r="D690" t="s">
        <v>6140</v>
      </c>
      <c r="E690" s="2">
        <v>5</v>
      </c>
      <c r="F690" s="2" t="str">
        <f>_xlfn.XLOOKUP(C690,customers!$A$1:$A$1001,customers!$B$1:$B$1001,0)</f>
        <v>Kevan Grinsted</v>
      </c>
      <c r="G690" s="2" t="s">
        <v>4380</v>
      </c>
      <c r="H690" s="2" t="str">
        <f>_xlfn.XLOOKUP(C690,customers!$A$1:$A$1001,customers!$G$1:$G$1001,0)</f>
        <v>Ireland</v>
      </c>
      <c r="I690" t="str">
        <f>_xlfn.XLOOKUP(D690,products!$A$1:$A$49,products!$B$1:$B$49,0)</f>
        <v>Ara</v>
      </c>
      <c r="J690" t="str">
        <f>_xlfn.XLOOKUP('data cleaned'!D690,products!$A$1:$A$49,products!$C$1:$C$49,0)</f>
        <v>L</v>
      </c>
      <c r="K690" s="5">
        <f>_xlfn.XLOOKUP('data cleaned'!D690,products!$A$1:$A$49,products!$D$1:$D$49,0)</f>
        <v>1</v>
      </c>
      <c r="L690" s="6">
        <f>_xlfn.XLOOKUP('data cleaned'!D690,products!$A$1:$A$49,products!$E$1:$E$49,0)</f>
        <v>12.95</v>
      </c>
      <c r="M690" s="6">
        <f>'data cleaned'!E690*'data cleaned'!L690</f>
        <v>64.75</v>
      </c>
      <c r="N690" t="str">
        <f t="shared" si="20"/>
        <v>Arabica</v>
      </c>
      <c r="O690" t="str">
        <f t="shared" si="21"/>
        <v>Light</v>
      </c>
      <c r="P690" t="str">
        <f>_xlfn.XLOOKUP(worksheet[[#This Row],[Customer ID]],customers!$A$1:$A$1001,customers!$I$1:$I$1001,0)</f>
        <v>No</v>
      </c>
    </row>
    <row r="691" spans="1:16" x14ac:dyDescent="0.25">
      <c r="A691" s="2" t="s">
        <v>4383</v>
      </c>
      <c r="B691" s="4">
        <v>44346</v>
      </c>
      <c r="C691" s="2" t="s">
        <v>4384</v>
      </c>
      <c r="D691" t="s">
        <v>6157</v>
      </c>
      <c r="E691" s="2">
        <v>5</v>
      </c>
      <c r="F691" s="2" t="str">
        <f>_xlfn.XLOOKUP(C691,customers!$A$1:$A$1001,customers!$B$1:$B$1001,0)</f>
        <v>Dionne Skyner</v>
      </c>
      <c r="G691" s="2" t="s">
        <v>4386</v>
      </c>
      <c r="H691" s="2" t="str">
        <f>_xlfn.XLOOKUP(C691,customers!$A$1:$A$1001,customers!$G$1:$G$1001,0)</f>
        <v>United States</v>
      </c>
      <c r="I691" t="str">
        <f>_xlfn.XLOOKUP(D691,products!$A$1:$A$49,products!$B$1:$B$49,0)</f>
        <v>Ara</v>
      </c>
      <c r="J691" t="str">
        <f>_xlfn.XLOOKUP('data cleaned'!D691,products!$A$1:$A$49,products!$C$1:$C$49,0)</f>
        <v>M</v>
      </c>
      <c r="K691" s="5">
        <f>_xlfn.XLOOKUP('data cleaned'!D691,products!$A$1:$A$49,products!$D$1:$D$49,0)</f>
        <v>0.5</v>
      </c>
      <c r="L691" s="6">
        <f>_xlfn.XLOOKUP('data cleaned'!D691,products!$A$1:$A$49,products!$E$1:$E$49,0)</f>
        <v>6.75</v>
      </c>
      <c r="M691" s="6">
        <f>'data cleaned'!E691*'data cleaned'!L691</f>
        <v>33.75</v>
      </c>
      <c r="N691" t="str">
        <f t="shared" si="20"/>
        <v>Arabica</v>
      </c>
      <c r="O691" t="str">
        <f t="shared" si="21"/>
        <v>Medium</v>
      </c>
      <c r="P691" t="str">
        <f>_xlfn.XLOOKUP(worksheet[[#This Row],[Customer ID]],customers!$A$1:$A$1001,customers!$I$1:$I$1001,0)</f>
        <v>No</v>
      </c>
    </row>
    <row r="692" spans="1:16" x14ac:dyDescent="0.25">
      <c r="A692" s="2" t="s">
        <v>4389</v>
      </c>
      <c r="B692" s="4">
        <v>44754</v>
      </c>
      <c r="C692" s="2" t="s">
        <v>4390</v>
      </c>
      <c r="D692" t="s">
        <v>6165</v>
      </c>
      <c r="E692" s="2">
        <v>6</v>
      </c>
      <c r="F692" s="2" t="str">
        <f>_xlfn.XLOOKUP(C692,customers!$A$1:$A$1001,customers!$B$1:$B$1001,0)</f>
        <v>Francesco Dressel</v>
      </c>
      <c r="G692" s="2" t="s">
        <v>6222</v>
      </c>
      <c r="H692" s="2" t="str">
        <f>_xlfn.XLOOKUP(C692,customers!$A$1:$A$1001,customers!$G$1:$G$1001,0)</f>
        <v>United States</v>
      </c>
      <c r="I692" t="str">
        <f>_xlfn.XLOOKUP(D692,products!$A$1:$A$49,products!$B$1:$B$49,0)</f>
        <v>Lib</v>
      </c>
      <c r="J692" t="str">
        <f>_xlfn.XLOOKUP('data cleaned'!D692,products!$A$1:$A$49,products!$C$1:$C$49,0)</f>
        <v>D</v>
      </c>
      <c r="K692" s="5">
        <f>_xlfn.XLOOKUP('data cleaned'!D692,products!$A$1:$A$49,products!$D$1:$D$49,0)</f>
        <v>2.5</v>
      </c>
      <c r="L692" s="6">
        <f>_xlfn.XLOOKUP('data cleaned'!D692,products!$A$1:$A$49,products!$E$1:$E$49,0)</f>
        <v>29.784999999999997</v>
      </c>
      <c r="M692" s="6">
        <f>'data cleaned'!E692*'data cleaned'!L692</f>
        <v>178.70999999999998</v>
      </c>
      <c r="N692" t="str">
        <f t="shared" si="20"/>
        <v>Liberica</v>
      </c>
      <c r="O692" t="str">
        <f t="shared" si="21"/>
        <v>Dark</v>
      </c>
      <c r="P692" t="str">
        <f>_xlfn.XLOOKUP(worksheet[[#This Row],[Customer ID]],customers!$A$1:$A$1001,customers!$I$1:$I$1001,0)</f>
        <v>No</v>
      </c>
    </row>
    <row r="693" spans="1:16" x14ac:dyDescent="0.25">
      <c r="A693" s="2" t="s">
        <v>4393</v>
      </c>
      <c r="B693" s="4">
        <v>44227</v>
      </c>
      <c r="C693" s="2" t="s">
        <v>4434</v>
      </c>
      <c r="D693" t="s">
        <v>6155</v>
      </c>
      <c r="E693" s="2">
        <v>2</v>
      </c>
      <c r="F693" s="2" t="str">
        <f>_xlfn.XLOOKUP(C693,customers!$A$1:$A$1001,customers!$B$1:$B$1001,0)</f>
        <v>Jimmy Dymoke</v>
      </c>
      <c r="G693" s="2" t="s">
        <v>4436</v>
      </c>
      <c r="H693" s="2" t="str">
        <f>_xlfn.XLOOKUP(C693,customers!$A$1:$A$1001,customers!$G$1:$G$1001,0)</f>
        <v>Ireland</v>
      </c>
      <c r="I693" t="str">
        <f>_xlfn.XLOOKUP(D693,products!$A$1:$A$49,products!$B$1:$B$49,0)</f>
        <v>Ara</v>
      </c>
      <c r="J693" t="str">
        <f>_xlfn.XLOOKUP('data cleaned'!D693,products!$A$1:$A$49,products!$C$1:$C$49,0)</f>
        <v>M</v>
      </c>
      <c r="K693" s="5">
        <f>_xlfn.XLOOKUP('data cleaned'!D693,products!$A$1:$A$49,products!$D$1:$D$49,0)</f>
        <v>1</v>
      </c>
      <c r="L693" s="6">
        <f>_xlfn.XLOOKUP('data cleaned'!D693,products!$A$1:$A$49,products!$E$1:$E$49,0)</f>
        <v>11.25</v>
      </c>
      <c r="M693" s="6">
        <f>'data cleaned'!E693*'data cleaned'!L693</f>
        <v>22.5</v>
      </c>
      <c r="N693" t="str">
        <f t="shared" si="20"/>
        <v>Arabica</v>
      </c>
      <c r="O693" t="str">
        <f t="shared" si="21"/>
        <v>Medium</v>
      </c>
      <c r="P693" t="str">
        <f>_xlfn.XLOOKUP(worksheet[[#This Row],[Customer ID]],customers!$A$1:$A$1001,customers!$I$1:$I$1001,0)</f>
        <v>No</v>
      </c>
    </row>
    <row r="694" spans="1:16" x14ac:dyDescent="0.25">
      <c r="A694" s="2" t="s">
        <v>4399</v>
      </c>
      <c r="B694" s="4">
        <v>43720</v>
      </c>
      <c r="C694" s="2" t="s">
        <v>4400</v>
      </c>
      <c r="D694" t="s">
        <v>6143</v>
      </c>
      <c r="E694" s="2">
        <v>1</v>
      </c>
      <c r="F694" s="2" t="str">
        <f>_xlfn.XLOOKUP(C694,customers!$A$1:$A$1001,customers!$B$1:$B$1001,0)</f>
        <v>Ambrosio Weinmann</v>
      </c>
      <c r="G694" s="2" t="s">
        <v>4402</v>
      </c>
      <c r="H694" s="2" t="str">
        <f>_xlfn.XLOOKUP(C694,customers!$A$1:$A$1001,customers!$G$1:$G$1001,0)</f>
        <v>United States</v>
      </c>
      <c r="I694" t="str">
        <f>_xlfn.XLOOKUP(D694,products!$A$1:$A$49,products!$B$1:$B$49,0)</f>
        <v>Lib</v>
      </c>
      <c r="J694" t="str">
        <f>_xlfn.XLOOKUP('data cleaned'!D694,products!$A$1:$A$49,products!$C$1:$C$49,0)</f>
        <v>D</v>
      </c>
      <c r="K694" s="5">
        <f>_xlfn.XLOOKUP('data cleaned'!D694,products!$A$1:$A$49,products!$D$1:$D$49,0)</f>
        <v>1</v>
      </c>
      <c r="L694" s="6">
        <f>_xlfn.XLOOKUP('data cleaned'!D694,products!$A$1:$A$49,products!$E$1:$E$49,0)</f>
        <v>12.95</v>
      </c>
      <c r="M694" s="6">
        <f>'data cleaned'!E694*'data cleaned'!L694</f>
        <v>12.95</v>
      </c>
      <c r="N694" t="str">
        <f t="shared" si="20"/>
        <v>Liberica</v>
      </c>
      <c r="O694" t="str">
        <f t="shared" si="21"/>
        <v>Dark</v>
      </c>
      <c r="P694" t="str">
        <f>_xlfn.XLOOKUP(worksheet[[#This Row],[Customer ID]],customers!$A$1:$A$1001,customers!$I$1:$I$1001,0)</f>
        <v>No</v>
      </c>
    </row>
    <row r="695" spans="1:16" x14ac:dyDescent="0.25">
      <c r="A695" s="2" t="s">
        <v>4405</v>
      </c>
      <c r="B695" s="4">
        <v>44012</v>
      </c>
      <c r="C695" s="2" t="s">
        <v>4406</v>
      </c>
      <c r="D695" t="s">
        <v>6175</v>
      </c>
      <c r="E695" s="2">
        <v>2</v>
      </c>
      <c r="F695" s="2" t="str">
        <f>_xlfn.XLOOKUP(C695,customers!$A$1:$A$1001,customers!$B$1:$B$1001,0)</f>
        <v>Elden Andriessen</v>
      </c>
      <c r="G695" s="2" t="s">
        <v>4408</v>
      </c>
      <c r="H695" s="2" t="str">
        <f>_xlfn.XLOOKUP(C695,customers!$A$1:$A$1001,customers!$G$1:$G$1001,0)</f>
        <v>United States</v>
      </c>
      <c r="I695" t="str">
        <f>_xlfn.XLOOKUP(D695,products!$A$1:$A$49,products!$B$1:$B$49,0)</f>
        <v>Ara</v>
      </c>
      <c r="J695" t="str">
        <f>_xlfn.XLOOKUP('data cleaned'!D695,products!$A$1:$A$49,products!$C$1:$C$49,0)</f>
        <v>M</v>
      </c>
      <c r="K695" s="5">
        <f>_xlfn.XLOOKUP('data cleaned'!D695,products!$A$1:$A$49,products!$D$1:$D$49,0)</f>
        <v>2.5</v>
      </c>
      <c r="L695" s="6">
        <f>_xlfn.XLOOKUP('data cleaned'!D695,products!$A$1:$A$49,products!$E$1:$E$49,0)</f>
        <v>25.874999999999996</v>
      </c>
      <c r="M695" s="6">
        <f>'data cleaned'!E695*'data cleaned'!L695</f>
        <v>51.749999999999993</v>
      </c>
      <c r="N695" t="str">
        <f t="shared" si="20"/>
        <v>Arabica</v>
      </c>
      <c r="O695" t="str">
        <f t="shared" si="21"/>
        <v>Medium</v>
      </c>
      <c r="P695" t="str">
        <f>_xlfn.XLOOKUP(worksheet[[#This Row],[Customer ID]],customers!$A$1:$A$1001,customers!$I$1:$I$1001,0)</f>
        <v>Yes</v>
      </c>
    </row>
    <row r="696" spans="1:16" x14ac:dyDescent="0.25">
      <c r="A696" s="2" t="s">
        <v>4411</v>
      </c>
      <c r="B696" s="4">
        <v>43915</v>
      </c>
      <c r="C696" s="2" t="s">
        <v>4412</v>
      </c>
      <c r="D696" t="s">
        <v>6144</v>
      </c>
      <c r="E696" s="2">
        <v>5</v>
      </c>
      <c r="F696" s="2" t="str">
        <f>_xlfn.XLOOKUP(C696,customers!$A$1:$A$1001,customers!$B$1:$B$1001,0)</f>
        <v>Roxie Deaconson</v>
      </c>
      <c r="G696" s="2" t="s">
        <v>4414</v>
      </c>
      <c r="H696" s="2" t="str">
        <f>_xlfn.XLOOKUP(C696,customers!$A$1:$A$1001,customers!$G$1:$G$1001,0)</f>
        <v>United States</v>
      </c>
      <c r="I696" t="str">
        <f>_xlfn.XLOOKUP(D696,products!$A$1:$A$49,products!$B$1:$B$49,0)</f>
        <v>Exc</v>
      </c>
      <c r="J696" t="str">
        <f>_xlfn.XLOOKUP('data cleaned'!D696,products!$A$1:$A$49,products!$C$1:$C$49,0)</f>
        <v>D</v>
      </c>
      <c r="K696" s="5">
        <f>_xlfn.XLOOKUP('data cleaned'!D696,products!$A$1:$A$49,products!$D$1:$D$49,0)</f>
        <v>0.5</v>
      </c>
      <c r="L696" s="6">
        <f>_xlfn.XLOOKUP('data cleaned'!D696,products!$A$1:$A$49,products!$E$1:$E$49,0)</f>
        <v>7.29</v>
      </c>
      <c r="M696" s="6">
        <f>'data cleaned'!E696*'data cleaned'!L696</f>
        <v>36.450000000000003</v>
      </c>
      <c r="N696" t="str">
        <f t="shared" si="20"/>
        <v>Excelsa</v>
      </c>
      <c r="O696" t="str">
        <f t="shared" si="21"/>
        <v>Dark</v>
      </c>
      <c r="P696" t="str">
        <f>_xlfn.XLOOKUP(worksheet[[#This Row],[Customer ID]],customers!$A$1:$A$1001,customers!$I$1:$I$1001,0)</f>
        <v>No</v>
      </c>
    </row>
    <row r="697" spans="1:16" x14ac:dyDescent="0.25">
      <c r="A697" s="2" t="s">
        <v>4417</v>
      </c>
      <c r="B697" s="4">
        <v>44300</v>
      </c>
      <c r="C697" s="2" t="s">
        <v>4418</v>
      </c>
      <c r="D697" t="s">
        <v>6164</v>
      </c>
      <c r="E697" s="2">
        <v>5</v>
      </c>
      <c r="F697" s="2" t="str">
        <f>_xlfn.XLOOKUP(C697,customers!$A$1:$A$1001,customers!$B$1:$B$1001,0)</f>
        <v>Davida Caro</v>
      </c>
      <c r="G697" s="2" t="s">
        <v>4420</v>
      </c>
      <c r="H697" s="2" t="str">
        <f>_xlfn.XLOOKUP(C697,customers!$A$1:$A$1001,customers!$G$1:$G$1001,0)</f>
        <v>United States</v>
      </c>
      <c r="I697" t="str">
        <f>_xlfn.XLOOKUP(D697,products!$A$1:$A$49,products!$B$1:$B$49,0)</f>
        <v>Lib</v>
      </c>
      <c r="J697" t="str">
        <f>_xlfn.XLOOKUP('data cleaned'!D697,products!$A$1:$A$49,products!$C$1:$C$49,0)</f>
        <v>L</v>
      </c>
      <c r="K697" s="5">
        <f>_xlfn.XLOOKUP('data cleaned'!D697,products!$A$1:$A$49,products!$D$1:$D$49,0)</f>
        <v>2.5</v>
      </c>
      <c r="L697" s="6">
        <f>_xlfn.XLOOKUP('data cleaned'!D697,products!$A$1:$A$49,products!$E$1:$E$49,0)</f>
        <v>36.454999999999998</v>
      </c>
      <c r="M697" s="6">
        <f>'data cleaned'!E697*'data cleaned'!L697</f>
        <v>182.27499999999998</v>
      </c>
      <c r="N697" t="str">
        <f t="shared" si="20"/>
        <v>Liberica</v>
      </c>
      <c r="O697" t="str">
        <f t="shared" si="21"/>
        <v>Light</v>
      </c>
      <c r="P697" t="str">
        <f>_xlfn.XLOOKUP(worksheet[[#This Row],[Customer ID]],customers!$A$1:$A$1001,customers!$I$1:$I$1001,0)</f>
        <v>Yes</v>
      </c>
    </row>
    <row r="698" spans="1:16" x14ac:dyDescent="0.25">
      <c r="A698" s="2" t="s">
        <v>4423</v>
      </c>
      <c r="B698" s="4">
        <v>43693</v>
      </c>
      <c r="C698" s="2" t="s">
        <v>4424</v>
      </c>
      <c r="D698" t="s">
        <v>6169</v>
      </c>
      <c r="E698" s="2">
        <v>4</v>
      </c>
      <c r="F698" s="2" t="str">
        <f>_xlfn.XLOOKUP(C698,customers!$A$1:$A$1001,customers!$B$1:$B$1001,0)</f>
        <v>Johna Bluck</v>
      </c>
      <c r="G698" s="2" t="s">
        <v>4426</v>
      </c>
      <c r="H698" s="2" t="str">
        <f>_xlfn.XLOOKUP(C698,customers!$A$1:$A$1001,customers!$G$1:$G$1001,0)</f>
        <v>United States</v>
      </c>
      <c r="I698" t="str">
        <f>_xlfn.XLOOKUP(D698,products!$A$1:$A$49,products!$B$1:$B$49,0)</f>
        <v>Lib</v>
      </c>
      <c r="J698" t="str">
        <f>_xlfn.XLOOKUP('data cleaned'!D698,products!$A$1:$A$49,products!$C$1:$C$49,0)</f>
        <v>D</v>
      </c>
      <c r="K698" s="5">
        <f>_xlfn.XLOOKUP('data cleaned'!D698,products!$A$1:$A$49,products!$D$1:$D$49,0)</f>
        <v>0.5</v>
      </c>
      <c r="L698" s="6">
        <f>_xlfn.XLOOKUP('data cleaned'!D698,products!$A$1:$A$49,products!$E$1:$E$49,0)</f>
        <v>7.77</v>
      </c>
      <c r="M698" s="6">
        <f>'data cleaned'!E698*'data cleaned'!L698</f>
        <v>31.08</v>
      </c>
      <c r="N698" t="str">
        <f t="shared" si="20"/>
        <v>Liberica</v>
      </c>
      <c r="O698" t="str">
        <f t="shared" si="21"/>
        <v>Dark</v>
      </c>
      <c r="P698" t="str">
        <f>_xlfn.XLOOKUP(worksheet[[#This Row],[Customer ID]],customers!$A$1:$A$1001,customers!$I$1:$I$1001,0)</f>
        <v>No</v>
      </c>
    </row>
    <row r="699" spans="1:16" x14ac:dyDescent="0.25">
      <c r="A699" s="2" t="s">
        <v>4429</v>
      </c>
      <c r="B699" s="4">
        <v>44547</v>
      </c>
      <c r="C699" s="2" t="s">
        <v>4430</v>
      </c>
      <c r="D699" t="s">
        <v>6157</v>
      </c>
      <c r="E699" s="2">
        <v>3</v>
      </c>
      <c r="F699" s="2" t="str">
        <f>_xlfn.XLOOKUP(C699,customers!$A$1:$A$1001,customers!$B$1:$B$1001,0)</f>
        <v>Myrle Dearden</v>
      </c>
      <c r="G699" s="2" t="s">
        <v>6222</v>
      </c>
      <c r="H699" s="2" t="str">
        <f>_xlfn.XLOOKUP(C699,customers!$A$1:$A$1001,customers!$G$1:$G$1001,0)</f>
        <v>Ireland</v>
      </c>
      <c r="I699" t="str">
        <f>_xlfn.XLOOKUP(D699,products!$A$1:$A$49,products!$B$1:$B$49,0)</f>
        <v>Ara</v>
      </c>
      <c r="J699" t="str">
        <f>_xlfn.XLOOKUP('data cleaned'!D699,products!$A$1:$A$49,products!$C$1:$C$49,0)</f>
        <v>M</v>
      </c>
      <c r="K699" s="5">
        <f>_xlfn.XLOOKUP('data cleaned'!D699,products!$A$1:$A$49,products!$D$1:$D$49,0)</f>
        <v>0.5</v>
      </c>
      <c r="L699" s="6">
        <f>_xlfn.XLOOKUP('data cleaned'!D699,products!$A$1:$A$49,products!$E$1:$E$49,0)</f>
        <v>6.75</v>
      </c>
      <c r="M699" s="6">
        <f>'data cleaned'!E699*'data cleaned'!L699</f>
        <v>20.25</v>
      </c>
      <c r="N699" t="str">
        <f t="shared" si="20"/>
        <v>Arabica</v>
      </c>
      <c r="O699" t="str">
        <f t="shared" si="21"/>
        <v>Medium</v>
      </c>
      <c r="P699" t="str">
        <f>_xlfn.XLOOKUP(worksheet[[#This Row],[Customer ID]],customers!$A$1:$A$1001,customers!$I$1:$I$1001,0)</f>
        <v>No</v>
      </c>
    </row>
    <row r="700" spans="1:16" x14ac:dyDescent="0.25">
      <c r="A700" s="2" t="s">
        <v>4433</v>
      </c>
      <c r="B700" s="4">
        <v>43830</v>
      </c>
      <c r="C700" s="2" t="s">
        <v>4434</v>
      </c>
      <c r="D700" t="s">
        <v>6143</v>
      </c>
      <c r="E700" s="2">
        <v>2</v>
      </c>
      <c r="F700" s="2" t="str">
        <f>_xlfn.XLOOKUP(C700,customers!$A$1:$A$1001,customers!$B$1:$B$1001,0)</f>
        <v>Jimmy Dymoke</v>
      </c>
      <c r="G700" s="2" t="s">
        <v>4436</v>
      </c>
      <c r="H700" s="2" t="str">
        <f>_xlfn.XLOOKUP(C700,customers!$A$1:$A$1001,customers!$G$1:$G$1001,0)</f>
        <v>Ireland</v>
      </c>
      <c r="I700" t="str">
        <f>_xlfn.XLOOKUP(D700,products!$A$1:$A$49,products!$B$1:$B$49,0)</f>
        <v>Lib</v>
      </c>
      <c r="J700" t="str">
        <f>_xlfn.XLOOKUP('data cleaned'!D700,products!$A$1:$A$49,products!$C$1:$C$49,0)</f>
        <v>D</v>
      </c>
      <c r="K700" s="5">
        <f>_xlfn.XLOOKUP('data cleaned'!D700,products!$A$1:$A$49,products!$D$1:$D$49,0)</f>
        <v>1</v>
      </c>
      <c r="L700" s="6">
        <f>_xlfn.XLOOKUP('data cleaned'!D700,products!$A$1:$A$49,products!$E$1:$E$49,0)</f>
        <v>12.95</v>
      </c>
      <c r="M700" s="6">
        <f>'data cleaned'!E700*'data cleaned'!L700</f>
        <v>25.9</v>
      </c>
      <c r="N700" t="str">
        <f t="shared" si="20"/>
        <v>Liberica</v>
      </c>
      <c r="O700" t="str">
        <f t="shared" si="21"/>
        <v>Dark</v>
      </c>
      <c r="P700" t="str">
        <f>_xlfn.XLOOKUP(worksheet[[#This Row],[Customer ID]],customers!$A$1:$A$1001,customers!$I$1:$I$1001,0)</f>
        <v>No</v>
      </c>
    </row>
    <row r="701" spans="1:16" x14ac:dyDescent="0.25">
      <c r="A701" s="2" t="s">
        <v>4439</v>
      </c>
      <c r="B701" s="4">
        <v>44298</v>
      </c>
      <c r="C701" s="2" t="s">
        <v>4440</v>
      </c>
      <c r="D701" t="s">
        <v>6158</v>
      </c>
      <c r="E701" s="2">
        <v>4</v>
      </c>
      <c r="F701" s="2" t="str">
        <f>_xlfn.XLOOKUP(C701,customers!$A$1:$A$1001,customers!$B$1:$B$1001,0)</f>
        <v>Orland Tadman</v>
      </c>
      <c r="G701" s="2" t="s">
        <v>4442</v>
      </c>
      <c r="H701" s="2" t="str">
        <f>_xlfn.XLOOKUP(C701,customers!$A$1:$A$1001,customers!$G$1:$G$1001,0)</f>
        <v>United States</v>
      </c>
      <c r="I701" t="str">
        <f>_xlfn.XLOOKUP(D701,products!$A$1:$A$49,products!$B$1:$B$49,0)</f>
        <v>Ara</v>
      </c>
      <c r="J701" t="str">
        <f>_xlfn.XLOOKUP('data cleaned'!D701,products!$A$1:$A$49,products!$C$1:$C$49,0)</f>
        <v>D</v>
      </c>
      <c r="K701" s="5">
        <f>_xlfn.XLOOKUP('data cleaned'!D701,products!$A$1:$A$49,products!$D$1:$D$49,0)</f>
        <v>0.5</v>
      </c>
      <c r="L701" s="6">
        <f>_xlfn.XLOOKUP('data cleaned'!D701,products!$A$1:$A$49,products!$E$1:$E$49,0)</f>
        <v>5.97</v>
      </c>
      <c r="M701" s="6">
        <f>'data cleaned'!E701*'data cleaned'!L701</f>
        <v>23.88</v>
      </c>
      <c r="N701" t="str">
        <f t="shared" si="20"/>
        <v>Arabica</v>
      </c>
      <c r="O701" t="str">
        <f t="shared" si="21"/>
        <v>Dark</v>
      </c>
      <c r="P701" t="str">
        <f>_xlfn.XLOOKUP(worksheet[[#This Row],[Customer ID]],customers!$A$1:$A$1001,customers!$I$1:$I$1001,0)</f>
        <v>Yes</v>
      </c>
    </row>
    <row r="702" spans="1:16" x14ac:dyDescent="0.25">
      <c r="A702" s="2" t="s">
        <v>4445</v>
      </c>
      <c r="B702" s="4">
        <v>43736</v>
      </c>
      <c r="C702" s="2" t="s">
        <v>4446</v>
      </c>
      <c r="D702" t="s">
        <v>6161</v>
      </c>
      <c r="E702" s="2">
        <v>2</v>
      </c>
      <c r="F702" s="2" t="str">
        <f>_xlfn.XLOOKUP(C702,customers!$A$1:$A$1001,customers!$B$1:$B$1001,0)</f>
        <v>Barrett Gudde</v>
      </c>
      <c r="G702" s="2" t="s">
        <v>4448</v>
      </c>
      <c r="H702" s="2" t="str">
        <f>_xlfn.XLOOKUP(C702,customers!$A$1:$A$1001,customers!$G$1:$G$1001,0)</f>
        <v>United States</v>
      </c>
      <c r="I702" t="str">
        <f>_xlfn.XLOOKUP(D702,products!$A$1:$A$49,products!$B$1:$B$49,0)</f>
        <v>Lib</v>
      </c>
      <c r="J702" t="str">
        <f>_xlfn.XLOOKUP('data cleaned'!D702,products!$A$1:$A$49,products!$C$1:$C$49,0)</f>
        <v>L</v>
      </c>
      <c r="K702" s="5">
        <f>_xlfn.XLOOKUP('data cleaned'!D702,products!$A$1:$A$49,products!$D$1:$D$49,0)</f>
        <v>0.5</v>
      </c>
      <c r="L702" s="6">
        <f>_xlfn.XLOOKUP('data cleaned'!D702,products!$A$1:$A$49,products!$E$1:$E$49,0)</f>
        <v>9.51</v>
      </c>
      <c r="M702" s="6">
        <f>'data cleaned'!E702*'data cleaned'!L702</f>
        <v>19.02</v>
      </c>
      <c r="N702" t="str">
        <f t="shared" si="20"/>
        <v>Liberica</v>
      </c>
      <c r="O702" t="str">
        <f t="shared" si="21"/>
        <v>Light</v>
      </c>
      <c r="P702" t="str">
        <f>_xlfn.XLOOKUP(worksheet[[#This Row],[Customer ID]],customers!$A$1:$A$1001,customers!$I$1:$I$1001,0)</f>
        <v>No</v>
      </c>
    </row>
    <row r="703" spans="1:16" x14ac:dyDescent="0.25">
      <c r="A703" s="2" t="s">
        <v>4450</v>
      </c>
      <c r="B703" s="4">
        <v>44727</v>
      </c>
      <c r="C703" s="2" t="s">
        <v>4451</v>
      </c>
      <c r="D703" t="s">
        <v>6158</v>
      </c>
      <c r="E703" s="2">
        <v>5</v>
      </c>
      <c r="F703" s="2" t="str">
        <f>_xlfn.XLOOKUP(C703,customers!$A$1:$A$1001,customers!$B$1:$B$1001,0)</f>
        <v>Nathan Sictornes</v>
      </c>
      <c r="G703" s="2" t="s">
        <v>4453</v>
      </c>
      <c r="H703" s="2" t="str">
        <f>_xlfn.XLOOKUP(C703,customers!$A$1:$A$1001,customers!$G$1:$G$1001,0)</f>
        <v>Ireland</v>
      </c>
      <c r="I703" t="str">
        <f>_xlfn.XLOOKUP(D703,products!$A$1:$A$49,products!$B$1:$B$49,0)</f>
        <v>Ara</v>
      </c>
      <c r="J703" t="str">
        <f>_xlfn.XLOOKUP('data cleaned'!D703,products!$A$1:$A$49,products!$C$1:$C$49,0)</f>
        <v>D</v>
      </c>
      <c r="K703" s="5">
        <f>_xlfn.XLOOKUP('data cleaned'!D703,products!$A$1:$A$49,products!$D$1:$D$49,0)</f>
        <v>0.5</v>
      </c>
      <c r="L703" s="6">
        <f>_xlfn.XLOOKUP('data cleaned'!D703,products!$A$1:$A$49,products!$E$1:$E$49,0)</f>
        <v>5.97</v>
      </c>
      <c r="M703" s="6">
        <f>'data cleaned'!E703*'data cleaned'!L703</f>
        <v>29.849999999999998</v>
      </c>
      <c r="N703" t="str">
        <f t="shared" si="20"/>
        <v>Arabica</v>
      </c>
      <c r="O703" t="str">
        <f t="shared" si="21"/>
        <v>Dark</v>
      </c>
      <c r="P703" t="str">
        <f>_xlfn.XLOOKUP(worksheet[[#This Row],[Customer ID]],customers!$A$1:$A$1001,customers!$I$1:$I$1001,0)</f>
        <v>Yes</v>
      </c>
    </row>
    <row r="704" spans="1:16" x14ac:dyDescent="0.25">
      <c r="A704" s="2" t="s">
        <v>4456</v>
      </c>
      <c r="B704" s="4">
        <v>43661</v>
      </c>
      <c r="C704" s="2" t="s">
        <v>4457</v>
      </c>
      <c r="D704" t="s">
        <v>6180</v>
      </c>
      <c r="E704" s="2">
        <v>1</v>
      </c>
      <c r="F704" s="2" t="str">
        <f>_xlfn.XLOOKUP(C704,customers!$A$1:$A$1001,customers!$B$1:$B$1001,0)</f>
        <v>Vivyan Dunning</v>
      </c>
      <c r="G704" s="2" t="s">
        <v>4459</v>
      </c>
      <c r="H704" s="2" t="str">
        <f>_xlfn.XLOOKUP(C704,customers!$A$1:$A$1001,customers!$G$1:$G$1001,0)</f>
        <v>United States</v>
      </c>
      <c r="I704" t="str">
        <f>_xlfn.XLOOKUP(D704,products!$A$1:$A$49,products!$B$1:$B$49,0)</f>
        <v>Ara</v>
      </c>
      <c r="J704" t="str">
        <f>_xlfn.XLOOKUP('data cleaned'!D704,products!$A$1:$A$49,products!$C$1:$C$49,0)</f>
        <v>L</v>
      </c>
      <c r="K704" s="5">
        <f>_xlfn.XLOOKUP('data cleaned'!D704,products!$A$1:$A$49,products!$D$1:$D$49,0)</f>
        <v>0.5</v>
      </c>
      <c r="L704" s="6">
        <f>_xlfn.XLOOKUP('data cleaned'!D704,products!$A$1:$A$49,products!$E$1:$E$49,0)</f>
        <v>7.77</v>
      </c>
      <c r="M704" s="6">
        <f>'data cleaned'!E704*'data cleaned'!L704</f>
        <v>7.77</v>
      </c>
      <c r="N704" t="str">
        <f t="shared" si="20"/>
        <v>Arabica</v>
      </c>
      <c r="O704" t="str">
        <f t="shared" si="21"/>
        <v>Light</v>
      </c>
      <c r="P704" t="str">
        <f>_xlfn.XLOOKUP(worksheet[[#This Row],[Customer ID]],customers!$A$1:$A$1001,customers!$I$1:$I$1001,0)</f>
        <v>Yes</v>
      </c>
    </row>
    <row r="705" spans="1:16" x14ac:dyDescent="0.25">
      <c r="A705" s="2" t="s">
        <v>4461</v>
      </c>
      <c r="B705" s="4">
        <v>43506</v>
      </c>
      <c r="C705" s="2" t="s">
        <v>4462</v>
      </c>
      <c r="D705" t="s">
        <v>6165</v>
      </c>
      <c r="E705" s="2">
        <v>4</v>
      </c>
      <c r="F705" s="2" t="str">
        <f>_xlfn.XLOOKUP(C705,customers!$A$1:$A$1001,customers!$B$1:$B$1001,0)</f>
        <v>Doralin Baison</v>
      </c>
      <c r="G705" s="2" t="s">
        <v>6222</v>
      </c>
      <c r="H705" s="2" t="str">
        <f>_xlfn.XLOOKUP(C705,customers!$A$1:$A$1001,customers!$G$1:$G$1001,0)</f>
        <v>Ireland</v>
      </c>
      <c r="I705" t="str">
        <f>_xlfn.XLOOKUP(D705,products!$A$1:$A$49,products!$B$1:$B$49,0)</f>
        <v>Lib</v>
      </c>
      <c r="J705" t="str">
        <f>_xlfn.XLOOKUP('data cleaned'!D705,products!$A$1:$A$49,products!$C$1:$C$49,0)</f>
        <v>D</v>
      </c>
      <c r="K705" s="5">
        <f>_xlfn.XLOOKUP('data cleaned'!D705,products!$A$1:$A$49,products!$D$1:$D$49,0)</f>
        <v>2.5</v>
      </c>
      <c r="L705" s="6">
        <f>_xlfn.XLOOKUP('data cleaned'!D705,products!$A$1:$A$49,products!$E$1:$E$49,0)</f>
        <v>29.784999999999997</v>
      </c>
      <c r="M705" s="6">
        <f>'data cleaned'!E705*'data cleaned'!L705</f>
        <v>119.13999999999999</v>
      </c>
      <c r="N705" t="str">
        <f t="shared" si="20"/>
        <v>Liberica</v>
      </c>
      <c r="O705" t="str">
        <f t="shared" si="21"/>
        <v>Dark</v>
      </c>
      <c r="P705" t="str">
        <f>_xlfn.XLOOKUP(worksheet[[#This Row],[Customer ID]],customers!$A$1:$A$1001,customers!$I$1:$I$1001,0)</f>
        <v>Yes</v>
      </c>
    </row>
    <row r="706" spans="1:16" x14ac:dyDescent="0.25">
      <c r="A706" s="2" t="s">
        <v>4466</v>
      </c>
      <c r="B706" s="4">
        <v>44716</v>
      </c>
      <c r="C706" s="2" t="s">
        <v>4467</v>
      </c>
      <c r="D706" t="s">
        <v>6153</v>
      </c>
      <c r="E706" s="2">
        <v>6</v>
      </c>
      <c r="F706" s="2" t="str">
        <f>_xlfn.XLOOKUP(C706,customers!$A$1:$A$1001,customers!$B$1:$B$1001,0)</f>
        <v>Josefina Ferens</v>
      </c>
      <c r="G706" s="2" t="s">
        <v>6222</v>
      </c>
      <c r="H706" s="2" t="str">
        <f>_xlfn.XLOOKUP(C706,customers!$A$1:$A$1001,customers!$G$1:$G$1001,0)</f>
        <v>United States</v>
      </c>
      <c r="I706" t="str">
        <f>_xlfn.XLOOKUP(D706,products!$A$1:$A$49,products!$B$1:$B$49,0)</f>
        <v>Exc</v>
      </c>
      <c r="J706" t="str">
        <f>_xlfn.XLOOKUP('data cleaned'!D706,products!$A$1:$A$49,products!$C$1:$C$49,0)</f>
        <v>D</v>
      </c>
      <c r="K706" s="5">
        <f>_xlfn.XLOOKUP('data cleaned'!D706,products!$A$1:$A$49,products!$D$1:$D$49,0)</f>
        <v>0.2</v>
      </c>
      <c r="L706" s="6">
        <f>_xlfn.XLOOKUP('data cleaned'!D706,products!$A$1:$A$49,products!$E$1:$E$49,0)</f>
        <v>3.645</v>
      </c>
      <c r="M706" s="6">
        <f>'data cleaned'!E706*'data cleaned'!L706</f>
        <v>21.87</v>
      </c>
      <c r="N706" t="str">
        <f t="shared" si="20"/>
        <v>Excelsa</v>
      </c>
      <c r="O706" t="str">
        <f t="shared" si="21"/>
        <v>Dark</v>
      </c>
      <c r="P706" t="str">
        <f>_xlfn.XLOOKUP(worksheet[[#This Row],[Customer ID]],customers!$A$1:$A$1001,customers!$I$1:$I$1001,0)</f>
        <v>Yes</v>
      </c>
    </row>
    <row r="707" spans="1:16" x14ac:dyDescent="0.25">
      <c r="A707" s="2" t="s">
        <v>4471</v>
      </c>
      <c r="B707" s="4">
        <v>44114</v>
      </c>
      <c r="C707" s="2" t="s">
        <v>4472</v>
      </c>
      <c r="D707" t="s">
        <v>6176</v>
      </c>
      <c r="E707" s="2">
        <v>2</v>
      </c>
      <c r="F707" s="2" t="str">
        <f>_xlfn.XLOOKUP(C707,customers!$A$1:$A$1001,customers!$B$1:$B$1001,0)</f>
        <v>Shelley Gehring</v>
      </c>
      <c r="G707" s="2" t="s">
        <v>4474</v>
      </c>
      <c r="H707" s="2" t="str">
        <f>_xlfn.XLOOKUP(C707,customers!$A$1:$A$1001,customers!$G$1:$G$1001,0)</f>
        <v>United States</v>
      </c>
      <c r="I707" t="str">
        <f>_xlfn.XLOOKUP(D707,products!$A$1:$A$49,products!$B$1:$B$49,0)</f>
        <v>Exc</v>
      </c>
      <c r="J707" t="str">
        <f>_xlfn.XLOOKUP('data cleaned'!D707,products!$A$1:$A$49,products!$C$1:$C$49,0)</f>
        <v>L</v>
      </c>
      <c r="K707" s="5">
        <f>_xlfn.XLOOKUP('data cleaned'!D707,products!$A$1:$A$49,products!$D$1:$D$49,0)</f>
        <v>0.5</v>
      </c>
      <c r="L707" s="6">
        <f>_xlfn.XLOOKUP('data cleaned'!D707,products!$A$1:$A$49,products!$E$1:$E$49,0)</f>
        <v>8.91</v>
      </c>
      <c r="M707" s="6">
        <f>'data cleaned'!E707*'data cleaned'!L707</f>
        <v>17.82</v>
      </c>
      <c r="N707" t="str">
        <f t="shared" ref="N707:N770" si="22">IF(I707="Rob","Robusta",IF(I707="Exc","Excelsa",IF(I707="Ara","Arabica",IF(I707="Lib","Liberica",""))))</f>
        <v>Excelsa</v>
      </c>
      <c r="O707" t="str">
        <f t="shared" ref="O707:O770" si="23">IF(J707="M","Medium",IF(J707="L","Light",IF(J707="D","Dark","")))</f>
        <v>Light</v>
      </c>
      <c r="P707" t="str">
        <f>_xlfn.XLOOKUP(worksheet[[#This Row],[Customer ID]],customers!$A$1:$A$1001,customers!$I$1:$I$1001,0)</f>
        <v>No</v>
      </c>
    </row>
    <row r="708" spans="1:16" x14ac:dyDescent="0.25">
      <c r="A708" s="2" t="s">
        <v>4477</v>
      </c>
      <c r="B708" s="4">
        <v>44353</v>
      </c>
      <c r="C708" s="2" t="s">
        <v>4478</v>
      </c>
      <c r="D708" t="s">
        <v>6156</v>
      </c>
      <c r="E708" s="2">
        <v>3</v>
      </c>
      <c r="F708" s="2" t="str">
        <f>_xlfn.XLOOKUP(C708,customers!$A$1:$A$1001,customers!$B$1:$B$1001,0)</f>
        <v>Barrie Fallowes</v>
      </c>
      <c r="G708" s="2" t="s">
        <v>4480</v>
      </c>
      <c r="H708" s="2" t="str">
        <f>_xlfn.XLOOKUP(C708,customers!$A$1:$A$1001,customers!$G$1:$G$1001,0)</f>
        <v>United States</v>
      </c>
      <c r="I708" t="str">
        <f>_xlfn.XLOOKUP(D708,products!$A$1:$A$49,products!$B$1:$B$49,0)</f>
        <v>Exc</v>
      </c>
      <c r="J708" t="str">
        <f>_xlfn.XLOOKUP('data cleaned'!D708,products!$A$1:$A$49,products!$C$1:$C$49,0)</f>
        <v>M</v>
      </c>
      <c r="K708" s="5">
        <f>_xlfn.XLOOKUP('data cleaned'!D708,products!$A$1:$A$49,products!$D$1:$D$49,0)</f>
        <v>0.2</v>
      </c>
      <c r="L708" s="6">
        <f>_xlfn.XLOOKUP('data cleaned'!D708,products!$A$1:$A$49,products!$E$1:$E$49,0)</f>
        <v>4.125</v>
      </c>
      <c r="M708" s="6">
        <f>'data cleaned'!E708*'data cleaned'!L708</f>
        <v>12.375</v>
      </c>
      <c r="N708" t="str">
        <f t="shared" si="22"/>
        <v>Excelsa</v>
      </c>
      <c r="O708" t="str">
        <f t="shared" si="23"/>
        <v>Medium</v>
      </c>
      <c r="P708" t="str">
        <f>_xlfn.XLOOKUP(worksheet[[#This Row],[Customer ID]],customers!$A$1:$A$1001,customers!$I$1:$I$1001,0)</f>
        <v>No</v>
      </c>
    </row>
    <row r="709" spans="1:16" x14ac:dyDescent="0.25">
      <c r="A709" s="2" t="s">
        <v>4483</v>
      </c>
      <c r="B709" s="4">
        <v>43540</v>
      </c>
      <c r="C709" s="2" t="s">
        <v>4484</v>
      </c>
      <c r="D709" t="s">
        <v>6143</v>
      </c>
      <c r="E709" s="2">
        <v>2</v>
      </c>
      <c r="F709" s="2" t="str">
        <f>_xlfn.XLOOKUP(C709,customers!$A$1:$A$1001,customers!$B$1:$B$1001,0)</f>
        <v>Nicolas Aiton</v>
      </c>
      <c r="G709" s="2" t="s">
        <v>6222</v>
      </c>
      <c r="H709" s="2" t="str">
        <f>_xlfn.XLOOKUP(C709,customers!$A$1:$A$1001,customers!$G$1:$G$1001,0)</f>
        <v>Ireland</v>
      </c>
      <c r="I709" t="str">
        <f>_xlfn.XLOOKUP(D709,products!$A$1:$A$49,products!$B$1:$B$49,0)</f>
        <v>Lib</v>
      </c>
      <c r="J709" t="str">
        <f>_xlfn.XLOOKUP('data cleaned'!D709,products!$A$1:$A$49,products!$C$1:$C$49,0)</f>
        <v>D</v>
      </c>
      <c r="K709" s="5">
        <f>_xlfn.XLOOKUP('data cleaned'!D709,products!$A$1:$A$49,products!$D$1:$D$49,0)</f>
        <v>1</v>
      </c>
      <c r="L709" s="6">
        <f>_xlfn.XLOOKUP('data cleaned'!D709,products!$A$1:$A$49,products!$E$1:$E$49,0)</f>
        <v>12.95</v>
      </c>
      <c r="M709" s="6">
        <f>'data cleaned'!E709*'data cleaned'!L709</f>
        <v>25.9</v>
      </c>
      <c r="N709" t="str">
        <f t="shared" si="22"/>
        <v>Liberica</v>
      </c>
      <c r="O709" t="str">
        <f t="shared" si="23"/>
        <v>Dark</v>
      </c>
      <c r="P709" t="str">
        <f>_xlfn.XLOOKUP(worksheet[[#This Row],[Customer ID]],customers!$A$1:$A$1001,customers!$I$1:$I$1001,0)</f>
        <v>No</v>
      </c>
    </row>
    <row r="710" spans="1:16" x14ac:dyDescent="0.25">
      <c r="A710" s="2" t="s">
        <v>4488</v>
      </c>
      <c r="B710" s="4">
        <v>43804</v>
      </c>
      <c r="C710" s="2" t="s">
        <v>4489</v>
      </c>
      <c r="D710" t="s">
        <v>6157</v>
      </c>
      <c r="E710" s="2">
        <v>2</v>
      </c>
      <c r="F710" s="2" t="str">
        <f>_xlfn.XLOOKUP(C710,customers!$A$1:$A$1001,customers!$B$1:$B$1001,0)</f>
        <v>Shelli De Banke</v>
      </c>
      <c r="G710" s="2" t="s">
        <v>4491</v>
      </c>
      <c r="H710" s="2" t="str">
        <f>_xlfn.XLOOKUP(C710,customers!$A$1:$A$1001,customers!$G$1:$G$1001,0)</f>
        <v>United States</v>
      </c>
      <c r="I710" t="str">
        <f>_xlfn.XLOOKUP(D710,products!$A$1:$A$49,products!$B$1:$B$49,0)</f>
        <v>Ara</v>
      </c>
      <c r="J710" t="str">
        <f>_xlfn.XLOOKUP('data cleaned'!D710,products!$A$1:$A$49,products!$C$1:$C$49,0)</f>
        <v>M</v>
      </c>
      <c r="K710" s="5">
        <f>_xlfn.XLOOKUP('data cleaned'!D710,products!$A$1:$A$49,products!$D$1:$D$49,0)</f>
        <v>0.5</v>
      </c>
      <c r="L710" s="6">
        <f>_xlfn.XLOOKUP('data cleaned'!D710,products!$A$1:$A$49,products!$E$1:$E$49,0)</f>
        <v>6.75</v>
      </c>
      <c r="M710" s="6">
        <f>'data cleaned'!E710*'data cleaned'!L710</f>
        <v>13.5</v>
      </c>
      <c r="N710" t="str">
        <f t="shared" si="22"/>
        <v>Arabica</v>
      </c>
      <c r="O710" t="str">
        <f t="shared" si="23"/>
        <v>Medium</v>
      </c>
      <c r="P710" t="str">
        <f>_xlfn.XLOOKUP(worksheet[[#This Row],[Customer ID]],customers!$A$1:$A$1001,customers!$I$1:$I$1001,0)</f>
        <v>Yes</v>
      </c>
    </row>
    <row r="711" spans="1:16" x14ac:dyDescent="0.25">
      <c r="A711" s="2" t="s">
        <v>4494</v>
      </c>
      <c r="B711" s="4">
        <v>43485</v>
      </c>
      <c r="C711" s="2" t="s">
        <v>4495</v>
      </c>
      <c r="D711" t="s">
        <v>6176</v>
      </c>
      <c r="E711" s="2">
        <v>2</v>
      </c>
      <c r="F711" s="2" t="str">
        <f>_xlfn.XLOOKUP(C711,customers!$A$1:$A$1001,customers!$B$1:$B$1001,0)</f>
        <v>Lyell Murch</v>
      </c>
      <c r="G711" s="2" t="s">
        <v>6222</v>
      </c>
      <c r="H711" s="2" t="str">
        <f>_xlfn.XLOOKUP(C711,customers!$A$1:$A$1001,customers!$G$1:$G$1001,0)</f>
        <v>United States</v>
      </c>
      <c r="I711" t="str">
        <f>_xlfn.XLOOKUP(D711,products!$A$1:$A$49,products!$B$1:$B$49,0)</f>
        <v>Exc</v>
      </c>
      <c r="J711" t="str">
        <f>_xlfn.XLOOKUP('data cleaned'!D711,products!$A$1:$A$49,products!$C$1:$C$49,0)</f>
        <v>L</v>
      </c>
      <c r="K711" s="5">
        <f>_xlfn.XLOOKUP('data cleaned'!D711,products!$A$1:$A$49,products!$D$1:$D$49,0)</f>
        <v>0.5</v>
      </c>
      <c r="L711" s="6">
        <f>_xlfn.XLOOKUP('data cleaned'!D711,products!$A$1:$A$49,products!$E$1:$E$49,0)</f>
        <v>8.91</v>
      </c>
      <c r="M711" s="6">
        <f>'data cleaned'!E711*'data cleaned'!L711</f>
        <v>17.82</v>
      </c>
      <c r="N711" t="str">
        <f t="shared" si="22"/>
        <v>Excelsa</v>
      </c>
      <c r="O711" t="str">
        <f t="shared" si="23"/>
        <v>Light</v>
      </c>
      <c r="P711" t="str">
        <f>_xlfn.XLOOKUP(worksheet[[#This Row],[Customer ID]],customers!$A$1:$A$1001,customers!$I$1:$I$1001,0)</f>
        <v>Yes</v>
      </c>
    </row>
    <row r="712" spans="1:16" x14ac:dyDescent="0.25">
      <c r="A712" s="2" t="s">
        <v>4499</v>
      </c>
      <c r="B712" s="4">
        <v>44655</v>
      </c>
      <c r="C712" s="2" t="s">
        <v>4500</v>
      </c>
      <c r="D712" t="s">
        <v>6139</v>
      </c>
      <c r="E712" s="2">
        <v>3</v>
      </c>
      <c r="F712" s="2" t="str">
        <f>_xlfn.XLOOKUP(C712,customers!$A$1:$A$1001,customers!$B$1:$B$1001,0)</f>
        <v>Stearne Count</v>
      </c>
      <c r="G712" s="2" t="s">
        <v>4502</v>
      </c>
      <c r="H712" s="2" t="str">
        <f>_xlfn.XLOOKUP(C712,customers!$A$1:$A$1001,customers!$G$1:$G$1001,0)</f>
        <v>United States</v>
      </c>
      <c r="I712" t="str">
        <f>_xlfn.XLOOKUP(D712,products!$A$1:$A$49,products!$B$1:$B$49,0)</f>
        <v>Exc</v>
      </c>
      <c r="J712" t="str">
        <f>_xlfn.XLOOKUP('data cleaned'!D712,products!$A$1:$A$49,products!$C$1:$C$49,0)</f>
        <v>M</v>
      </c>
      <c r="K712" s="5">
        <f>_xlfn.XLOOKUP('data cleaned'!D712,products!$A$1:$A$49,products!$D$1:$D$49,0)</f>
        <v>0.5</v>
      </c>
      <c r="L712" s="6">
        <f>_xlfn.XLOOKUP('data cleaned'!D712,products!$A$1:$A$49,products!$E$1:$E$49,0)</f>
        <v>8.25</v>
      </c>
      <c r="M712" s="6">
        <f>'data cleaned'!E712*'data cleaned'!L712</f>
        <v>24.75</v>
      </c>
      <c r="N712" t="str">
        <f t="shared" si="22"/>
        <v>Excelsa</v>
      </c>
      <c r="O712" t="str">
        <f t="shared" si="23"/>
        <v>Medium</v>
      </c>
      <c r="P712" t="str">
        <f>_xlfn.XLOOKUP(worksheet[[#This Row],[Customer ID]],customers!$A$1:$A$1001,customers!$I$1:$I$1001,0)</f>
        <v>No</v>
      </c>
    </row>
    <row r="713" spans="1:16" x14ac:dyDescent="0.25">
      <c r="A713" s="2" t="s">
        <v>4505</v>
      </c>
      <c r="B713" s="4">
        <v>44600</v>
      </c>
      <c r="C713" s="2" t="s">
        <v>4506</v>
      </c>
      <c r="D713" t="s">
        <v>6174</v>
      </c>
      <c r="E713" s="2">
        <v>6</v>
      </c>
      <c r="F713" s="2" t="str">
        <f>_xlfn.XLOOKUP(C713,customers!$A$1:$A$1001,customers!$B$1:$B$1001,0)</f>
        <v>Selia Ragles</v>
      </c>
      <c r="G713" s="2" t="s">
        <v>4508</v>
      </c>
      <c r="H713" s="2" t="str">
        <f>_xlfn.XLOOKUP(C713,customers!$A$1:$A$1001,customers!$G$1:$G$1001,0)</f>
        <v>United States</v>
      </c>
      <c r="I713" t="str">
        <f>_xlfn.XLOOKUP(D713,products!$A$1:$A$49,products!$B$1:$B$49,0)</f>
        <v>Rob</v>
      </c>
      <c r="J713" t="str">
        <f>_xlfn.XLOOKUP('data cleaned'!D713,products!$A$1:$A$49,products!$C$1:$C$49,0)</f>
        <v>M</v>
      </c>
      <c r="K713" s="5">
        <f>_xlfn.XLOOKUP('data cleaned'!D713,products!$A$1:$A$49,products!$D$1:$D$49,0)</f>
        <v>0.2</v>
      </c>
      <c r="L713" s="6">
        <f>_xlfn.XLOOKUP('data cleaned'!D713,products!$A$1:$A$49,products!$E$1:$E$49,0)</f>
        <v>2.9849999999999999</v>
      </c>
      <c r="M713" s="6">
        <f>'data cleaned'!E713*'data cleaned'!L713</f>
        <v>17.91</v>
      </c>
      <c r="N713" t="str">
        <f t="shared" si="22"/>
        <v>Robusta</v>
      </c>
      <c r="O713" t="str">
        <f t="shared" si="23"/>
        <v>Medium</v>
      </c>
      <c r="P713" t="str">
        <f>_xlfn.XLOOKUP(worksheet[[#This Row],[Customer ID]],customers!$A$1:$A$1001,customers!$I$1:$I$1001,0)</f>
        <v>No</v>
      </c>
    </row>
    <row r="714" spans="1:16" x14ac:dyDescent="0.25">
      <c r="A714" s="2" t="s">
        <v>4512</v>
      </c>
      <c r="B714" s="4">
        <v>43646</v>
      </c>
      <c r="C714" s="2" t="s">
        <v>4513</v>
      </c>
      <c r="D714" t="s">
        <v>6139</v>
      </c>
      <c r="E714" s="2">
        <v>2</v>
      </c>
      <c r="F714" s="2" t="str">
        <f>_xlfn.XLOOKUP(C714,customers!$A$1:$A$1001,customers!$B$1:$B$1001,0)</f>
        <v>Silas Deehan</v>
      </c>
      <c r="G714" s="2" t="s">
        <v>6222</v>
      </c>
      <c r="H714" s="2" t="str">
        <f>_xlfn.XLOOKUP(C714,customers!$A$1:$A$1001,customers!$G$1:$G$1001,0)</f>
        <v>United Kingdom</v>
      </c>
      <c r="I714" t="str">
        <f>_xlfn.XLOOKUP(D714,products!$A$1:$A$49,products!$B$1:$B$49,0)</f>
        <v>Exc</v>
      </c>
      <c r="J714" t="str">
        <f>_xlfn.XLOOKUP('data cleaned'!D714,products!$A$1:$A$49,products!$C$1:$C$49,0)</f>
        <v>M</v>
      </c>
      <c r="K714" s="5">
        <f>_xlfn.XLOOKUP('data cleaned'!D714,products!$A$1:$A$49,products!$D$1:$D$49,0)</f>
        <v>0.5</v>
      </c>
      <c r="L714" s="6">
        <f>_xlfn.XLOOKUP('data cleaned'!D714,products!$A$1:$A$49,products!$E$1:$E$49,0)</f>
        <v>8.25</v>
      </c>
      <c r="M714" s="6">
        <f>'data cleaned'!E714*'data cleaned'!L714</f>
        <v>16.5</v>
      </c>
      <c r="N714" t="str">
        <f t="shared" si="22"/>
        <v>Excelsa</v>
      </c>
      <c r="O714" t="str">
        <f t="shared" si="23"/>
        <v>Medium</v>
      </c>
      <c r="P714" t="str">
        <f>_xlfn.XLOOKUP(worksheet[[#This Row],[Customer ID]],customers!$A$1:$A$1001,customers!$I$1:$I$1001,0)</f>
        <v>No</v>
      </c>
    </row>
    <row r="715" spans="1:16" x14ac:dyDescent="0.25">
      <c r="A715" s="2" t="s">
        <v>4516</v>
      </c>
      <c r="B715" s="4">
        <v>43960</v>
      </c>
      <c r="C715" s="2" t="s">
        <v>4517</v>
      </c>
      <c r="D715" t="s">
        <v>6174</v>
      </c>
      <c r="E715" s="2">
        <v>1</v>
      </c>
      <c r="F715" s="2" t="str">
        <f>_xlfn.XLOOKUP(C715,customers!$A$1:$A$1001,customers!$B$1:$B$1001,0)</f>
        <v>Sacha Bruun</v>
      </c>
      <c r="G715" s="2" t="s">
        <v>4519</v>
      </c>
      <c r="H715" s="2" t="str">
        <f>_xlfn.XLOOKUP(C715,customers!$A$1:$A$1001,customers!$G$1:$G$1001,0)</f>
        <v>United States</v>
      </c>
      <c r="I715" t="str">
        <f>_xlfn.XLOOKUP(D715,products!$A$1:$A$49,products!$B$1:$B$49,0)</f>
        <v>Rob</v>
      </c>
      <c r="J715" t="str">
        <f>_xlfn.XLOOKUP('data cleaned'!D715,products!$A$1:$A$49,products!$C$1:$C$49,0)</f>
        <v>M</v>
      </c>
      <c r="K715" s="5">
        <f>_xlfn.XLOOKUP('data cleaned'!D715,products!$A$1:$A$49,products!$D$1:$D$49,0)</f>
        <v>0.2</v>
      </c>
      <c r="L715" s="6">
        <f>_xlfn.XLOOKUP('data cleaned'!D715,products!$A$1:$A$49,products!$E$1:$E$49,0)</f>
        <v>2.9849999999999999</v>
      </c>
      <c r="M715" s="6">
        <f>'data cleaned'!E715*'data cleaned'!L715</f>
        <v>2.9849999999999999</v>
      </c>
      <c r="N715" t="str">
        <f t="shared" si="22"/>
        <v>Robusta</v>
      </c>
      <c r="O715" t="str">
        <f t="shared" si="23"/>
        <v>Medium</v>
      </c>
      <c r="P715" t="str">
        <f>_xlfn.XLOOKUP(worksheet[[#This Row],[Customer ID]],customers!$A$1:$A$1001,customers!$I$1:$I$1001,0)</f>
        <v>No</v>
      </c>
    </row>
    <row r="716" spans="1:16" x14ac:dyDescent="0.25">
      <c r="A716" s="2" t="s">
        <v>4522</v>
      </c>
      <c r="B716" s="4">
        <v>44358</v>
      </c>
      <c r="C716" s="2" t="s">
        <v>4523</v>
      </c>
      <c r="D716" t="s">
        <v>6153</v>
      </c>
      <c r="E716" s="2">
        <v>4</v>
      </c>
      <c r="F716" s="2" t="str">
        <f>_xlfn.XLOOKUP(C716,customers!$A$1:$A$1001,customers!$B$1:$B$1001,0)</f>
        <v>Alon Pllu</v>
      </c>
      <c r="G716" s="2" t="s">
        <v>4525</v>
      </c>
      <c r="H716" s="2" t="str">
        <f>_xlfn.XLOOKUP(C716,customers!$A$1:$A$1001,customers!$G$1:$G$1001,0)</f>
        <v>Ireland</v>
      </c>
      <c r="I716" t="str">
        <f>_xlfn.XLOOKUP(D716,products!$A$1:$A$49,products!$B$1:$B$49,0)</f>
        <v>Exc</v>
      </c>
      <c r="J716" t="str">
        <f>_xlfn.XLOOKUP('data cleaned'!D716,products!$A$1:$A$49,products!$C$1:$C$49,0)</f>
        <v>D</v>
      </c>
      <c r="K716" s="5">
        <f>_xlfn.XLOOKUP('data cleaned'!D716,products!$A$1:$A$49,products!$D$1:$D$49,0)</f>
        <v>0.2</v>
      </c>
      <c r="L716" s="6">
        <f>_xlfn.XLOOKUP('data cleaned'!D716,products!$A$1:$A$49,products!$E$1:$E$49,0)</f>
        <v>3.645</v>
      </c>
      <c r="M716" s="6">
        <f>'data cleaned'!E716*'data cleaned'!L716</f>
        <v>14.58</v>
      </c>
      <c r="N716" t="str">
        <f t="shared" si="22"/>
        <v>Excelsa</v>
      </c>
      <c r="O716" t="str">
        <f t="shared" si="23"/>
        <v>Dark</v>
      </c>
      <c r="P716" t="str">
        <f>_xlfn.XLOOKUP(worksheet[[#This Row],[Customer ID]],customers!$A$1:$A$1001,customers!$I$1:$I$1001,0)</f>
        <v>Yes</v>
      </c>
    </row>
    <row r="717" spans="1:16" x14ac:dyDescent="0.25">
      <c r="A717" s="2" t="s">
        <v>4528</v>
      </c>
      <c r="B717" s="4">
        <v>44504</v>
      </c>
      <c r="C717" s="2" t="s">
        <v>4529</v>
      </c>
      <c r="D717" t="s">
        <v>6171</v>
      </c>
      <c r="E717" s="2">
        <v>6</v>
      </c>
      <c r="F717" s="2" t="str">
        <f>_xlfn.XLOOKUP(C717,customers!$A$1:$A$1001,customers!$B$1:$B$1001,0)</f>
        <v>Gilberto Cornier</v>
      </c>
      <c r="G717" s="2" t="s">
        <v>4531</v>
      </c>
      <c r="H717" s="2" t="str">
        <f>_xlfn.XLOOKUP(C717,customers!$A$1:$A$1001,customers!$G$1:$G$1001,0)</f>
        <v>United States</v>
      </c>
      <c r="I717" t="str">
        <f>_xlfn.XLOOKUP(D717,products!$A$1:$A$49,products!$B$1:$B$49,0)</f>
        <v>Exc</v>
      </c>
      <c r="J717" t="str">
        <f>_xlfn.XLOOKUP('data cleaned'!D717,products!$A$1:$A$49,products!$C$1:$C$49,0)</f>
        <v>L</v>
      </c>
      <c r="K717" s="5">
        <f>_xlfn.XLOOKUP('data cleaned'!D717,products!$A$1:$A$49,products!$D$1:$D$49,0)</f>
        <v>1</v>
      </c>
      <c r="L717" s="6">
        <f>_xlfn.XLOOKUP('data cleaned'!D717,products!$A$1:$A$49,products!$E$1:$E$49,0)</f>
        <v>14.85</v>
      </c>
      <c r="M717" s="6">
        <f>'data cleaned'!E717*'data cleaned'!L717</f>
        <v>89.1</v>
      </c>
      <c r="N717" t="str">
        <f t="shared" si="22"/>
        <v>Excelsa</v>
      </c>
      <c r="O717" t="str">
        <f t="shared" si="23"/>
        <v>Light</v>
      </c>
      <c r="P717" t="str">
        <f>_xlfn.XLOOKUP(worksheet[[#This Row],[Customer ID]],customers!$A$1:$A$1001,customers!$I$1:$I$1001,0)</f>
        <v>No</v>
      </c>
    </row>
    <row r="718" spans="1:16" x14ac:dyDescent="0.25">
      <c r="A718" s="2" t="s">
        <v>4533</v>
      </c>
      <c r="B718" s="4">
        <v>44612</v>
      </c>
      <c r="C718" s="2" t="s">
        <v>4434</v>
      </c>
      <c r="D718" t="s">
        <v>6179</v>
      </c>
      <c r="E718" s="2">
        <v>3</v>
      </c>
      <c r="F718" s="2" t="str">
        <f>_xlfn.XLOOKUP(C718,customers!$A$1:$A$1001,customers!$B$1:$B$1001,0)</f>
        <v>Jimmy Dymoke</v>
      </c>
      <c r="G718" s="2" t="s">
        <v>4436</v>
      </c>
      <c r="H718" s="2" t="str">
        <f>_xlfn.XLOOKUP(C718,customers!$A$1:$A$1001,customers!$G$1:$G$1001,0)</f>
        <v>Ireland</v>
      </c>
      <c r="I718" t="str">
        <f>_xlfn.XLOOKUP(D718,products!$A$1:$A$49,products!$B$1:$B$49,0)</f>
        <v>Rob</v>
      </c>
      <c r="J718" t="str">
        <f>_xlfn.XLOOKUP('data cleaned'!D718,products!$A$1:$A$49,products!$C$1:$C$49,0)</f>
        <v>L</v>
      </c>
      <c r="K718" s="5">
        <f>_xlfn.XLOOKUP('data cleaned'!D718,products!$A$1:$A$49,products!$D$1:$D$49,0)</f>
        <v>1</v>
      </c>
      <c r="L718" s="6">
        <f>_xlfn.XLOOKUP('data cleaned'!D718,products!$A$1:$A$49,products!$E$1:$E$49,0)</f>
        <v>11.95</v>
      </c>
      <c r="M718" s="6">
        <f>'data cleaned'!E718*'data cleaned'!L718</f>
        <v>35.849999999999994</v>
      </c>
      <c r="N718" t="str">
        <f t="shared" si="22"/>
        <v>Robusta</v>
      </c>
      <c r="O718" t="str">
        <f t="shared" si="23"/>
        <v>Light</v>
      </c>
      <c r="P718" t="str">
        <f>_xlfn.XLOOKUP(worksheet[[#This Row],[Customer ID]],customers!$A$1:$A$1001,customers!$I$1:$I$1001,0)</f>
        <v>No</v>
      </c>
    </row>
    <row r="719" spans="1:16" x14ac:dyDescent="0.25">
      <c r="A719" s="2" t="s">
        <v>4539</v>
      </c>
      <c r="B719" s="4">
        <v>43649</v>
      </c>
      <c r="C719" s="2" t="s">
        <v>4540</v>
      </c>
      <c r="D719" t="s">
        <v>6168</v>
      </c>
      <c r="E719" s="2">
        <v>3</v>
      </c>
      <c r="F719" s="2" t="str">
        <f>_xlfn.XLOOKUP(C719,customers!$A$1:$A$1001,customers!$B$1:$B$1001,0)</f>
        <v>Willabella Harvison</v>
      </c>
      <c r="G719" s="2" t="s">
        <v>4542</v>
      </c>
      <c r="H719" s="2" t="str">
        <f>_xlfn.XLOOKUP(C719,customers!$A$1:$A$1001,customers!$G$1:$G$1001,0)</f>
        <v>United States</v>
      </c>
      <c r="I719" t="str">
        <f>_xlfn.XLOOKUP(D719,products!$A$1:$A$49,products!$B$1:$B$49,0)</f>
        <v>Ara</v>
      </c>
      <c r="J719" t="str">
        <f>_xlfn.XLOOKUP('data cleaned'!D719,products!$A$1:$A$49,products!$C$1:$C$49,0)</f>
        <v>D</v>
      </c>
      <c r="K719" s="5">
        <f>_xlfn.XLOOKUP('data cleaned'!D719,products!$A$1:$A$49,products!$D$1:$D$49,0)</f>
        <v>2.5</v>
      </c>
      <c r="L719" s="6">
        <f>_xlfn.XLOOKUP('data cleaned'!D719,products!$A$1:$A$49,products!$E$1:$E$49,0)</f>
        <v>22.884999999999998</v>
      </c>
      <c r="M719" s="6">
        <f>'data cleaned'!E719*'data cleaned'!L719</f>
        <v>68.655000000000001</v>
      </c>
      <c r="N719" t="str">
        <f t="shared" si="22"/>
        <v>Arabica</v>
      </c>
      <c r="O719" t="str">
        <f t="shared" si="23"/>
        <v>Dark</v>
      </c>
      <c r="P719" t="str">
        <f>_xlfn.XLOOKUP(worksheet[[#This Row],[Customer ID]],customers!$A$1:$A$1001,customers!$I$1:$I$1001,0)</f>
        <v>No</v>
      </c>
    </row>
    <row r="720" spans="1:16" x14ac:dyDescent="0.25">
      <c r="A720" s="2" t="s">
        <v>4545</v>
      </c>
      <c r="B720" s="4">
        <v>44348</v>
      </c>
      <c r="C720" s="2" t="s">
        <v>4546</v>
      </c>
      <c r="D720" t="s">
        <v>6143</v>
      </c>
      <c r="E720" s="2">
        <v>3</v>
      </c>
      <c r="F720" s="2" t="str">
        <f>_xlfn.XLOOKUP(C720,customers!$A$1:$A$1001,customers!$B$1:$B$1001,0)</f>
        <v>Darice Heaford</v>
      </c>
      <c r="G720" s="2" t="s">
        <v>4548</v>
      </c>
      <c r="H720" s="2" t="str">
        <f>_xlfn.XLOOKUP(C720,customers!$A$1:$A$1001,customers!$G$1:$G$1001,0)</f>
        <v>United States</v>
      </c>
      <c r="I720" t="str">
        <f>_xlfn.XLOOKUP(D720,products!$A$1:$A$49,products!$B$1:$B$49,0)</f>
        <v>Lib</v>
      </c>
      <c r="J720" t="str">
        <f>_xlfn.XLOOKUP('data cleaned'!D720,products!$A$1:$A$49,products!$C$1:$C$49,0)</f>
        <v>D</v>
      </c>
      <c r="K720" s="5">
        <f>_xlfn.XLOOKUP('data cleaned'!D720,products!$A$1:$A$49,products!$D$1:$D$49,0)</f>
        <v>1</v>
      </c>
      <c r="L720" s="6">
        <f>_xlfn.XLOOKUP('data cleaned'!D720,products!$A$1:$A$49,products!$E$1:$E$49,0)</f>
        <v>12.95</v>
      </c>
      <c r="M720" s="6">
        <f>'data cleaned'!E720*'data cleaned'!L720</f>
        <v>38.849999999999994</v>
      </c>
      <c r="N720" t="str">
        <f t="shared" si="22"/>
        <v>Liberica</v>
      </c>
      <c r="O720" t="str">
        <f t="shared" si="23"/>
        <v>Dark</v>
      </c>
      <c r="P720" t="str">
        <f>_xlfn.XLOOKUP(worksheet[[#This Row],[Customer ID]],customers!$A$1:$A$1001,customers!$I$1:$I$1001,0)</f>
        <v>No</v>
      </c>
    </row>
    <row r="721" spans="1:16" x14ac:dyDescent="0.25">
      <c r="A721" s="2" t="s">
        <v>4551</v>
      </c>
      <c r="B721" s="4">
        <v>44150</v>
      </c>
      <c r="C721" s="2" t="s">
        <v>4552</v>
      </c>
      <c r="D721" t="s">
        <v>6170</v>
      </c>
      <c r="E721" s="2">
        <v>5</v>
      </c>
      <c r="F721" s="2" t="str">
        <f>_xlfn.XLOOKUP(C721,customers!$A$1:$A$1001,customers!$B$1:$B$1001,0)</f>
        <v>Granger Fantham</v>
      </c>
      <c r="G721" s="2" t="s">
        <v>4554</v>
      </c>
      <c r="H721" s="2" t="str">
        <f>_xlfn.XLOOKUP(C721,customers!$A$1:$A$1001,customers!$G$1:$G$1001,0)</f>
        <v>United States</v>
      </c>
      <c r="I721" t="str">
        <f>_xlfn.XLOOKUP(D721,products!$A$1:$A$49,products!$B$1:$B$49,0)</f>
        <v>Lib</v>
      </c>
      <c r="J721" t="str">
        <f>_xlfn.XLOOKUP('data cleaned'!D721,products!$A$1:$A$49,products!$C$1:$C$49,0)</f>
        <v>L</v>
      </c>
      <c r="K721" s="5">
        <f>_xlfn.XLOOKUP('data cleaned'!D721,products!$A$1:$A$49,products!$D$1:$D$49,0)</f>
        <v>1</v>
      </c>
      <c r="L721" s="6">
        <f>_xlfn.XLOOKUP('data cleaned'!D721,products!$A$1:$A$49,products!$E$1:$E$49,0)</f>
        <v>15.85</v>
      </c>
      <c r="M721" s="6">
        <f>'data cleaned'!E721*'data cleaned'!L721</f>
        <v>79.25</v>
      </c>
      <c r="N721" t="str">
        <f t="shared" si="22"/>
        <v>Liberica</v>
      </c>
      <c r="O721" t="str">
        <f t="shared" si="23"/>
        <v>Light</v>
      </c>
      <c r="P721" t="str">
        <f>_xlfn.XLOOKUP(worksheet[[#This Row],[Customer ID]],customers!$A$1:$A$1001,customers!$I$1:$I$1001,0)</f>
        <v>Yes</v>
      </c>
    </row>
    <row r="722" spans="1:16" x14ac:dyDescent="0.25">
      <c r="A722" s="2" t="s">
        <v>4557</v>
      </c>
      <c r="B722" s="4">
        <v>44215</v>
      </c>
      <c r="C722" s="2" t="s">
        <v>4558</v>
      </c>
      <c r="D722" t="s">
        <v>6144</v>
      </c>
      <c r="E722" s="2">
        <v>5</v>
      </c>
      <c r="F722" s="2" t="str">
        <f>_xlfn.XLOOKUP(C722,customers!$A$1:$A$1001,customers!$B$1:$B$1001,0)</f>
        <v>Reynolds Crookshanks</v>
      </c>
      <c r="G722" s="2" t="s">
        <v>4560</v>
      </c>
      <c r="H722" s="2" t="str">
        <f>_xlfn.XLOOKUP(C722,customers!$A$1:$A$1001,customers!$G$1:$G$1001,0)</f>
        <v>United States</v>
      </c>
      <c r="I722" t="str">
        <f>_xlfn.XLOOKUP(D722,products!$A$1:$A$49,products!$B$1:$B$49,0)</f>
        <v>Exc</v>
      </c>
      <c r="J722" t="str">
        <f>_xlfn.XLOOKUP('data cleaned'!D722,products!$A$1:$A$49,products!$C$1:$C$49,0)</f>
        <v>D</v>
      </c>
      <c r="K722" s="5">
        <f>_xlfn.XLOOKUP('data cleaned'!D722,products!$A$1:$A$49,products!$D$1:$D$49,0)</f>
        <v>0.5</v>
      </c>
      <c r="L722" s="6">
        <f>_xlfn.XLOOKUP('data cleaned'!D722,products!$A$1:$A$49,products!$E$1:$E$49,0)</f>
        <v>7.29</v>
      </c>
      <c r="M722" s="6">
        <f>'data cleaned'!E722*'data cleaned'!L722</f>
        <v>36.450000000000003</v>
      </c>
      <c r="N722" t="str">
        <f t="shared" si="22"/>
        <v>Excelsa</v>
      </c>
      <c r="O722" t="str">
        <f t="shared" si="23"/>
        <v>Dark</v>
      </c>
      <c r="P722" t="str">
        <f>_xlfn.XLOOKUP(worksheet[[#This Row],[Customer ID]],customers!$A$1:$A$1001,customers!$I$1:$I$1001,0)</f>
        <v>Yes</v>
      </c>
    </row>
    <row r="723" spans="1:16" x14ac:dyDescent="0.25">
      <c r="A723" s="2" t="s">
        <v>4563</v>
      </c>
      <c r="B723" s="4">
        <v>44479</v>
      </c>
      <c r="C723" s="2" t="s">
        <v>4564</v>
      </c>
      <c r="D723" t="s">
        <v>6174</v>
      </c>
      <c r="E723" s="2">
        <v>3</v>
      </c>
      <c r="F723" s="2" t="str">
        <f>_xlfn.XLOOKUP(C723,customers!$A$1:$A$1001,customers!$B$1:$B$1001,0)</f>
        <v>Niels Leake</v>
      </c>
      <c r="G723" s="2" t="s">
        <v>4566</v>
      </c>
      <c r="H723" s="2" t="str">
        <f>_xlfn.XLOOKUP(C723,customers!$A$1:$A$1001,customers!$G$1:$G$1001,0)</f>
        <v>United States</v>
      </c>
      <c r="I723" t="str">
        <f>_xlfn.XLOOKUP(D723,products!$A$1:$A$49,products!$B$1:$B$49,0)</f>
        <v>Rob</v>
      </c>
      <c r="J723" t="str">
        <f>_xlfn.XLOOKUP('data cleaned'!D723,products!$A$1:$A$49,products!$C$1:$C$49,0)</f>
        <v>M</v>
      </c>
      <c r="K723" s="5">
        <f>_xlfn.XLOOKUP('data cleaned'!D723,products!$A$1:$A$49,products!$D$1:$D$49,0)</f>
        <v>0.2</v>
      </c>
      <c r="L723" s="6">
        <f>_xlfn.XLOOKUP('data cleaned'!D723,products!$A$1:$A$49,products!$E$1:$E$49,0)</f>
        <v>2.9849999999999999</v>
      </c>
      <c r="M723" s="6">
        <f>'data cleaned'!E723*'data cleaned'!L723</f>
        <v>8.9550000000000001</v>
      </c>
      <c r="N723" t="str">
        <f t="shared" si="22"/>
        <v>Robusta</v>
      </c>
      <c r="O723" t="str">
        <f t="shared" si="23"/>
        <v>Medium</v>
      </c>
      <c r="P723" t="str">
        <f>_xlfn.XLOOKUP(worksheet[[#This Row],[Customer ID]],customers!$A$1:$A$1001,customers!$I$1:$I$1001,0)</f>
        <v>Yes</v>
      </c>
    </row>
    <row r="724" spans="1:16" x14ac:dyDescent="0.25">
      <c r="A724" s="2" t="s">
        <v>4569</v>
      </c>
      <c r="B724" s="4">
        <v>44620</v>
      </c>
      <c r="C724" s="2" t="s">
        <v>4570</v>
      </c>
      <c r="D724" t="s">
        <v>6183</v>
      </c>
      <c r="E724" s="2">
        <v>2</v>
      </c>
      <c r="F724" s="2" t="str">
        <f>_xlfn.XLOOKUP(C724,customers!$A$1:$A$1001,customers!$B$1:$B$1001,0)</f>
        <v>Hetti Measures</v>
      </c>
      <c r="G724" s="2" t="s">
        <v>6222</v>
      </c>
      <c r="H724" s="2" t="str">
        <f>_xlfn.XLOOKUP(C724,customers!$A$1:$A$1001,customers!$G$1:$G$1001,0)</f>
        <v>United States</v>
      </c>
      <c r="I724" t="str">
        <f>_xlfn.XLOOKUP(D724,products!$A$1:$A$49,products!$B$1:$B$49,0)</f>
        <v>Exc</v>
      </c>
      <c r="J724" t="str">
        <f>_xlfn.XLOOKUP('data cleaned'!D724,products!$A$1:$A$49,products!$C$1:$C$49,0)</f>
        <v>D</v>
      </c>
      <c r="K724" s="5">
        <f>_xlfn.XLOOKUP('data cleaned'!D724,products!$A$1:$A$49,products!$D$1:$D$49,0)</f>
        <v>1</v>
      </c>
      <c r="L724" s="6">
        <f>_xlfn.XLOOKUP('data cleaned'!D724,products!$A$1:$A$49,products!$E$1:$E$49,0)</f>
        <v>12.15</v>
      </c>
      <c r="M724" s="6">
        <f>'data cleaned'!E724*'data cleaned'!L724</f>
        <v>24.3</v>
      </c>
      <c r="N724" t="str">
        <f t="shared" si="22"/>
        <v>Excelsa</v>
      </c>
      <c r="O724" t="str">
        <f t="shared" si="23"/>
        <v>Dark</v>
      </c>
      <c r="P724" t="str">
        <f>_xlfn.XLOOKUP(worksheet[[#This Row],[Customer ID]],customers!$A$1:$A$1001,customers!$I$1:$I$1001,0)</f>
        <v>No</v>
      </c>
    </row>
    <row r="725" spans="1:16" x14ac:dyDescent="0.25">
      <c r="A725" s="2" t="s">
        <v>4574</v>
      </c>
      <c r="B725" s="4">
        <v>44470</v>
      </c>
      <c r="C725" s="2" t="s">
        <v>4575</v>
      </c>
      <c r="D725" t="s">
        <v>6166</v>
      </c>
      <c r="E725" s="2">
        <v>2</v>
      </c>
      <c r="F725" s="2" t="str">
        <f>_xlfn.XLOOKUP(C725,customers!$A$1:$A$1001,customers!$B$1:$B$1001,0)</f>
        <v>Gay Eilhersen</v>
      </c>
      <c r="G725" s="2" t="s">
        <v>4577</v>
      </c>
      <c r="H725" s="2" t="str">
        <f>_xlfn.XLOOKUP(C725,customers!$A$1:$A$1001,customers!$G$1:$G$1001,0)</f>
        <v>United States</v>
      </c>
      <c r="I725" t="str">
        <f>_xlfn.XLOOKUP(D725,products!$A$1:$A$49,products!$B$1:$B$49,0)</f>
        <v>Exc</v>
      </c>
      <c r="J725" t="str">
        <f>_xlfn.XLOOKUP('data cleaned'!D725,products!$A$1:$A$49,products!$C$1:$C$49,0)</f>
        <v>M</v>
      </c>
      <c r="K725" s="5">
        <f>_xlfn.XLOOKUP('data cleaned'!D725,products!$A$1:$A$49,products!$D$1:$D$49,0)</f>
        <v>2.5</v>
      </c>
      <c r="L725" s="6">
        <f>_xlfn.XLOOKUP('data cleaned'!D725,products!$A$1:$A$49,products!$E$1:$E$49,0)</f>
        <v>31.624999999999996</v>
      </c>
      <c r="M725" s="6">
        <f>'data cleaned'!E725*'data cleaned'!L725</f>
        <v>63.249999999999993</v>
      </c>
      <c r="N725" t="str">
        <f t="shared" si="22"/>
        <v>Excelsa</v>
      </c>
      <c r="O725" t="str">
        <f t="shared" si="23"/>
        <v>Medium</v>
      </c>
      <c r="P725" t="str">
        <f>_xlfn.XLOOKUP(worksheet[[#This Row],[Customer ID]],customers!$A$1:$A$1001,customers!$I$1:$I$1001,0)</f>
        <v>No</v>
      </c>
    </row>
    <row r="726" spans="1:16" x14ac:dyDescent="0.25">
      <c r="A726" s="2" t="s">
        <v>4580</v>
      </c>
      <c r="B726" s="4">
        <v>44076</v>
      </c>
      <c r="C726" s="2" t="s">
        <v>4581</v>
      </c>
      <c r="D726" t="s">
        <v>6152</v>
      </c>
      <c r="E726" s="2">
        <v>2</v>
      </c>
      <c r="F726" s="2" t="str">
        <f>_xlfn.XLOOKUP(C726,customers!$A$1:$A$1001,customers!$B$1:$B$1001,0)</f>
        <v>Nico Hubert</v>
      </c>
      <c r="G726" s="2" t="s">
        <v>6222</v>
      </c>
      <c r="H726" s="2" t="str">
        <f>_xlfn.XLOOKUP(C726,customers!$A$1:$A$1001,customers!$G$1:$G$1001,0)</f>
        <v>United States</v>
      </c>
      <c r="I726" t="str">
        <f>_xlfn.XLOOKUP(D726,products!$A$1:$A$49,products!$B$1:$B$49,0)</f>
        <v>Ara</v>
      </c>
      <c r="J726" t="str">
        <f>_xlfn.XLOOKUP('data cleaned'!D726,products!$A$1:$A$49,products!$C$1:$C$49,0)</f>
        <v>M</v>
      </c>
      <c r="K726" s="5">
        <f>_xlfn.XLOOKUP('data cleaned'!D726,products!$A$1:$A$49,products!$D$1:$D$49,0)</f>
        <v>0.2</v>
      </c>
      <c r="L726" s="6">
        <f>_xlfn.XLOOKUP('data cleaned'!D726,products!$A$1:$A$49,products!$E$1:$E$49,0)</f>
        <v>3.375</v>
      </c>
      <c r="M726" s="6">
        <f>'data cleaned'!E726*'data cleaned'!L726</f>
        <v>6.75</v>
      </c>
      <c r="N726" t="str">
        <f t="shared" si="22"/>
        <v>Arabica</v>
      </c>
      <c r="O726" t="str">
        <f t="shared" si="23"/>
        <v>Medium</v>
      </c>
      <c r="P726" t="str">
        <f>_xlfn.XLOOKUP(worksheet[[#This Row],[Customer ID]],customers!$A$1:$A$1001,customers!$I$1:$I$1001,0)</f>
        <v>Yes</v>
      </c>
    </row>
    <row r="727" spans="1:16" x14ac:dyDescent="0.25">
      <c r="A727" s="2" t="s">
        <v>4585</v>
      </c>
      <c r="B727" s="4">
        <v>44043</v>
      </c>
      <c r="C727" s="2" t="s">
        <v>4586</v>
      </c>
      <c r="D727" t="s">
        <v>6167</v>
      </c>
      <c r="E727" s="2">
        <v>6</v>
      </c>
      <c r="F727" s="2" t="str">
        <f>_xlfn.XLOOKUP(C727,customers!$A$1:$A$1001,customers!$B$1:$B$1001,0)</f>
        <v>Cristina Aleixo</v>
      </c>
      <c r="G727" s="2" t="s">
        <v>4588</v>
      </c>
      <c r="H727" s="2" t="str">
        <f>_xlfn.XLOOKUP(C727,customers!$A$1:$A$1001,customers!$G$1:$G$1001,0)</f>
        <v>United States</v>
      </c>
      <c r="I727" t="str">
        <f>_xlfn.XLOOKUP(D727,products!$A$1:$A$49,products!$B$1:$B$49,0)</f>
        <v>Ara</v>
      </c>
      <c r="J727" t="str">
        <f>_xlfn.XLOOKUP('data cleaned'!D727,products!$A$1:$A$49,products!$C$1:$C$49,0)</f>
        <v>L</v>
      </c>
      <c r="K727" s="5">
        <f>_xlfn.XLOOKUP('data cleaned'!D727,products!$A$1:$A$49,products!$D$1:$D$49,0)</f>
        <v>0.2</v>
      </c>
      <c r="L727" s="6">
        <f>_xlfn.XLOOKUP('data cleaned'!D727,products!$A$1:$A$49,products!$E$1:$E$49,0)</f>
        <v>3.8849999999999998</v>
      </c>
      <c r="M727" s="6">
        <f>'data cleaned'!E727*'data cleaned'!L727</f>
        <v>23.31</v>
      </c>
      <c r="N727" t="str">
        <f t="shared" si="22"/>
        <v>Arabica</v>
      </c>
      <c r="O727" t="str">
        <f t="shared" si="23"/>
        <v>Light</v>
      </c>
      <c r="P727" t="str">
        <f>_xlfn.XLOOKUP(worksheet[[#This Row],[Customer ID]],customers!$A$1:$A$1001,customers!$I$1:$I$1001,0)</f>
        <v>No</v>
      </c>
    </row>
    <row r="728" spans="1:16" x14ac:dyDescent="0.25">
      <c r="A728" s="2" t="s">
        <v>4591</v>
      </c>
      <c r="B728" s="4">
        <v>44571</v>
      </c>
      <c r="C728" s="2" t="s">
        <v>4592</v>
      </c>
      <c r="D728" t="s">
        <v>6164</v>
      </c>
      <c r="E728" s="2">
        <v>4</v>
      </c>
      <c r="F728" s="2" t="str">
        <f>_xlfn.XLOOKUP(C728,customers!$A$1:$A$1001,customers!$B$1:$B$1001,0)</f>
        <v>Derrek Allpress</v>
      </c>
      <c r="G728" s="2" t="s">
        <v>6222</v>
      </c>
      <c r="H728" s="2" t="str">
        <f>_xlfn.XLOOKUP(C728,customers!$A$1:$A$1001,customers!$G$1:$G$1001,0)</f>
        <v>United States</v>
      </c>
      <c r="I728" t="str">
        <f>_xlfn.XLOOKUP(D728,products!$A$1:$A$49,products!$B$1:$B$49,0)</f>
        <v>Lib</v>
      </c>
      <c r="J728" t="str">
        <f>_xlfn.XLOOKUP('data cleaned'!D728,products!$A$1:$A$49,products!$C$1:$C$49,0)</f>
        <v>L</v>
      </c>
      <c r="K728" s="5">
        <f>_xlfn.XLOOKUP('data cleaned'!D728,products!$A$1:$A$49,products!$D$1:$D$49,0)</f>
        <v>2.5</v>
      </c>
      <c r="L728" s="6">
        <f>_xlfn.XLOOKUP('data cleaned'!D728,products!$A$1:$A$49,products!$E$1:$E$49,0)</f>
        <v>36.454999999999998</v>
      </c>
      <c r="M728" s="6">
        <f>'data cleaned'!E728*'data cleaned'!L728</f>
        <v>145.82</v>
      </c>
      <c r="N728" t="str">
        <f t="shared" si="22"/>
        <v>Liberica</v>
      </c>
      <c r="O728" t="str">
        <f t="shared" si="23"/>
        <v>Light</v>
      </c>
      <c r="P728" t="str">
        <f>_xlfn.XLOOKUP(worksheet[[#This Row],[Customer ID]],customers!$A$1:$A$1001,customers!$I$1:$I$1001,0)</f>
        <v>No</v>
      </c>
    </row>
    <row r="729" spans="1:16" x14ac:dyDescent="0.25">
      <c r="A729" s="2" t="s">
        <v>4596</v>
      </c>
      <c r="B729" s="4">
        <v>44264</v>
      </c>
      <c r="C729" s="2" t="s">
        <v>4597</v>
      </c>
      <c r="D729" t="s">
        <v>6146</v>
      </c>
      <c r="E729" s="2">
        <v>5</v>
      </c>
      <c r="F729" s="2" t="str">
        <f>_xlfn.XLOOKUP(C729,customers!$A$1:$A$1001,customers!$B$1:$B$1001,0)</f>
        <v>Rikki Tomkowicz</v>
      </c>
      <c r="G729" s="2" t="s">
        <v>4599</v>
      </c>
      <c r="H729" s="2" t="str">
        <f>_xlfn.XLOOKUP(C729,customers!$A$1:$A$1001,customers!$G$1:$G$1001,0)</f>
        <v>Ireland</v>
      </c>
      <c r="I729" t="str">
        <f>_xlfn.XLOOKUP(D729,products!$A$1:$A$49,products!$B$1:$B$49,0)</f>
        <v>Rob</v>
      </c>
      <c r="J729" t="str">
        <f>_xlfn.XLOOKUP('data cleaned'!D729,products!$A$1:$A$49,products!$C$1:$C$49,0)</f>
        <v>M</v>
      </c>
      <c r="K729" s="5">
        <f>_xlfn.XLOOKUP('data cleaned'!D729,products!$A$1:$A$49,products!$D$1:$D$49,0)</f>
        <v>0.5</v>
      </c>
      <c r="L729" s="6">
        <f>_xlfn.XLOOKUP('data cleaned'!D729,products!$A$1:$A$49,products!$E$1:$E$49,0)</f>
        <v>5.97</v>
      </c>
      <c r="M729" s="6">
        <f>'data cleaned'!E729*'data cleaned'!L729</f>
        <v>29.849999999999998</v>
      </c>
      <c r="N729" t="str">
        <f t="shared" si="22"/>
        <v>Robusta</v>
      </c>
      <c r="O729" t="str">
        <f t="shared" si="23"/>
        <v>Medium</v>
      </c>
      <c r="P729" t="str">
        <f>_xlfn.XLOOKUP(worksheet[[#This Row],[Customer ID]],customers!$A$1:$A$1001,customers!$I$1:$I$1001,0)</f>
        <v>Yes</v>
      </c>
    </row>
    <row r="730" spans="1:16" x14ac:dyDescent="0.25">
      <c r="A730" s="2" t="s">
        <v>4602</v>
      </c>
      <c r="B730" s="4">
        <v>44155</v>
      </c>
      <c r="C730" s="2" t="s">
        <v>4603</v>
      </c>
      <c r="D730" t="s">
        <v>6144</v>
      </c>
      <c r="E730" s="2">
        <v>3</v>
      </c>
      <c r="F730" s="2" t="str">
        <f>_xlfn.XLOOKUP(C730,customers!$A$1:$A$1001,customers!$B$1:$B$1001,0)</f>
        <v>Rochette Huscroft</v>
      </c>
      <c r="G730" s="2" t="s">
        <v>4605</v>
      </c>
      <c r="H730" s="2" t="str">
        <f>_xlfn.XLOOKUP(C730,customers!$A$1:$A$1001,customers!$G$1:$G$1001,0)</f>
        <v>United States</v>
      </c>
      <c r="I730" t="str">
        <f>_xlfn.XLOOKUP(D730,products!$A$1:$A$49,products!$B$1:$B$49,0)</f>
        <v>Exc</v>
      </c>
      <c r="J730" t="str">
        <f>_xlfn.XLOOKUP('data cleaned'!D730,products!$A$1:$A$49,products!$C$1:$C$49,0)</f>
        <v>D</v>
      </c>
      <c r="K730" s="5">
        <f>_xlfn.XLOOKUP('data cleaned'!D730,products!$A$1:$A$49,products!$D$1:$D$49,0)</f>
        <v>0.5</v>
      </c>
      <c r="L730" s="6">
        <f>_xlfn.XLOOKUP('data cleaned'!D730,products!$A$1:$A$49,products!$E$1:$E$49,0)</f>
        <v>7.29</v>
      </c>
      <c r="M730" s="6">
        <f>'data cleaned'!E730*'data cleaned'!L730</f>
        <v>21.87</v>
      </c>
      <c r="N730" t="str">
        <f t="shared" si="22"/>
        <v>Excelsa</v>
      </c>
      <c r="O730" t="str">
        <f t="shared" si="23"/>
        <v>Dark</v>
      </c>
      <c r="P730" t="str">
        <f>_xlfn.XLOOKUP(worksheet[[#This Row],[Customer ID]],customers!$A$1:$A$1001,customers!$I$1:$I$1001,0)</f>
        <v>Yes</v>
      </c>
    </row>
    <row r="731" spans="1:16" x14ac:dyDescent="0.25">
      <c r="A731" s="2" t="s">
        <v>4608</v>
      </c>
      <c r="B731" s="4">
        <v>44634</v>
      </c>
      <c r="C731" s="2" t="s">
        <v>4609</v>
      </c>
      <c r="D731" t="s">
        <v>6159</v>
      </c>
      <c r="E731" s="2">
        <v>1</v>
      </c>
      <c r="F731" s="2" t="str">
        <f>_xlfn.XLOOKUP(C731,customers!$A$1:$A$1001,customers!$B$1:$B$1001,0)</f>
        <v>Selle Scurrer</v>
      </c>
      <c r="G731" s="2" t="s">
        <v>4611</v>
      </c>
      <c r="H731" s="2" t="str">
        <f>_xlfn.XLOOKUP(C731,customers!$A$1:$A$1001,customers!$G$1:$G$1001,0)</f>
        <v>United Kingdom</v>
      </c>
      <c r="I731" t="str">
        <f>_xlfn.XLOOKUP(D731,products!$A$1:$A$49,products!$B$1:$B$49,0)</f>
        <v>Lib</v>
      </c>
      <c r="J731" t="str">
        <f>_xlfn.XLOOKUP('data cleaned'!D731,products!$A$1:$A$49,products!$C$1:$C$49,0)</f>
        <v>M</v>
      </c>
      <c r="K731" s="5">
        <f>_xlfn.XLOOKUP('data cleaned'!D731,products!$A$1:$A$49,products!$D$1:$D$49,0)</f>
        <v>0.2</v>
      </c>
      <c r="L731" s="6">
        <f>_xlfn.XLOOKUP('data cleaned'!D731,products!$A$1:$A$49,products!$E$1:$E$49,0)</f>
        <v>4.3650000000000002</v>
      </c>
      <c r="M731" s="6">
        <f>'data cleaned'!E731*'data cleaned'!L731</f>
        <v>4.3650000000000002</v>
      </c>
      <c r="N731" t="str">
        <f t="shared" si="22"/>
        <v>Liberica</v>
      </c>
      <c r="O731" t="str">
        <f t="shared" si="23"/>
        <v>Medium</v>
      </c>
      <c r="P731" t="str">
        <f>_xlfn.XLOOKUP(worksheet[[#This Row],[Customer ID]],customers!$A$1:$A$1001,customers!$I$1:$I$1001,0)</f>
        <v>No</v>
      </c>
    </row>
    <row r="732" spans="1:16" x14ac:dyDescent="0.25">
      <c r="A732" s="2" t="s">
        <v>4614</v>
      </c>
      <c r="B732" s="4">
        <v>43475</v>
      </c>
      <c r="C732" s="2" t="s">
        <v>4615</v>
      </c>
      <c r="D732" t="s">
        <v>6164</v>
      </c>
      <c r="E732" s="2">
        <v>1</v>
      </c>
      <c r="F732" s="2" t="str">
        <f>_xlfn.XLOOKUP(C732,customers!$A$1:$A$1001,customers!$B$1:$B$1001,0)</f>
        <v>Andie Rudram</v>
      </c>
      <c r="G732" s="2" t="s">
        <v>4617</v>
      </c>
      <c r="H732" s="2" t="str">
        <f>_xlfn.XLOOKUP(C732,customers!$A$1:$A$1001,customers!$G$1:$G$1001,0)</f>
        <v>United States</v>
      </c>
      <c r="I732" t="str">
        <f>_xlfn.XLOOKUP(D732,products!$A$1:$A$49,products!$B$1:$B$49,0)</f>
        <v>Lib</v>
      </c>
      <c r="J732" t="str">
        <f>_xlfn.XLOOKUP('data cleaned'!D732,products!$A$1:$A$49,products!$C$1:$C$49,0)</f>
        <v>L</v>
      </c>
      <c r="K732" s="5">
        <f>_xlfn.XLOOKUP('data cleaned'!D732,products!$A$1:$A$49,products!$D$1:$D$49,0)</f>
        <v>2.5</v>
      </c>
      <c r="L732" s="6">
        <f>_xlfn.XLOOKUP('data cleaned'!D732,products!$A$1:$A$49,products!$E$1:$E$49,0)</f>
        <v>36.454999999999998</v>
      </c>
      <c r="M732" s="6">
        <f>'data cleaned'!E732*'data cleaned'!L732</f>
        <v>36.454999999999998</v>
      </c>
      <c r="N732" t="str">
        <f t="shared" si="22"/>
        <v>Liberica</v>
      </c>
      <c r="O732" t="str">
        <f t="shared" si="23"/>
        <v>Light</v>
      </c>
      <c r="P732" t="str">
        <f>_xlfn.XLOOKUP(worksheet[[#This Row],[Customer ID]],customers!$A$1:$A$1001,customers!$I$1:$I$1001,0)</f>
        <v>No</v>
      </c>
    </row>
    <row r="733" spans="1:16" x14ac:dyDescent="0.25">
      <c r="A733" s="2" t="s">
        <v>4620</v>
      </c>
      <c r="B733" s="4">
        <v>44222</v>
      </c>
      <c r="C733" s="2" t="s">
        <v>4621</v>
      </c>
      <c r="D733" t="s">
        <v>6150</v>
      </c>
      <c r="E733" s="2">
        <v>4</v>
      </c>
      <c r="F733" s="2" t="str">
        <f>_xlfn.XLOOKUP(C733,customers!$A$1:$A$1001,customers!$B$1:$B$1001,0)</f>
        <v>Leta Clarricoates</v>
      </c>
      <c r="G733" s="2" t="s">
        <v>6222</v>
      </c>
      <c r="H733" s="2" t="str">
        <f>_xlfn.XLOOKUP(C733,customers!$A$1:$A$1001,customers!$G$1:$G$1001,0)</f>
        <v>United States</v>
      </c>
      <c r="I733" t="str">
        <f>_xlfn.XLOOKUP(D733,products!$A$1:$A$49,products!$B$1:$B$49,0)</f>
        <v>Lib</v>
      </c>
      <c r="J733" t="str">
        <f>_xlfn.XLOOKUP('data cleaned'!D733,products!$A$1:$A$49,products!$C$1:$C$49,0)</f>
        <v>D</v>
      </c>
      <c r="K733" s="5">
        <f>_xlfn.XLOOKUP('data cleaned'!D733,products!$A$1:$A$49,products!$D$1:$D$49,0)</f>
        <v>0.2</v>
      </c>
      <c r="L733" s="6">
        <f>_xlfn.XLOOKUP('data cleaned'!D733,products!$A$1:$A$49,products!$E$1:$E$49,0)</f>
        <v>3.8849999999999998</v>
      </c>
      <c r="M733" s="6">
        <f>'data cleaned'!E733*'data cleaned'!L733</f>
        <v>15.54</v>
      </c>
      <c r="N733" t="str">
        <f t="shared" si="22"/>
        <v>Liberica</v>
      </c>
      <c r="O733" t="str">
        <f t="shared" si="23"/>
        <v>Dark</v>
      </c>
      <c r="P733" t="str">
        <f>_xlfn.XLOOKUP(worksheet[[#This Row],[Customer ID]],customers!$A$1:$A$1001,customers!$I$1:$I$1001,0)</f>
        <v>Yes</v>
      </c>
    </row>
    <row r="734" spans="1:16" x14ac:dyDescent="0.25">
      <c r="A734" s="2" t="s">
        <v>4625</v>
      </c>
      <c r="B734" s="4">
        <v>44312</v>
      </c>
      <c r="C734" s="2" t="s">
        <v>4626</v>
      </c>
      <c r="D734" t="s">
        <v>6184</v>
      </c>
      <c r="E734" s="2">
        <v>2</v>
      </c>
      <c r="F734" s="2" t="str">
        <f>_xlfn.XLOOKUP(C734,customers!$A$1:$A$1001,customers!$B$1:$B$1001,0)</f>
        <v>Jacquelyn Maha</v>
      </c>
      <c r="G734" s="2" t="s">
        <v>4628</v>
      </c>
      <c r="H734" s="2" t="str">
        <f>_xlfn.XLOOKUP(C734,customers!$A$1:$A$1001,customers!$G$1:$G$1001,0)</f>
        <v>United States</v>
      </c>
      <c r="I734" t="str">
        <f>_xlfn.XLOOKUP(D734,products!$A$1:$A$49,products!$B$1:$B$49,0)</f>
        <v>Exc</v>
      </c>
      <c r="J734" t="str">
        <f>_xlfn.XLOOKUP('data cleaned'!D734,products!$A$1:$A$49,products!$C$1:$C$49,0)</f>
        <v>L</v>
      </c>
      <c r="K734" s="5">
        <f>_xlfn.XLOOKUP('data cleaned'!D734,products!$A$1:$A$49,products!$D$1:$D$49,0)</f>
        <v>0.2</v>
      </c>
      <c r="L734" s="6">
        <f>_xlfn.XLOOKUP('data cleaned'!D734,products!$A$1:$A$49,products!$E$1:$E$49,0)</f>
        <v>4.4550000000000001</v>
      </c>
      <c r="M734" s="6">
        <f>'data cleaned'!E734*'data cleaned'!L734</f>
        <v>8.91</v>
      </c>
      <c r="N734" t="str">
        <f t="shared" si="22"/>
        <v>Excelsa</v>
      </c>
      <c r="O734" t="str">
        <f t="shared" si="23"/>
        <v>Light</v>
      </c>
      <c r="P734" t="str">
        <f>_xlfn.XLOOKUP(worksheet[[#This Row],[Customer ID]],customers!$A$1:$A$1001,customers!$I$1:$I$1001,0)</f>
        <v>No</v>
      </c>
    </row>
    <row r="735" spans="1:16" x14ac:dyDescent="0.25">
      <c r="A735" s="2" t="s">
        <v>4631</v>
      </c>
      <c r="B735" s="4">
        <v>44565</v>
      </c>
      <c r="C735" s="2" t="s">
        <v>4632</v>
      </c>
      <c r="D735" t="s">
        <v>6181</v>
      </c>
      <c r="E735" s="2">
        <v>3</v>
      </c>
      <c r="F735" s="2" t="str">
        <f>_xlfn.XLOOKUP(C735,customers!$A$1:$A$1001,customers!$B$1:$B$1001,0)</f>
        <v>Glory Clemon</v>
      </c>
      <c r="G735" s="2" t="s">
        <v>4634</v>
      </c>
      <c r="H735" s="2" t="str">
        <f>_xlfn.XLOOKUP(C735,customers!$A$1:$A$1001,customers!$G$1:$G$1001,0)</f>
        <v>United States</v>
      </c>
      <c r="I735" t="str">
        <f>_xlfn.XLOOKUP(D735,products!$A$1:$A$49,products!$B$1:$B$49,0)</f>
        <v>Lib</v>
      </c>
      <c r="J735" t="str">
        <f>_xlfn.XLOOKUP('data cleaned'!D735,products!$A$1:$A$49,products!$C$1:$C$49,0)</f>
        <v>M</v>
      </c>
      <c r="K735" s="5">
        <f>_xlfn.XLOOKUP('data cleaned'!D735,products!$A$1:$A$49,products!$D$1:$D$49,0)</f>
        <v>2.5</v>
      </c>
      <c r="L735" s="6">
        <f>_xlfn.XLOOKUP('data cleaned'!D735,products!$A$1:$A$49,products!$E$1:$E$49,0)</f>
        <v>33.464999999999996</v>
      </c>
      <c r="M735" s="6">
        <f>'data cleaned'!E735*'data cleaned'!L735</f>
        <v>100.39499999999998</v>
      </c>
      <c r="N735" t="str">
        <f t="shared" si="22"/>
        <v>Liberica</v>
      </c>
      <c r="O735" t="str">
        <f t="shared" si="23"/>
        <v>Medium</v>
      </c>
      <c r="P735" t="str">
        <f>_xlfn.XLOOKUP(worksheet[[#This Row],[Customer ID]],customers!$A$1:$A$1001,customers!$I$1:$I$1001,0)</f>
        <v>Yes</v>
      </c>
    </row>
    <row r="736" spans="1:16" x14ac:dyDescent="0.25">
      <c r="A736" s="2" t="s">
        <v>4637</v>
      </c>
      <c r="B736" s="4">
        <v>43697</v>
      </c>
      <c r="C736" s="2" t="s">
        <v>4638</v>
      </c>
      <c r="D736" t="s">
        <v>6163</v>
      </c>
      <c r="E736" s="2">
        <v>5</v>
      </c>
      <c r="F736" s="2" t="str">
        <f>_xlfn.XLOOKUP(C736,customers!$A$1:$A$1001,customers!$B$1:$B$1001,0)</f>
        <v>Alica Kift</v>
      </c>
      <c r="G736" s="2" t="s">
        <v>6222</v>
      </c>
      <c r="H736" s="2" t="str">
        <f>_xlfn.XLOOKUP(C736,customers!$A$1:$A$1001,customers!$G$1:$G$1001,0)</f>
        <v>United States</v>
      </c>
      <c r="I736" t="str">
        <f>_xlfn.XLOOKUP(D736,products!$A$1:$A$49,products!$B$1:$B$49,0)</f>
        <v>Rob</v>
      </c>
      <c r="J736" t="str">
        <f>_xlfn.XLOOKUP('data cleaned'!D736,products!$A$1:$A$49,products!$C$1:$C$49,0)</f>
        <v>D</v>
      </c>
      <c r="K736" s="5">
        <f>_xlfn.XLOOKUP('data cleaned'!D736,products!$A$1:$A$49,products!$D$1:$D$49,0)</f>
        <v>0.2</v>
      </c>
      <c r="L736" s="6">
        <f>_xlfn.XLOOKUP('data cleaned'!D736,products!$A$1:$A$49,products!$E$1:$E$49,0)</f>
        <v>2.6849999999999996</v>
      </c>
      <c r="M736" s="6">
        <f>'data cleaned'!E736*'data cleaned'!L736</f>
        <v>13.424999999999997</v>
      </c>
      <c r="N736" t="str">
        <f t="shared" si="22"/>
        <v>Robusta</v>
      </c>
      <c r="O736" t="str">
        <f t="shared" si="23"/>
        <v>Dark</v>
      </c>
      <c r="P736" t="str">
        <f>_xlfn.XLOOKUP(worksheet[[#This Row],[Customer ID]],customers!$A$1:$A$1001,customers!$I$1:$I$1001,0)</f>
        <v>No</v>
      </c>
    </row>
    <row r="737" spans="1:16" x14ac:dyDescent="0.25">
      <c r="A737" s="2" t="s">
        <v>4642</v>
      </c>
      <c r="B737" s="4">
        <v>44757</v>
      </c>
      <c r="C737" s="2" t="s">
        <v>4643</v>
      </c>
      <c r="D737" t="s">
        <v>6153</v>
      </c>
      <c r="E737" s="2">
        <v>6</v>
      </c>
      <c r="F737" s="2" t="str">
        <f>_xlfn.XLOOKUP(C737,customers!$A$1:$A$1001,customers!$B$1:$B$1001,0)</f>
        <v>Babb Pollins</v>
      </c>
      <c r="G737" s="2" t="s">
        <v>4645</v>
      </c>
      <c r="H737" s="2" t="str">
        <f>_xlfn.XLOOKUP(C737,customers!$A$1:$A$1001,customers!$G$1:$G$1001,0)</f>
        <v>United States</v>
      </c>
      <c r="I737" t="str">
        <f>_xlfn.XLOOKUP(D737,products!$A$1:$A$49,products!$B$1:$B$49,0)</f>
        <v>Exc</v>
      </c>
      <c r="J737" t="str">
        <f>_xlfn.XLOOKUP('data cleaned'!D737,products!$A$1:$A$49,products!$C$1:$C$49,0)</f>
        <v>D</v>
      </c>
      <c r="K737" s="5">
        <f>_xlfn.XLOOKUP('data cleaned'!D737,products!$A$1:$A$49,products!$D$1:$D$49,0)</f>
        <v>0.2</v>
      </c>
      <c r="L737" s="6">
        <f>_xlfn.XLOOKUP('data cleaned'!D737,products!$A$1:$A$49,products!$E$1:$E$49,0)</f>
        <v>3.645</v>
      </c>
      <c r="M737" s="6">
        <f>'data cleaned'!E737*'data cleaned'!L737</f>
        <v>21.87</v>
      </c>
      <c r="N737" t="str">
        <f t="shared" si="22"/>
        <v>Excelsa</v>
      </c>
      <c r="O737" t="str">
        <f t="shared" si="23"/>
        <v>Dark</v>
      </c>
      <c r="P737" t="str">
        <f>_xlfn.XLOOKUP(worksheet[[#This Row],[Customer ID]],customers!$A$1:$A$1001,customers!$I$1:$I$1001,0)</f>
        <v>No</v>
      </c>
    </row>
    <row r="738" spans="1:16" x14ac:dyDescent="0.25">
      <c r="A738" s="2" t="s">
        <v>4647</v>
      </c>
      <c r="B738" s="4">
        <v>43508</v>
      </c>
      <c r="C738" s="2" t="s">
        <v>4648</v>
      </c>
      <c r="D738" t="s">
        <v>6143</v>
      </c>
      <c r="E738" s="2">
        <v>2</v>
      </c>
      <c r="F738" s="2" t="str">
        <f>_xlfn.XLOOKUP(C738,customers!$A$1:$A$1001,customers!$B$1:$B$1001,0)</f>
        <v>Jarret Toye</v>
      </c>
      <c r="G738" s="2" t="s">
        <v>4650</v>
      </c>
      <c r="H738" s="2" t="str">
        <f>_xlfn.XLOOKUP(C738,customers!$A$1:$A$1001,customers!$G$1:$G$1001,0)</f>
        <v>Ireland</v>
      </c>
      <c r="I738" t="str">
        <f>_xlfn.XLOOKUP(D738,products!$A$1:$A$49,products!$B$1:$B$49,0)</f>
        <v>Lib</v>
      </c>
      <c r="J738" t="str">
        <f>_xlfn.XLOOKUP('data cleaned'!D738,products!$A$1:$A$49,products!$C$1:$C$49,0)</f>
        <v>D</v>
      </c>
      <c r="K738" s="5">
        <f>_xlfn.XLOOKUP('data cleaned'!D738,products!$A$1:$A$49,products!$D$1:$D$49,0)</f>
        <v>1</v>
      </c>
      <c r="L738" s="6">
        <f>_xlfn.XLOOKUP('data cleaned'!D738,products!$A$1:$A$49,products!$E$1:$E$49,0)</f>
        <v>12.95</v>
      </c>
      <c r="M738" s="6">
        <f>'data cleaned'!E738*'data cleaned'!L738</f>
        <v>25.9</v>
      </c>
      <c r="N738" t="str">
        <f t="shared" si="22"/>
        <v>Liberica</v>
      </c>
      <c r="O738" t="str">
        <f t="shared" si="23"/>
        <v>Dark</v>
      </c>
      <c r="P738" t="str">
        <f>_xlfn.XLOOKUP(worksheet[[#This Row],[Customer ID]],customers!$A$1:$A$1001,customers!$I$1:$I$1001,0)</f>
        <v>Yes</v>
      </c>
    </row>
    <row r="739" spans="1:16" x14ac:dyDescent="0.25">
      <c r="A739" s="2" t="s">
        <v>4653</v>
      </c>
      <c r="B739" s="4">
        <v>44447</v>
      </c>
      <c r="C739" s="2" t="s">
        <v>4654</v>
      </c>
      <c r="D739" t="s">
        <v>6155</v>
      </c>
      <c r="E739" s="2">
        <v>5</v>
      </c>
      <c r="F739" s="2" t="str">
        <f>_xlfn.XLOOKUP(C739,customers!$A$1:$A$1001,customers!$B$1:$B$1001,0)</f>
        <v>Carlie Linskill</v>
      </c>
      <c r="G739" s="2" t="s">
        <v>4656</v>
      </c>
      <c r="H739" s="2" t="str">
        <f>_xlfn.XLOOKUP(C739,customers!$A$1:$A$1001,customers!$G$1:$G$1001,0)</f>
        <v>United States</v>
      </c>
      <c r="I739" t="str">
        <f>_xlfn.XLOOKUP(D739,products!$A$1:$A$49,products!$B$1:$B$49,0)</f>
        <v>Ara</v>
      </c>
      <c r="J739" t="str">
        <f>_xlfn.XLOOKUP('data cleaned'!D739,products!$A$1:$A$49,products!$C$1:$C$49,0)</f>
        <v>M</v>
      </c>
      <c r="K739" s="5">
        <f>_xlfn.XLOOKUP('data cleaned'!D739,products!$A$1:$A$49,products!$D$1:$D$49,0)</f>
        <v>1</v>
      </c>
      <c r="L739" s="6">
        <f>_xlfn.XLOOKUP('data cleaned'!D739,products!$A$1:$A$49,products!$E$1:$E$49,0)</f>
        <v>11.25</v>
      </c>
      <c r="M739" s="6">
        <f>'data cleaned'!E739*'data cleaned'!L739</f>
        <v>56.25</v>
      </c>
      <c r="N739" t="str">
        <f t="shared" si="22"/>
        <v>Arabica</v>
      </c>
      <c r="O739" t="str">
        <f t="shared" si="23"/>
        <v>Medium</v>
      </c>
      <c r="P739" t="str">
        <f>_xlfn.XLOOKUP(worksheet[[#This Row],[Customer ID]],customers!$A$1:$A$1001,customers!$I$1:$I$1001,0)</f>
        <v>No</v>
      </c>
    </row>
    <row r="740" spans="1:16" x14ac:dyDescent="0.25">
      <c r="A740" s="2" t="s">
        <v>4659</v>
      </c>
      <c r="B740" s="4">
        <v>43812</v>
      </c>
      <c r="C740" s="2" t="s">
        <v>4660</v>
      </c>
      <c r="D740" t="s">
        <v>6178</v>
      </c>
      <c r="E740" s="2">
        <v>3</v>
      </c>
      <c r="F740" s="2" t="str">
        <f>_xlfn.XLOOKUP(C740,customers!$A$1:$A$1001,customers!$B$1:$B$1001,0)</f>
        <v>Natal Vigrass</v>
      </c>
      <c r="G740" s="2" t="s">
        <v>4662</v>
      </c>
      <c r="H740" s="2" t="str">
        <f>_xlfn.XLOOKUP(C740,customers!$A$1:$A$1001,customers!$G$1:$G$1001,0)</f>
        <v>United Kingdom</v>
      </c>
      <c r="I740" t="str">
        <f>_xlfn.XLOOKUP(D740,products!$A$1:$A$49,products!$B$1:$B$49,0)</f>
        <v>Rob</v>
      </c>
      <c r="J740" t="str">
        <f>_xlfn.XLOOKUP('data cleaned'!D740,products!$A$1:$A$49,products!$C$1:$C$49,0)</f>
        <v>L</v>
      </c>
      <c r="K740" s="5">
        <f>_xlfn.XLOOKUP('data cleaned'!D740,products!$A$1:$A$49,products!$D$1:$D$49,0)</f>
        <v>0.2</v>
      </c>
      <c r="L740" s="6">
        <f>_xlfn.XLOOKUP('data cleaned'!D740,products!$A$1:$A$49,products!$E$1:$E$49,0)</f>
        <v>3.5849999999999995</v>
      </c>
      <c r="M740" s="6">
        <f>'data cleaned'!E740*'data cleaned'!L740</f>
        <v>10.754999999999999</v>
      </c>
      <c r="N740" t="str">
        <f t="shared" si="22"/>
        <v>Robusta</v>
      </c>
      <c r="O740" t="str">
        <f t="shared" si="23"/>
        <v>Light</v>
      </c>
      <c r="P740" t="str">
        <f>_xlfn.XLOOKUP(worksheet[[#This Row],[Customer ID]],customers!$A$1:$A$1001,customers!$I$1:$I$1001,0)</f>
        <v>No</v>
      </c>
    </row>
    <row r="741" spans="1:16" x14ac:dyDescent="0.25">
      <c r="A741" s="2" t="s">
        <v>4665</v>
      </c>
      <c r="B741" s="4">
        <v>44433</v>
      </c>
      <c r="C741" s="2" t="s">
        <v>4434</v>
      </c>
      <c r="D741" t="s">
        <v>6153</v>
      </c>
      <c r="E741" s="2">
        <v>5</v>
      </c>
      <c r="F741" s="2" t="str">
        <f>_xlfn.XLOOKUP(C741,customers!$A$1:$A$1001,customers!$B$1:$B$1001,0)</f>
        <v>Jimmy Dymoke</v>
      </c>
      <c r="G741" s="2" t="s">
        <v>4436</v>
      </c>
      <c r="H741" s="2" t="str">
        <f>_xlfn.XLOOKUP(C741,customers!$A$1:$A$1001,customers!$G$1:$G$1001,0)</f>
        <v>Ireland</v>
      </c>
      <c r="I741" t="str">
        <f>_xlfn.XLOOKUP(D741,products!$A$1:$A$49,products!$B$1:$B$49,0)</f>
        <v>Exc</v>
      </c>
      <c r="J741" t="str">
        <f>_xlfn.XLOOKUP('data cleaned'!D741,products!$A$1:$A$49,products!$C$1:$C$49,0)</f>
        <v>D</v>
      </c>
      <c r="K741" s="5">
        <f>_xlfn.XLOOKUP('data cleaned'!D741,products!$A$1:$A$49,products!$D$1:$D$49,0)</f>
        <v>0.2</v>
      </c>
      <c r="L741" s="6">
        <f>_xlfn.XLOOKUP('data cleaned'!D741,products!$A$1:$A$49,products!$E$1:$E$49,0)</f>
        <v>3.645</v>
      </c>
      <c r="M741" s="6">
        <f>'data cleaned'!E741*'data cleaned'!L741</f>
        <v>18.225000000000001</v>
      </c>
      <c r="N741" t="str">
        <f t="shared" si="22"/>
        <v>Excelsa</v>
      </c>
      <c r="O741" t="str">
        <f t="shared" si="23"/>
        <v>Dark</v>
      </c>
      <c r="P741" t="str">
        <f>_xlfn.XLOOKUP(worksheet[[#This Row],[Customer ID]],customers!$A$1:$A$1001,customers!$I$1:$I$1001,0)</f>
        <v>No</v>
      </c>
    </row>
    <row r="742" spans="1:16" x14ac:dyDescent="0.25">
      <c r="A742" s="2" t="s">
        <v>4670</v>
      </c>
      <c r="B742" s="4">
        <v>44643</v>
      </c>
      <c r="C742" s="2" t="s">
        <v>4671</v>
      </c>
      <c r="D742" t="s">
        <v>6173</v>
      </c>
      <c r="E742" s="2">
        <v>4</v>
      </c>
      <c r="F742" s="2" t="str">
        <f>_xlfn.XLOOKUP(C742,customers!$A$1:$A$1001,customers!$B$1:$B$1001,0)</f>
        <v>Kandace Cragell</v>
      </c>
      <c r="G742" s="2" t="s">
        <v>4673</v>
      </c>
      <c r="H742" s="2" t="str">
        <f>_xlfn.XLOOKUP(C742,customers!$A$1:$A$1001,customers!$G$1:$G$1001,0)</f>
        <v>Ireland</v>
      </c>
      <c r="I742" t="str">
        <f>_xlfn.XLOOKUP(D742,products!$A$1:$A$49,products!$B$1:$B$49,0)</f>
        <v>Rob</v>
      </c>
      <c r="J742" t="str">
        <f>_xlfn.XLOOKUP('data cleaned'!D742,products!$A$1:$A$49,products!$C$1:$C$49,0)</f>
        <v>L</v>
      </c>
      <c r="K742" s="5">
        <f>_xlfn.XLOOKUP('data cleaned'!D742,products!$A$1:$A$49,products!$D$1:$D$49,0)</f>
        <v>0.5</v>
      </c>
      <c r="L742" s="6">
        <f>_xlfn.XLOOKUP('data cleaned'!D742,products!$A$1:$A$49,products!$E$1:$E$49,0)</f>
        <v>7.169999999999999</v>
      </c>
      <c r="M742" s="6">
        <f>'data cleaned'!E742*'data cleaned'!L742</f>
        <v>28.679999999999996</v>
      </c>
      <c r="N742" t="str">
        <f t="shared" si="22"/>
        <v>Robusta</v>
      </c>
      <c r="O742" t="str">
        <f t="shared" si="23"/>
        <v>Light</v>
      </c>
      <c r="P742" t="str">
        <f>_xlfn.XLOOKUP(worksheet[[#This Row],[Customer ID]],customers!$A$1:$A$1001,customers!$I$1:$I$1001,0)</f>
        <v>No</v>
      </c>
    </row>
    <row r="743" spans="1:16" x14ac:dyDescent="0.25">
      <c r="A743" s="2" t="s">
        <v>4676</v>
      </c>
      <c r="B743" s="4">
        <v>43566</v>
      </c>
      <c r="C743" s="2" t="s">
        <v>4677</v>
      </c>
      <c r="D743" t="s">
        <v>6159</v>
      </c>
      <c r="E743" s="2">
        <v>2</v>
      </c>
      <c r="F743" s="2" t="str">
        <f>_xlfn.XLOOKUP(C743,customers!$A$1:$A$1001,customers!$B$1:$B$1001,0)</f>
        <v>Lyon Ibert</v>
      </c>
      <c r="G743" s="2" t="s">
        <v>4679</v>
      </c>
      <c r="H743" s="2" t="str">
        <f>_xlfn.XLOOKUP(C743,customers!$A$1:$A$1001,customers!$G$1:$G$1001,0)</f>
        <v>United States</v>
      </c>
      <c r="I743" t="str">
        <f>_xlfn.XLOOKUP(D743,products!$A$1:$A$49,products!$B$1:$B$49,0)</f>
        <v>Lib</v>
      </c>
      <c r="J743" t="str">
        <f>_xlfn.XLOOKUP('data cleaned'!D743,products!$A$1:$A$49,products!$C$1:$C$49,0)</f>
        <v>M</v>
      </c>
      <c r="K743" s="5">
        <f>_xlfn.XLOOKUP('data cleaned'!D743,products!$A$1:$A$49,products!$D$1:$D$49,0)</f>
        <v>0.2</v>
      </c>
      <c r="L743" s="6">
        <f>_xlfn.XLOOKUP('data cleaned'!D743,products!$A$1:$A$49,products!$E$1:$E$49,0)</f>
        <v>4.3650000000000002</v>
      </c>
      <c r="M743" s="6">
        <f>'data cleaned'!E743*'data cleaned'!L743</f>
        <v>8.73</v>
      </c>
      <c r="N743" t="str">
        <f t="shared" si="22"/>
        <v>Liberica</v>
      </c>
      <c r="O743" t="str">
        <f t="shared" si="23"/>
        <v>Medium</v>
      </c>
      <c r="P743" t="str">
        <f>_xlfn.XLOOKUP(worksheet[[#This Row],[Customer ID]],customers!$A$1:$A$1001,customers!$I$1:$I$1001,0)</f>
        <v>No</v>
      </c>
    </row>
    <row r="744" spans="1:16" x14ac:dyDescent="0.25">
      <c r="A744" s="2" t="s">
        <v>4682</v>
      </c>
      <c r="B744" s="4">
        <v>44133</v>
      </c>
      <c r="C744" s="2" t="s">
        <v>4683</v>
      </c>
      <c r="D744" t="s">
        <v>6162</v>
      </c>
      <c r="E744" s="2">
        <v>4</v>
      </c>
      <c r="F744" s="2" t="str">
        <f>_xlfn.XLOOKUP(C744,customers!$A$1:$A$1001,customers!$B$1:$B$1001,0)</f>
        <v>Reese Lidgey</v>
      </c>
      <c r="G744" s="2" t="s">
        <v>4685</v>
      </c>
      <c r="H744" s="2" t="str">
        <f>_xlfn.XLOOKUP(C744,customers!$A$1:$A$1001,customers!$G$1:$G$1001,0)</f>
        <v>United States</v>
      </c>
      <c r="I744" t="str">
        <f>_xlfn.XLOOKUP(D744,products!$A$1:$A$49,products!$B$1:$B$49,0)</f>
        <v>Lib</v>
      </c>
      <c r="J744" t="str">
        <f>_xlfn.XLOOKUP('data cleaned'!D744,products!$A$1:$A$49,products!$C$1:$C$49,0)</f>
        <v>M</v>
      </c>
      <c r="K744" s="5">
        <f>_xlfn.XLOOKUP('data cleaned'!D744,products!$A$1:$A$49,products!$D$1:$D$49,0)</f>
        <v>1</v>
      </c>
      <c r="L744" s="6">
        <f>_xlfn.XLOOKUP('data cleaned'!D744,products!$A$1:$A$49,products!$E$1:$E$49,0)</f>
        <v>14.55</v>
      </c>
      <c r="M744" s="6">
        <f>'data cleaned'!E744*'data cleaned'!L744</f>
        <v>58.2</v>
      </c>
      <c r="N744" t="str">
        <f t="shared" si="22"/>
        <v>Liberica</v>
      </c>
      <c r="O744" t="str">
        <f t="shared" si="23"/>
        <v>Medium</v>
      </c>
      <c r="P744" t="str">
        <f>_xlfn.XLOOKUP(worksheet[[#This Row],[Customer ID]],customers!$A$1:$A$1001,customers!$I$1:$I$1001,0)</f>
        <v>No</v>
      </c>
    </row>
    <row r="745" spans="1:16" x14ac:dyDescent="0.25">
      <c r="A745" s="2" t="s">
        <v>4688</v>
      </c>
      <c r="B745" s="4">
        <v>44042</v>
      </c>
      <c r="C745" s="2" t="s">
        <v>4689</v>
      </c>
      <c r="D745" t="s">
        <v>6158</v>
      </c>
      <c r="E745" s="2">
        <v>3</v>
      </c>
      <c r="F745" s="2" t="str">
        <f>_xlfn.XLOOKUP(C745,customers!$A$1:$A$1001,customers!$B$1:$B$1001,0)</f>
        <v>Tersina Castagne</v>
      </c>
      <c r="G745" s="2" t="s">
        <v>4691</v>
      </c>
      <c r="H745" s="2" t="str">
        <f>_xlfn.XLOOKUP(C745,customers!$A$1:$A$1001,customers!$G$1:$G$1001,0)</f>
        <v>United States</v>
      </c>
      <c r="I745" t="str">
        <f>_xlfn.XLOOKUP(D745,products!$A$1:$A$49,products!$B$1:$B$49,0)</f>
        <v>Ara</v>
      </c>
      <c r="J745" t="str">
        <f>_xlfn.XLOOKUP('data cleaned'!D745,products!$A$1:$A$49,products!$C$1:$C$49,0)</f>
        <v>D</v>
      </c>
      <c r="K745" s="5">
        <f>_xlfn.XLOOKUP('data cleaned'!D745,products!$A$1:$A$49,products!$D$1:$D$49,0)</f>
        <v>0.5</v>
      </c>
      <c r="L745" s="6">
        <f>_xlfn.XLOOKUP('data cleaned'!D745,products!$A$1:$A$49,products!$E$1:$E$49,0)</f>
        <v>5.97</v>
      </c>
      <c r="M745" s="6">
        <f>'data cleaned'!E745*'data cleaned'!L745</f>
        <v>17.91</v>
      </c>
      <c r="N745" t="str">
        <f t="shared" si="22"/>
        <v>Arabica</v>
      </c>
      <c r="O745" t="str">
        <f t="shared" si="23"/>
        <v>Dark</v>
      </c>
      <c r="P745" t="str">
        <f>_xlfn.XLOOKUP(worksheet[[#This Row],[Customer ID]],customers!$A$1:$A$1001,customers!$I$1:$I$1001,0)</f>
        <v>No</v>
      </c>
    </row>
    <row r="746" spans="1:16" x14ac:dyDescent="0.25">
      <c r="A746" s="2" t="s">
        <v>4694</v>
      </c>
      <c r="B746" s="4">
        <v>43539</v>
      </c>
      <c r="C746" s="2" t="s">
        <v>4695</v>
      </c>
      <c r="D746" t="s">
        <v>6174</v>
      </c>
      <c r="E746" s="2">
        <v>6</v>
      </c>
      <c r="F746" s="2" t="str">
        <f>_xlfn.XLOOKUP(C746,customers!$A$1:$A$1001,customers!$B$1:$B$1001,0)</f>
        <v>Samuele Klaaassen</v>
      </c>
      <c r="G746" s="2" t="s">
        <v>6222</v>
      </c>
      <c r="H746" s="2" t="str">
        <f>_xlfn.XLOOKUP(C746,customers!$A$1:$A$1001,customers!$G$1:$G$1001,0)</f>
        <v>United States</v>
      </c>
      <c r="I746" t="str">
        <f>_xlfn.XLOOKUP(D746,products!$A$1:$A$49,products!$B$1:$B$49,0)</f>
        <v>Rob</v>
      </c>
      <c r="J746" t="str">
        <f>_xlfn.XLOOKUP('data cleaned'!D746,products!$A$1:$A$49,products!$C$1:$C$49,0)</f>
        <v>M</v>
      </c>
      <c r="K746" s="5">
        <f>_xlfn.XLOOKUP('data cleaned'!D746,products!$A$1:$A$49,products!$D$1:$D$49,0)</f>
        <v>0.2</v>
      </c>
      <c r="L746" s="6">
        <f>_xlfn.XLOOKUP('data cleaned'!D746,products!$A$1:$A$49,products!$E$1:$E$49,0)</f>
        <v>2.9849999999999999</v>
      </c>
      <c r="M746" s="6">
        <f>'data cleaned'!E746*'data cleaned'!L746</f>
        <v>17.91</v>
      </c>
      <c r="N746" t="str">
        <f t="shared" si="22"/>
        <v>Robusta</v>
      </c>
      <c r="O746" t="str">
        <f t="shared" si="23"/>
        <v>Medium</v>
      </c>
      <c r="P746" t="str">
        <f>_xlfn.XLOOKUP(worksheet[[#This Row],[Customer ID]],customers!$A$1:$A$1001,customers!$I$1:$I$1001,0)</f>
        <v>Yes</v>
      </c>
    </row>
    <row r="747" spans="1:16" x14ac:dyDescent="0.25">
      <c r="A747" s="2" t="s">
        <v>4699</v>
      </c>
      <c r="B747" s="4">
        <v>44557</v>
      </c>
      <c r="C747" s="2" t="s">
        <v>4700</v>
      </c>
      <c r="D747" t="s">
        <v>6144</v>
      </c>
      <c r="E747" s="2">
        <v>2</v>
      </c>
      <c r="F747" s="2" t="str">
        <f>_xlfn.XLOOKUP(C747,customers!$A$1:$A$1001,customers!$B$1:$B$1001,0)</f>
        <v>Jordana Halden</v>
      </c>
      <c r="G747" s="2" t="s">
        <v>4702</v>
      </c>
      <c r="H747" s="2" t="str">
        <f>_xlfn.XLOOKUP(C747,customers!$A$1:$A$1001,customers!$G$1:$G$1001,0)</f>
        <v>Ireland</v>
      </c>
      <c r="I747" t="str">
        <f>_xlfn.XLOOKUP(D747,products!$A$1:$A$49,products!$B$1:$B$49,0)</f>
        <v>Exc</v>
      </c>
      <c r="J747" t="str">
        <f>_xlfn.XLOOKUP('data cleaned'!D747,products!$A$1:$A$49,products!$C$1:$C$49,0)</f>
        <v>D</v>
      </c>
      <c r="K747" s="5">
        <f>_xlfn.XLOOKUP('data cleaned'!D747,products!$A$1:$A$49,products!$D$1:$D$49,0)</f>
        <v>0.5</v>
      </c>
      <c r="L747" s="6">
        <f>_xlfn.XLOOKUP('data cleaned'!D747,products!$A$1:$A$49,products!$E$1:$E$49,0)</f>
        <v>7.29</v>
      </c>
      <c r="M747" s="6">
        <f>'data cleaned'!E747*'data cleaned'!L747</f>
        <v>14.58</v>
      </c>
      <c r="N747" t="str">
        <f t="shared" si="22"/>
        <v>Excelsa</v>
      </c>
      <c r="O747" t="str">
        <f t="shared" si="23"/>
        <v>Dark</v>
      </c>
      <c r="P747" t="str">
        <f>_xlfn.XLOOKUP(worksheet[[#This Row],[Customer ID]],customers!$A$1:$A$1001,customers!$I$1:$I$1001,0)</f>
        <v>No</v>
      </c>
    </row>
    <row r="748" spans="1:16" x14ac:dyDescent="0.25">
      <c r="A748" s="2" t="s">
        <v>4705</v>
      </c>
      <c r="B748" s="4">
        <v>43741</v>
      </c>
      <c r="C748" s="2" t="s">
        <v>4706</v>
      </c>
      <c r="D748" t="s">
        <v>6155</v>
      </c>
      <c r="E748" s="2">
        <v>3</v>
      </c>
      <c r="F748" s="2" t="str">
        <f>_xlfn.XLOOKUP(C748,customers!$A$1:$A$1001,customers!$B$1:$B$1001,0)</f>
        <v>Hussein Olliff</v>
      </c>
      <c r="G748" s="2" t="s">
        <v>4708</v>
      </c>
      <c r="H748" s="2" t="str">
        <f>_xlfn.XLOOKUP(C748,customers!$A$1:$A$1001,customers!$G$1:$G$1001,0)</f>
        <v>Ireland</v>
      </c>
      <c r="I748" t="str">
        <f>_xlfn.XLOOKUP(D748,products!$A$1:$A$49,products!$B$1:$B$49,0)</f>
        <v>Ara</v>
      </c>
      <c r="J748" t="str">
        <f>_xlfn.XLOOKUP('data cleaned'!D748,products!$A$1:$A$49,products!$C$1:$C$49,0)</f>
        <v>M</v>
      </c>
      <c r="K748" s="5">
        <f>_xlfn.XLOOKUP('data cleaned'!D748,products!$A$1:$A$49,products!$D$1:$D$49,0)</f>
        <v>1</v>
      </c>
      <c r="L748" s="6">
        <f>_xlfn.XLOOKUP('data cleaned'!D748,products!$A$1:$A$49,products!$E$1:$E$49,0)</f>
        <v>11.25</v>
      </c>
      <c r="M748" s="6">
        <f>'data cleaned'!E748*'data cleaned'!L748</f>
        <v>33.75</v>
      </c>
      <c r="N748" t="str">
        <f t="shared" si="22"/>
        <v>Arabica</v>
      </c>
      <c r="O748" t="str">
        <f t="shared" si="23"/>
        <v>Medium</v>
      </c>
      <c r="P748" t="str">
        <f>_xlfn.XLOOKUP(worksheet[[#This Row],[Customer ID]],customers!$A$1:$A$1001,customers!$I$1:$I$1001,0)</f>
        <v>No</v>
      </c>
    </row>
    <row r="749" spans="1:16" x14ac:dyDescent="0.25">
      <c r="A749" s="2" t="s">
        <v>4711</v>
      </c>
      <c r="B749" s="4">
        <v>43501</v>
      </c>
      <c r="C749" s="2" t="s">
        <v>4712</v>
      </c>
      <c r="D749" t="s">
        <v>6160</v>
      </c>
      <c r="E749" s="2">
        <v>4</v>
      </c>
      <c r="F749" s="2" t="str">
        <f>_xlfn.XLOOKUP(C749,customers!$A$1:$A$1001,customers!$B$1:$B$1001,0)</f>
        <v>Teddi Quadri</v>
      </c>
      <c r="G749" s="2" t="s">
        <v>4714</v>
      </c>
      <c r="H749" s="2" t="str">
        <f>_xlfn.XLOOKUP(C749,customers!$A$1:$A$1001,customers!$G$1:$G$1001,0)</f>
        <v>Ireland</v>
      </c>
      <c r="I749" t="str">
        <f>_xlfn.XLOOKUP(D749,products!$A$1:$A$49,products!$B$1:$B$49,0)</f>
        <v>Lib</v>
      </c>
      <c r="J749" t="str">
        <f>_xlfn.XLOOKUP('data cleaned'!D749,products!$A$1:$A$49,products!$C$1:$C$49,0)</f>
        <v>M</v>
      </c>
      <c r="K749" s="5">
        <f>_xlfn.XLOOKUP('data cleaned'!D749,products!$A$1:$A$49,products!$D$1:$D$49,0)</f>
        <v>0.5</v>
      </c>
      <c r="L749" s="6">
        <f>_xlfn.XLOOKUP('data cleaned'!D749,products!$A$1:$A$49,products!$E$1:$E$49,0)</f>
        <v>8.73</v>
      </c>
      <c r="M749" s="6">
        <f>'data cleaned'!E749*'data cleaned'!L749</f>
        <v>34.92</v>
      </c>
      <c r="N749" t="str">
        <f t="shared" si="22"/>
        <v>Liberica</v>
      </c>
      <c r="O749" t="str">
        <f t="shared" si="23"/>
        <v>Medium</v>
      </c>
      <c r="P749" t="str">
        <f>_xlfn.XLOOKUP(worksheet[[#This Row],[Customer ID]],customers!$A$1:$A$1001,customers!$I$1:$I$1001,0)</f>
        <v>Yes</v>
      </c>
    </row>
    <row r="750" spans="1:16" x14ac:dyDescent="0.25">
      <c r="A750" s="2" t="s">
        <v>4717</v>
      </c>
      <c r="B750" s="4">
        <v>44074</v>
      </c>
      <c r="C750" s="2" t="s">
        <v>4718</v>
      </c>
      <c r="D750" t="s">
        <v>6144</v>
      </c>
      <c r="E750" s="2">
        <v>2</v>
      </c>
      <c r="F750" s="2" t="str">
        <f>_xlfn.XLOOKUP(C750,customers!$A$1:$A$1001,customers!$B$1:$B$1001,0)</f>
        <v>Felita Eshmade</v>
      </c>
      <c r="G750" s="2" t="s">
        <v>4720</v>
      </c>
      <c r="H750" s="2" t="str">
        <f>_xlfn.XLOOKUP(C750,customers!$A$1:$A$1001,customers!$G$1:$G$1001,0)</f>
        <v>United States</v>
      </c>
      <c r="I750" t="str">
        <f>_xlfn.XLOOKUP(D750,products!$A$1:$A$49,products!$B$1:$B$49,0)</f>
        <v>Exc</v>
      </c>
      <c r="J750" t="str">
        <f>_xlfn.XLOOKUP('data cleaned'!D750,products!$A$1:$A$49,products!$C$1:$C$49,0)</f>
        <v>D</v>
      </c>
      <c r="K750" s="5">
        <f>_xlfn.XLOOKUP('data cleaned'!D750,products!$A$1:$A$49,products!$D$1:$D$49,0)</f>
        <v>0.5</v>
      </c>
      <c r="L750" s="6">
        <f>_xlfn.XLOOKUP('data cleaned'!D750,products!$A$1:$A$49,products!$E$1:$E$49,0)</f>
        <v>7.29</v>
      </c>
      <c r="M750" s="6">
        <f>'data cleaned'!E750*'data cleaned'!L750</f>
        <v>14.58</v>
      </c>
      <c r="N750" t="str">
        <f t="shared" si="22"/>
        <v>Excelsa</v>
      </c>
      <c r="O750" t="str">
        <f t="shared" si="23"/>
        <v>Dark</v>
      </c>
      <c r="P750" t="str">
        <f>_xlfn.XLOOKUP(worksheet[[#This Row],[Customer ID]],customers!$A$1:$A$1001,customers!$I$1:$I$1001,0)</f>
        <v>No</v>
      </c>
    </row>
    <row r="751" spans="1:16" x14ac:dyDescent="0.25">
      <c r="A751" s="2" t="s">
        <v>4723</v>
      </c>
      <c r="B751" s="4">
        <v>44209</v>
      </c>
      <c r="C751" s="2" t="s">
        <v>4724</v>
      </c>
      <c r="D751" t="s">
        <v>6163</v>
      </c>
      <c r="E751" s="2">
        <v>2</v>
      </c>
      <c r="F751" s="2" t="str">
        <f>_xlfn.XLOOKUP(C751,customers!$A$1:$A$1001,customers!$B$1:$B$1001,0)</f>
        <v>Melodie OIlier</v>
      </c>
      <c r="G751" s="2" t="s">
        <v>4726</v>
      </c>
      <c r="H751" s="2" t="str">
        <f>_xlfn.XLOOKUP(C751,customers!$A$1:$A$1001,customers!$G$1:$G$1001,0)</f>
        <v>Ireland</v>
      </c>
      <c r="I751" t="str">
        <f>_xlfn.XLOOKUP(D751,products!$A$1:$A$49,products!$B$1:$B$49,0)</f>
        <v>Rob</v>
      </c>
      <c r="J751" t="str">
        <f>_xlfn.XLOOKUP('data cleaned'!D751,products!$A$1:$A$49,products!$C$1:$C$49,0)</f>
        <v>D</v>
      </c>
      <c r="K751" s="5">
        <f>_xlfn.XLOOKUP('data cleaned'!D751,products!$A$1:$A$49,products!$D$1:$D$49,0)</f>
        <v>0.2</v>
      </c>
      <c r="L751" s="6">
        <f>_xlfn.XLOOKUP('data cleaned'!D751,products!$A$1:$A$49,products!$E$1:$E$49,0)</f>
        <v>2.6849999999999996</v>
      </c>
      <c r="M751" s="6">
        <f>'data cleaned'!E751*'data cleaned'!L751</f>
        <v>5.3699999999999992</v>
      </c>
      <c r="N751" t="str">
        <f t="shared" si="22"/>
        <v>Robusta</v>
      </c>
      <c r="O751" t="str">
        <f t="shared" si="23"/>
        <v>Dark</v>
      </c>
      <c r="P751" t="str">
        <f>_xlfn.XLOOKUP(worksheet[[#This Row],[Customer ID]],customers!$A$1:$A$1001,customers!$I$1:$I$1001,0)</f>
        <v>Yes</v>
      </c>
    </row>
    <row r="752" spans="1:16" x14ac:dyDescent="0.25">
      <c r="A752" s="2" t="s">
        <v>4730</v>
      </c>
      <c r="B752" s="4">
        <v>44277</v>
      </c>
      <c r="C752" s="2" t="s">
        <v>4731</v>
      </c>
      <c r="D752" t="s">
        <v>6146</v>
      </c>
      <c r="E752" s="2">
        <v>1</v>
      </c>
      <c r="F752" s="2" t="str">
        <f>_xlfn.XLOOKUP(C752,customers!$A$1:$A$1001,customers!$B$1:$B$1001,0)</f>
        <v>Hazel Iacopini</v>
      </c>
      <c r="G752" s="2" t="s">
        <v>6222</v>
      </c>
      <c r="H752" s="2" t="str">
        <f>_xlfn.XLOOKUP(C752,customers!$A$1:$A$1001,customers!$G$1:$G$1001,0)</f>
        <v>United States</v>
      </c>
      <c r="I752" t="str">
        <f>_xlfn.XLOOKUP(D752,products!$A$1:$A$49,products!$B$1:$B$49,0)</f>
        <v>Rob</v>
      </c>
      <c r="J752" t="str">
        <f>_xlfn.XLOOKUP('data cleaned'!D752,products!$A$1:$A$49,products!$C$1:$C$49,0)</f>
        <v>M</v>
      </c>
      <c r="K752" s="5">
        <f>_xlfn.XLOOKUP('data cleaned'!D752,products!$A$1:$A$49,products!$D$1:$D$49,0)</f>
        <v>0.5</v>
      </c>
      <c r="L752" s="6">
        <f>_xlfn.XLOOKUP('data cleaned'!D752,products!$A$1:$A$49,products!$E$1:$E$49,0)</f>
        <v>5.97</v>
      </c>
      <c r="M752" s="6">
        <f>'data cleaned'!E752*'data cleaned'!L752</f>
        <v>5.97</v>
      </c>
      <c r="N752" t="str">
        <f t="shared" si="22"/>
        <v>Robusta</v>
      </c>
      <c r="O752" t="str">
        <f t="shared" si="23"/>
        <v>Medium</v>
      </c>
      <c r="P752" t="str">
        <f>_xlfn.XLOOKUP(worksheet[[#This Row],[Customer ID]],customers!$A$1:$A$1001,customers!$I$1:$I$1001,0)</f>
        <v>Yes</v>
      </c>
    </row>
    <row r="753" spans="1:16" x14ac:dyDescent="0.25">
      <c r="A753" s="2" t="s">
        <v>4735</v>
      </c>
      <c r="B753" s="4">
        <v>43847</v>
      </c>
      <c r="C753" s="2" t="s">
        <v>4736</v>
      </c>
      <c r="D753" t="s">
        <v>6161</v>
      </c>
      <c r="E753" s="2">
        <v>2</v>
      </c>
      <c r="F753" s="2" t="str">
        <f>_xlfn.XLOOKUP(C753,customers!$A$1:$A$1001,customers!$B$1:$B$1001,0)</f>
        <v>Vinny Shoebotham</v>
      </c>
      <c r="G753" s="2" t="s">
        <v>4738</v>
      </c>
      <c r="H753" s="2" t="str">
        <f>_xlfn.XLOOKUP(C753,customers!$A$1:$A$1001,customers!$G$1:$G$1001,0)</f>
        <v>United States</v>
      </c>
      <c r="I753" t="str">
        <f>_xlfn.XLOOKUP(D753,products!$A$1:$A$49,products!$B$1:$B$49,0)</f>
        <v>Lib</v>
      </c>
      <c r="J753" t="str">
        <f>_xlfn.XLOOKUP('data cleaned'!D753,products!$A$1:$A$49,products!$C$1:$C$49,0)</f>
        <v>L</v>
      </c>
      <c r="K753" s="5">
        <f>_xlfn.XLOOKUP('data cleaned'!D753,products!$A$1:$A$49,products!$D$1:$D$49,0)</f>
        <v>0.5</v>
      </c>
      <c r="L753" s="6">
        <f>_xlfn.XLOOKUP('data cleaned'!D753,products!$A$1:$A$49,products!$E$1:$E$49,0)</f>
        <v>9.51</v>
      </c>
      <c r="M753" s="6">
        <f>'data cleaned'!E753*'data cleaned'!L753</f>
        <v>19.02</v>
      </c>
      <c r="N753" t="str">
        <f t="shared" si="22"/>
        <v>Liberica</v>
      </c>
      <c r="O753" t="str">
        <f t="shared" si="23"/>
        <v>Light</v>
      </c>
      <c r="P753" t="str">
        <f>_xlfn.XLOOKUP(worksheet[[#This Row],[Customer ID]],customers!$A$1:$A$1001,customers!$I$1:$I$1001,0)</f>
        <v>No</v>
      </c>
    </row>
    <row r="754" spans="1:16" x14ac:dyDescent="0.25">
      <c r="A754" s="2" t="s">
        <v>4741</v>
      </c>
      <c r="B754" s="4">
        <v>43648</v>
      </c>
      <c r="C754" s="2" t="s">
        <v>4742</v>
      </c>
      <c r="D754" t="s">
        <v>6141</v>
      </c>
      <c r="E754" s="2">
        <v>2</v>
      </c>
      <c r="F754" s="2" t="str">
        <f>_xlfn.XLOOKUP(C754,customers!$A$1:$A$1001,customers!$B$1:$B$1001,0)</f>
        <v>Bran Sterke</v>
      </c>
      <c r="G754" s="2" t="s">
        <v>4744</v>
      </c>
      <c r="H754" s="2" t="str">
        <f>_xlfn.XLOOKUP(C754,customers!$A$1:$A$1001,customers!$G$1:$G$1001,0)</f>
        <v>United States</v>
      </c>
      <c r="I754" t="str">
        <f>_xlfn.XLOOKUP(D754,products!$A$1:$A$49,products!$B$1:$B$49,0)</f>
        <v>Exc</v>
      </c>
      <c r="J754" t="str">
        <f>_xlfn.XLOOKUP('data cleaned'!D754,products!$A$1:$A$49,products!$C$1:$C$49,0)</f>
        <v>M</v>
      </c>
      <c r="K754" s="5">
        <f>_xlfn.XLOOKUP('data cleaned'!D754,products!$A$1:$A$49,products!$D$1:$D$49,0)</f>
        <v>1</v>
      </c>
      <c r="L754" s="6">
        <f>_xlfn.XLOOKUP('data cleaned'!D754,products!$A$1:$A$49,products!$E$1:$E$49,0)</f>
        <v>13.75</v>
      </c>
      <c r="M754" s="6">
        <f>'data cleaned'!E754*'data cleaned'!L754</f>
        <v>27.5</v>
      </c>
      <c r="N754" t="str">
        <f t="shared" si="22"/>
        <v>Excelsa</v>
      </c>
      <c r="O754" t="str">
        <f t="shared" si="23"/>
        <v>Medium</v>
      </c>
      <c r="P754" t="str">
        <f>_xlfn.XLOOKUP(worksheet[[#This Row],[Customer ID]],customers!$A$1:$A$1001,customers!$I$1:$I$1001,0)</f>
        <v>Yes</v>
      </c>
    </row>
    <row r="755" spans="1:16" x14ac:dyDescent="0.25">
      <c r="A755" s="2" t="s">
        <v>4747</v>
      </c>
      <c r="B755" s="4">
        <v>44704</v>
      </c>
      <c r="C755" s="2" t="s">
        <v>4748</v>
      </c>
      <c r="D755" t="s">
        <v>6158</v>
      </c>
      <c r="E755" s="2">
        <v>5</v>
      </c>
      <c r="F755" s="2" t="str">
        <f>_xlfn.XLOOKUP(C755,customers!$A$1:$A$1001,customers!$B$1:$B$1001,0)</f>
        <v>Simone Capon</v>
      </c>
      <c r="G755" s="2" t="s">
        <v>4750</v>
      </c>
      <c r="H755" s="2" t="str">
        <f>_xlfn.XLOOKUP(C755,customers!$A$1:$A$1001,customers!$G$1:$G$1001,0)</f>
        <v>United States</v>
      </c>
      <c r="I755" t="str">
        <f>_xlfn.XLOOKUP(D755,products!$A$1:$A$49,products!$B$1:$B$49,0)</f>
        <v>Ara</v>
      </c>
      <c r="J755" t="str">
        <f>_xlfn.XLOOKUP('data cleaned'!D755,products!$A$1:$A$49,products!$C$1:$C$49,0)</f>
        <v>D</v>
      </c>
      <c r="K755" s="5">
        <f>_xlfn.XLOOKUP('data cleaned'!D755,products!$A$1:$A$49,products!$D$1:$D$49,0)</f>
        <v>0.5</v>
      </c>
      <c r="L755" s="6">
        <f>_xlfn.XLOOKUP('data cleaned'!D755,products!$A$1:$A$49,products!$E$1:$E$49,0)</f>
        <v>5.97</v>
      </c>
      <c r="M755" s="6">
        <f>'data cleaned'!E755*'data cleaned'!L755</f>
        <v>29.849999999999998</v>
      </c>
      <c r="N755" t="str">
        <f t="shared" si="22"/>
        <v>Arabica</v>
      </c>
      <c r="O755" t="str">
        <f t="shared" si="23"/>
        <v>Dark</v>
      </c>
      <c r="P755" t="str">
        <f>_xlfn.XLOOKUP(worksheet[[#This Row],[Customer ID]],customers!$A$1:$A$1001,customers!$I$1:$I$1001,0)</f>
        <v>No</v>
      </c>
    </row>
    <row r="756" spans="1:16" x14ac:dyDescent="0.25">
      <c r="A756" s="2" t="s">
        <v>4753</v>
      </c>
      <c r="B756" s="4">
        <v>44726</v>
      </c>
      <c r="C756" s="2" t="s">
        <v>4434</v>
      </c>
      <c r="D756" t="s">
        <v>6154</v>
      </c>
      <c r="E756" s="2">
        <v>6</v>
      </c>
      <c r="F756" s="2" t="str">
        <f>_xlfn.XLOOKUP(C756,customers!$A$1:$A$1001,customers!$B$1:$B$1001,0)</f>
        <v>Jimmy Dymoke</v>
      </c>
      <c r="G756" s="2" t="s">
        <v>4436</v>
      </c>
      <c r="H756" s="2" t="str">
        <f>_xlfn.XLOOKUP(C756,customers!$A$1:$A$1001,customers!$G$1:$G$1001,0)</f>
        <v>Ireland</v>
      </c>
      <c r="I756" t="str">
        <f>_xlfn.XLOOKUP(D756,products!$A$1:$A$49,products!$B$1:$B$49,0)</f>
        <v>Ara</v>
      </c>
      <c r="J756" t="str">
        <f>_xlfn.XLOOKUP('data cleaned'!D756,products!$A$1:$A$49,products!$C$1:$C$49,0)</f>
        <v>D</v>
      </c>
      <c r="K756" s="5">
        <f>_xlfn.XLOOKUP('data cleaned'!D756,products!$A$1:$A$49,products!$D$1:$D$49,0)</f>
        <v>0.2</v>
      </c>
      <c r="L756" s="6">
        <f>_xlfn.XLOOKUP('data cleaned'!D756,products!$A$1:$A$49,products!$E$1:$E$49,0)</f>
        <v>2.9849999999999999</v>
      </c>
      <c r="M756" s="6">
        <f>'data cleaned'!E756*'data cleaned'!L756</f>
        <v>17.91</v>
      </c>
      <c r="N756" t="str">
        <f t="shared" si="22"/>
        <v>Arabica</v>
      </c>
      <c r="O756" t="str">
        <f t="shared" si="23"/>
        <v>Dark</v>
      </c>
      <c r="P756" t="str">
        <f>_xlfn.XLOOKUP(worksheet[[#This Row],[Customer ID]],customers!$A$1:$A$1001,customers!$I$1:$I$1001,0)</f>
        <v>No</v>
      </c>
    </row>
    <row r="757" spans="1:16" x14ac:dyDescent="0.25">
      <c r="A757" s="2" t="s">
        <v>4758</v>
      </c>
      <c r="B757" s="4">
        <v>44397</v>
      </c>
      <c r="C757" s="2" t="s">
        <v>4759</v>
      </c>
      <c r="D757" t="s">
        <v>6145</v>
      </c>
      <c r="E757" s="2">
        <v>6</v>
      </c>
      <c r="F757" s="2" t="str">
        <f>_xlfn.XLOOKUP(C757,customers!$A$1:$A$1001,customers!$B$1:$B$1001,0)</f>
        <v>Foster Constance</v>
      </c>
      <c r="G757" s="2" t="s">
        <v>4761</v>
      </c>
      <c r="H757" s="2" t="str">
        <f>_xlfn.XLOOKUP(C757,customers!$A$1:$A$1001,customers!$G$1:$G$1001,0)</f>
        <v>United States</v>
      </c>
      <c r="I757" t="str">
        <f>_xlfn.XLOOKUP(D757,products!$A$1:$A$49,products!$B$1:$B$49,0)</f>
        <v>Lib</v>
      </c>
      <c r="J757" t="str">
        <f>_xlfn.XLOOKUP('data cleaned'!D757,products!$A$1:$A$49,products!$C$1:$C$49,0)</f>
        <v>L</v>
      </c>
      <c r="K757" s="5">
        <f>_xlfn.XLOOKUP('data cleaned'!D757,products!$A$1:$A$49,products!$D$1:$D$49,0)</f>
        <v>0.2</v>
      </c>
      <c r="L757" s="6">
        <f>_xlfn.XLOOKUP('data cleaned'!D757,products!$A$1:$A$49,products!$E$1:$E$49,0)</f>
        <v>4.7549999999999999</v>
      </c>
      <c r="M757" s="6">
        <f>'data cleaned'!E757*'data cleaned'!L757</f>
        <v>28.53</v>
      </c>
      <c r="N757" t="str">
        <f t="shared" si="22"/>
        <v>Liberica</v>
      </c>
      <c r="O757" t="str">
        <f t="shared" si="23"/>
        <v>Light</v>
      </c>
      <c r="P757" t="str">
        <f>_xlfn.XLOOKUP(worksheet[[#This Row],[Customer ID]],customers!$A$1:$A$1001,customers!$I$1:$I$1001,0)</f>
        <v>No</v>
      </c>
    </row>
    <row r="758" spans="1:16" x14ac:dyDescent="0.25">
      <c r="A758" s="2" t="s">
        <v>4764</v>
      </c>
      <c r="B758" s="4">
        <v>44715</v>
      </c>
      <c r="C758" s="2" t="s">
        <v>4765</v>
      </c>
      <c r="D758" t="s">
        <v>6177</v>
      </c>
      <c r="E758" s="2">
        <v>4</v>
      </c>
      <c r="F758" s="2" t="str">
        <f>_xlfn.XLOOKUP(C758,customers!$A$1:$A$1001,customers!$B$1:$B$1001,0)</f>
        <v>Fernando Sulman</v>
      </c>
      <c r="G758" s="2" t="s">
        <v>4767</v>
      </c>
      <c r="H758" s="2" t="str">
        <f>_xlfn.XLOOKUP(C758,customers!$A$1:$A$1001,customers!$G$1:$G$1001,0)</f>
        <v>United States</v>
      </c>
      <c r="I758" t="str">
        <f>_xlfn.XLOOKUP(D758,products!$A$1:$A$49,products!$B$1:$B$49,0)</f>
        <v>Rob</v>
      </c>
      <c r="J758" t="str">
        <f>_xlfn.XLOOKUP('data cleaned'!D758,products!$A$1:$A$49,products!$C$1:$C$49,0)</f>
        <v>D</v>
      </c>
      <c r="K758" s="5">
        <f>_xlfn.XLOOKUP('data cleaned'!D758,products!$A$1:$A$49,products!$D$1:$D$49,0)</f>
        <v>1</v>
      </c>
      <c r="L758" s="6">
        <f>_xlfn.XLOOKUP('data cleaned'!D758,products!$A$1:$A$49,products!$E$1:$E$49,0)</f>
        <v>8.9499999999999993</v>
      </c>
      <c r="M758" s="6">
        <f>'data cleaned'!E758*'data cleaned'!L758</f>
        <v>35.799999999999997</v>
      </c>
      <c r="N758" t="str">
        <f t="shared" si="22"/>
        <v>Robusta</v>
      </c>
      <c r="O758" t="str">
        <f t="shared" si="23"/>
        <v>Dark</v>
      </c>
      <c r="P758" t="str">
        <f>_xlfn.XLOOKUP(worksheet[[#This Row],[Customer ID]],customers!$A$1:$A$1001,customers!$I$1:$I$1001,0)</f>
        <v>Yes</v>
      </c>
    </row>
    <row r="759" spans="1:16" x14ac:dyDescent="0.25">
      <c r="A759" s="2" t="s">
        <v>4770</v>
      </c>
      <c r="B759" s="4">
        <v>43977</v>
      </c>
      <c r="C759" s="2" t="s">
        <v>4771</v>
      </c>
      <c r="D759" t="s">
        <v>6158</v>
      </c>
      <c r="E759" s="2">
        <v>3</v>
      </c>
      <c r="F759" s="2" t="str">
        <f>_xlfn.XLOOKUP(C759,customers!$A$1:$A$1001,customers!$B$1:$B$1001,0)</f>
        <v>Dorotea Hollyman</v>
      </c>
      <c r="G759" s="2" t="s">
        <v>4773</v>
      </c>
      <c r="H759" s="2" t="str">
        <f>_xlfn.XLOOKUP(C759,customers!$A$1:$A$1001,customers!$G$1:$G$1001,0)</f>
        <v>United States</v>
      </c>
      <c r="I759" t="str">
        <f>_xlfn.XLOOKUP(D759,products!$A$1:$A$49,products!$B$1:$B$49,0)</f>
        <v>Ara</v>
      </c>
      <c r="J759" t="str">
        <f>_xlfn.XLOOKUP('data cleaned'!D759,products!$A$1:$A$49,products!$C$1:$C$49,0)</f>
        <v>D</v>
      </c>
      <c r="K759" s="5">
        <f>_xlfn.XLOOKUP('data cleaned'!D759,products!$A$1:$A$49,products!$D$1:$D$49,0)</f>
        <v>0.5</v>
      </c>
      <c r="L759" s="6">
        <f>_xlfn.XLOOKUP('data cleaned'!D759,products!$A$1:$A$49,products!$E$1:$E$49,0)</f>
        <v>5.97</v>
      </c>
      <c r="M759" s="6">
        <f>'data cleaned'!E759*'data cleaned'!L759</f>
        <v>17.91</v>
      </c>
      <c r="N759" t="str">
        <f t="shared" si="22"/>
        <v>Arabica</v>
      </c>
      <c r="O759" t="str">
        <f t="shared" si="23"/>
        <v>Dark</v>
      </c>
      <c r="P759" t="str">
        <f>_xlfn.XLOOKUP(worksheet[[#This Row],[Customer ID]],customers!$A$1:$A$1001,customers!$I$1:$I$1001,0)</f>
        <v>Yes</v>
      </c>
    </row>
    <row r="760" spans="1:16" x14ac:dyDescent="0.25">
      <c r="A760" s="2" t="s">
        <v>4776</v>
      </c>
      <c r="B760" s="4">
        <v>43672</v>
      </c>
      <c r="C760" s="2" t="s">
        <v>4777</v>
      </c>
      <c r="D760" t="s">
        <v>6177</v>
      </c>
      <c r="E760" s="2">
        <v>1</v>
      </c>
      <c r="F760" s="2" t="str">
        <f>_xlfn.XLOOKUP(C760,customers!$A$1:$A$1001,customers!$B$1:$B$1001,0)</f>
        <v>Lorelei Nardoni</v>
      </c>
      <c r="G760" s="2" t="s">
        <v>4779</v>
      </c>
      <c r="H760" s="2" t="str">
        <f>_xlfn.XLOOKUP(C760,customers!$A$1:$A$1001,customers!$G$1:$G$1001,0)</f>
        <v>United States</v>
      </c>
      <c r="I760" t="str">
        <f>_xlfn.XLOOKUP(D760,products!$A$1:$A$49,products!$B$1:$B$49,0)</f>
        <v>Rob</v>
      </c>
      <c r="J760" t="str">
        <f>_xlfn.XLOOKUP('data cleaned'!D760,products!$A$1:$A$49,products!$C$1:$C$49,0)</f>
        <v>D</v>
      </c>
      <c r="K760" s="5">
        <f>_xlfn.XLOOKUP('data cleaned'!D760,products!$A$1:$A$49,products!$D$1:$D$49,0)</f>
        <v>1</v>
      </c>
      <c r="L760" s="6">
        <f>_xlfn.XLOOKUP('data cleaned'!D760,products!$A$1:$A$49,products!$E$1:$E$49,0)</f>
        <v>8.9499999999999993</v>
      </c>
      <c r="M760" s="6">
        <f>'data cleaned'!E760*'data cleaned'!L760</f>
        <v>8.9499999999999993</v>
      </c>
      <c r="N760" t="str">
        <f t="shared" si="22"/>
        <v>Robusta</v>
      </c>
      <c r="O760" t="str">
        <f t="shared" si="23"/>
        <v>Dark</v>
      </c>
      <c r="P760" t="str">
        <f>_xlfn.XLOOKUP(worksheet[[#This Row],[Customer ID]],customers!$A$1:$A$1001,customers!$I$1:$I$1001,0)</f>
        <v>No</v>
      </c>
    </row>
    <row r="761" spans="1:16" x14ac:dyDescent="0.25">
      <c r="A761" s="2" t="s">
        <v>4781</v>
      </c>
      <c r="B761" s="4">
        <v>44126</v>
      </c>
      <c r="C761" s="2" t="s">
        <v>4782</v>
      </c>
      <c r="D761" t="s">
        <v>6165</v>
      </c>
      <c r="E761" s="2">
        <v>1</v>
      </c>
      <c r="F761" s="2" t="str">
        <f>_xlfn.XLOOKUP(C761,customers!$A$1:$A$1001,customers!$B$1:$B$1001,0)</f>
        <v>Dallas Yarham</v>
      </c>
      <c r="G761" s="2" t="s">
        <v>4784</v>
      </c>
      <c r="H761" s="2" t="str">
        <f>_xlfn.XLOOKUP(C761,customers!$A$1:$A$1001,customers!$G$1:$G$1001,0)</f>
        <v>United States</v>
      </c>
      <c r="I761" t="str">
        <f>_xlfn.XLOOKUP(D761,products!$A$1:$A$49,products!$B$1:$B$49,0)</f>
        <v>Lib</v>
      </c>
      <c r="J761" t="str">
        <f>_xlfn.XLOOKUP('data cleaned'!D761,products!$A$1:$A$49,products!$C$1:$C$49,0)</f>
        <v>D</v>
      </c>
      <c r="K761" s="5">
        <f>_xlfn.XLOOKUP('data cleaned'!D761,products!$A$1:$A$49,products!$D$1:$D$49,0)</f>
        <v>2.5</v>
      </c>
      <c r="L761" s="6">
        <f>_xlfn.XLOOKUP('data cleaned'!D761,products!$A$1:$A$49,products!$E$1:$E$49,0)</f>
        <v>29.784999999999997</v>
      </c>
      <c r="M761" s="6">
        <f>'data cleaned'!E761*'data cleaned'!L761</f>
        <v>29.784999999999997</v>
      </c>
      <c r="N761" t="str">
        <f t="shared" si="22"/>
        <v>Liberica</v>
      </c>
      <c r="O761" t="str">
        <f t="shared" si="23"/>
        <v>Dark</v>
      </c>
      <c r="P761" t="str">
        <f>_xlfn.XLOOKUP(worksheet[[#This Row],[Customer ID]],customers!$A$1:$A$1001,customers!$I$1:$I$1001,0)</f>
        <v>Yes</v>
      </c>
    </row>
    <row r="762" spans="1:16" x14ac:dyDescent="0.25">
      <c r="A762" s="2" t="s">
        <v>4787</v>
      </c>
      <c r="B762" s="4">
        <v>44189</v>
      </c>
      <c r="C762" s="2" t="s">
        <v>4788</v>
      </c>
      <c r="D762" t="s">
        <v>6176</v>
      </c>
      <c r="E762" s="2">
        <v>5</v>
      </c>
      <c r="F762" s="2" t="str">
        <f>_xlfn.XLOOKUP(C762,customers!$A$1:$A$1001,customers!$B$1:$B$1001,0)</f>
        <v>Arlana Ferrea</v>
      </c>
      <c r="G762" s="2" t="s">
        <v>4790</v>
      </c>
      <c r="H762" s="2" t="str">
        <f>_xlfn.XLOOKUP(C762,customers!$A$1:$A$1001,customers!$G$1:$G$1001,0)</f>
        <v>United States</v>
      </c>
      <c r="I762" t="str">
        <f>_xlfn.XLOOKUP(D762,products!$A$1:$A$49,products!$B$1:$B$49,0)</f>
        <v>Exc</v>
      </c>
      <c r="J762" t="str">
        <f>_xlfn.XLOOKUP('data cleaned'!D762,products!$A$1:$A$49,products!$C$1:$C$49,0)</f>
        <v>L</v>
      </c>
      <c r="K762" s="5">
        <f>_xlfn.XLOOKUP('data cleaned'!D762,products!$A$1:$A$49,products!$D$1:$D$49,0)</f>
        <v>0.5</v>
      </c>
      <c r="L762" s="6">
        <f>_xlfn.XLOOKUP('data cleaned'!D762,products!$A$1:$A$49,products!$E$1:$E$49,0)</f>
        <v>8.91</v>
      </c>
      <c r="M762" s="6">
        <f>'data cleaned'!E762*'data cleaned'!L762</f>
        <v>44.55</v>
      </c>
      <c r="N762" t="str">
        <f t="shared" si="22"/>
        <v>Excelsa</v>
      </c>
      <c r="O762" t="str">
        <f t="shared" si="23"/>
        <v>Light</v>
      </c>
      <c r="P762" t="str">
        <f>_xlfn.XLOOKUP(worksheet[[#This Row],[Customer ID]],customers!$A$1:$A$1001,customers!$I$1:$I$1001,0)</f>
        <v>No</v>
      </c>
    </row>
    <row r="763" spans="1:16" x14ac:dyDescent="0.25">
      <c r="A763" s="2" t="s">
        <v>4792</v>
      </c>
      <c r="B763" s="4">
        <v>43714</v>
      </c>
      <c r="C763" s="2" t="s">
        <v>4793</v>
      </c>
      <c r="D763" t="s">
        <v>6171</v>
      </c>
      <c r="E763" s="2">
        <v>6</v>
      </c>
      <c r="F763" s="2" t="str">
        <f>_xlfn.XLOOKUP(C763,customers!$A$1:$A$1001,customers!$B$1:$B$1001,0)</f>
        <v>Chuck Kendrick</v>
      </c>
      <c r="G763" s="2" t="s">
        <v>4795</v>
      </c>
      <c r="H763" s="2" t="str">
        <f>_xlfn.XLOOKUP(C763,customers!$A$1:$A$1001,customers!$G$1:$G$1001,0)</f>
        <v>United States</v>
      </c>
      <c r="I763" t="str">
        <f>_xlfn.XLOOKUP(D763,products!$A$1:$A$49,products!$B$1:$B$49,0)</f>
        <v>Exc</v>
      </c>
      <c r="J763" t="str">
        <f>_xlfn.XLOOKUP('data cleaned'!D763,products!$A$1:$A$49,products!$C$1:$C$49,0)</f>
        <v>L</v>
      </c>
      <c r="K763" s="5">
        <f>_xlfn.XLOOKUP('data cleaned'!D763,products!$A$1:$A$49,products!$D$1:$D$49,0)</f>
        <v>1</v>
      </c>
      <c r="L763" s="6">
        <f>_xlfn.XLOOKUP('data cleaned'!D763,products!$A$1:$A$49,products!$E$1:$E$49,0)</f>
        <v>14.85</v>
      </c>
      <c r="M763" s="6">
        <f>'data cleaned'!E763*'data cleaned'!L763</f>
        <v>89.1</v>
      </c>
      <c r="N763" t="str">
        <f t="shared" si="22"/>
        <v>Excelsa</v>
      </c>
      <c r="O763" t="str">
        <f t="shared" si="23"/>
        <v>Light</v>
      </c>
      <c r="P763" t="str">
        <f>_xlfn.XLOOKUP(worksheet[[#This Row],[Customer ID]],customers!$A$1:$A$1001,customers!$I$1:$I$1001,0)</f>
        <v>Yes</v>
      </c>
    </row>
    <row r="764" spans="1:16" x14ac:dyDescent="0.25">
      <c r="A764" s="2" t="s">
        <v>4797</v>
      </c>
      <c r="B764" s="4">
        <v>43563</v>
      </c>
      <c r="C764" s="2" t="s">
        <v>4798</v>
      </c>
      <c r="D764" t="s">
        <v>6160</v>
      </c>
      <c r="E764" s="2">
        <v>5</v>
      </c>
      <c r="F764" s="2" t="str">
        <f>_xlfn.XLOOKUP(C764,customers!$A$1:$A$1001,customers!$B$1:$B$1001,0)</f>
        <v>Sharona Danilchik</v>
      </c>
      <c r="G764" s="2" t="s">
        <v>4800</v>
      </c>
      <c r="H764" s="2" t="str">
        <f>_xlfn.XLOOKUP(C764,customers!$A$1:$A$1001,customers!$G$1:$G$1001,0)</f>
        <v>United Kingdom</v>
      </c>
      <c r="I764" t="str">
        <f>_xlfn.XLOOKUP(D764,products!$A$1:$A$49,products!$B$1:$B$49,0)</f>
        <v>Lib</v>
      </c>
      <c r="J764" t="str">
        <f>_xlfn.XLOOKUP('data cleaned'!D764,products!$A$1:$A$49,products!$C$1:$C$49,0)</f>
        <v>M</v>
      </c>
      <c r="K764" s="5">
        <f>_xlfn.XLOOKUP('data cleaned'!D764,products!$A$1:$A$49,products!$D$1:$D$49,0)</f>
        <v>0.5</v>
      </c>
      <c r="L764" s="6">
        <f>_xlfn.XLOOKUP('data cleaned'!D764,products!$A$1:$A$49,products!$E$1:$E$49,0)</f>
        <v>8.73</v>
      </c>
      <c r="M764" s="6">
        <f>'data cleaned'!E764*'data cleaned'!L764</f>
        <v>43.650000000000006</v>
      </c>
      <c r="N764" t="str">
        <f t="shared" si="22"/>
        <v>Liberica</v>
      </c>
      <c r="O764" t="str">
        <f t="shared" si="23"/>
        <v>Medium</v>
      </c>
      <c r="P764" t="str">
        <f>_xlfn.XLOOKUP(worksheet[[#This Row],[Customer ID]],customers!$A$1:$A$1001,customers!$I$1:$I$1001,0)</f>
        <v>No</v>
      </c>
    </row>
    <row r="765" spans="1:16" x14ac:dyDescent="0.25">
      <c r="A765" s="2" t="s">
        <v>4803</v>
      </c>
      <c r="B765" s="4">
        <v>44587</v>
      </c>
      <c r="C765" s="2" t="s">
        <v>4804</v>
      </c>
      <c r="D765" t="s">
        <v>6180</v>
      </c>
      <c r="E765" s="2">
        <v>3</v>
      </c>
      <c r="F765" s="2" t="str">
        <f>_xlfn.XLOOKUP(C765,customers!$A$1:$A$1001,customers!$B$1:$B$1001,0)</f>
        <v>Sarajane Potter</v>
      </c>
      <c r="G765" s="2" t="s">
        <v>6222</v>
      </c>
      <c r="H765" s="2" t="str">
        <f>_xlfn.XLOOKUP(C765,customers!$A$1:$A$1001,customers!$G$1:$G$1001,0)</f>
        <v>United States</v>
      </c>
      <c r="I765" t="str">
        <f>_xlfn.XLOOKUP(D765,products!$A$1:$A$49,products!$B$1:$B$49,0)</f>
        <v>Ara</v>
      </c>
      <c r="J765" t="str">
        <f>_xlfn.XLOOKUP('data cleaned'!D765,products!$A$1:$A$49,products!$C$1:$C$49,0)</f>
        <v>L</v>
      </c>
      <c r="K765" s="5">
        <f>_xlfn.XLOOKUP('data cleaned'!D765,products!$A$1:$A$49,products!$D$1:$D$49,0)</f>
        <v>0.5</v>
      </c>
      <c r="L765" s="6">
        <f>_xlfn.XLOOKUP('data cleaned'!D765,products!$A$1:$A$49,products!$E$1:$E$49,0)</f>
        <v>7.77</v>
      </c>
      <c r="M765" s="6">
        <f>'data cleaned'!E765*'data cleaned'!L765</f>
        <v>23.31</v>
      </c>
      <c r="N765" t="str">
        <f t="shared" si="22"/>
        <v>Arabica</v>
      </c>
      <c r="O765" t="str">
        <f t="shared" si="23"/>
        <v>Light</v>
      </c>
      <c r="P765" t="str">
        <f>_xlfn.XLOOKUP(worksheet[[#This Row],[Customer ID]],customers!$A$1:$A$1001,customers!$I$1:$I$1001,0)</f>
        <v>No</v>
      </c>
    </row>
    <row r="766" spans="1:16" x14ac:dyDescent="0.25">
      <c r="A766" s="2" t="s">
        <v>4808</v>
      </c>
      <c r="B766" s="4">
        <v>43797</v>
      </c>
      <c r="C766" s="2" t="s">
        <v>4809</v>
      </c>
      <c r="D766" t="s">
        <v>6182</v>
      </c>
      <c r="E766" s="2">
        <v>6</v>
      </c>
      <c r="F766" s="2" t="str">
        <f>_xlfn.XLOOKUP(C766,customers!$A$1:$A$1001,customers!$B$1:$B$1001,0)</f>
        <v>Bobby Folomkin</v>
      </c>
      <c r="G766" s="2" t="s">
        <v>4811</v>
      </c>
      <c r="H766" s="2" t="str">
        <f>_xlfn.XLOOKUP(C766,customers!$A$1:$A$1001,customers!$G$1:$G$1001,0)</f>
        <v>United States</v>
      </c>
      <c r="I766" t="str">
        <f>_xlfn.XLOOKUP(D766,products!$A$1:$A$49,products!$B$1:$B$49,0)</f>
        <v>Ara</v>
      </c>
      <c r="J766" t="str">
        <f>_xlfn.XLOOKUP('data cleaned'!D766,products!$A$1:$A$49,products!$C$1:$C$49,0)</f>
        <v>L</v>
      </c>
      <c r="K766" s="5">
        <f>_xlfn.XLOOKUP('data cleaned'!D766,products!$A$1:$A$49,products!$D$1:$D$49,0)</f>
        <v>2.5</v>
      </c>
      <c r="L766" s="6">
        <f>_xlfn.XLOOKUP('data cleaned'!D766,products!$A$1:$A$49,products!$E$1:$E$49,0)</f>
        <v>29.784999999999997</v>
      </c>
      <c r="M766" s="6">
        <f>'data cleaned'!E766*'data cleaned'!L766</f>
        <v>178.70999999999998</v>
      </c>
      <c r="N766" t="str">
        <f t="shared" si="22"/>
        <v>Arabica</v>
      </c>
      <c r="O766" t="str">
        <f t="shared" si="23"/>
        <v>Light</v>
      </c>
      <c r="P766" t="str">
        <f>_xlfn.XLOOKUP(worksheet[[#This Row],[Customer ID]],customers!$A$1:$A$1001,customers!$I$1:$I$1001,0)</f>
        <v>Yes</v>
      </c>
    </row>
    <row r="767" spans="1:16" x14ac:dyDescent="0.25">
      <c r="A767" s="2" t="s">
        <v>4814</v>
      </c>
      <c r="B767" s="4">
        <v>43667</v>
      </c>
      <c r="C767" s="2" t="s">
        <v>4815</v>
      </c>
      <c r="D767" t="s">
        <v>6138</v>
      </c>
      <c r="E767" s="2">
        <v>6</v>
      </c>
      <c r="F767" s="2" t="str">
        <f>_xlfn.XLOOKUP(C767,customers!$A$1:$A$1001,customers!$B$1:$B$1001,0)</f>
        <v>Rafferty Pursglove</v>
      </c>
      <c r="G767" s="2" t="s">
        <v>4817</v>
      </c>
      <c r="H767" s="2" t="str">
        <f>_xlfn.XLOOKUP(C767,customers!$A$1:$A$1001,customers!$G$1:$G$1001,0)</f>
        <v>United States</v>
      </c>
      <c r="I767" t="str">
        <f>_xlfn.XLOOKUP(D767,products!$A$1:$A$49,products!$B$1:$B$49,0)</f>
        <v>Rob</v>
      </c>
      <c r="J767" t="str">
        <f>_xlfn.XLOOKUP('data cleaned'!D767,products!$A$1:$A$49,products!$C$1:$C$49,0)</f>
        <v>M</v>
      </c>
      <c r="K767" s="5">
        <f>_xlfn.XLOOKUP('data cleaned'!D767,products!$A$1:$A$49,products!$D$1:$D$49,0)</f>
        <v>1</v>
      </c>
      <c r="L767" s="6">
        <f>_xlfn.XLOOKUP('data cleaned'!D767,products!$A$1:$A$49,products!$E$1:$E$49,0)</f>
        <v>9.9499999999999993</v>
      </c>
      <c r="M767" s="6">
        <f>'data cleaned'!E767*'data cleaned'!L767</f>
        <v>59.699999999999996</v>
      </c>
      <c r="N767" t="str">
        <f t="shared" si="22"/>
        <v>Robusta</v>
      </c>
      <c r="O767" t="str">
        <f t="shared" si="23"/>
        <v>Medium</v>
      </c>
      <c r="P767" t="str">
        <f>_xlfn.XLOOKUP(worksheet[[#This Row],[Customer ID]],customers!$A$1:$A$1001,customers!$I$1:$I$1001,0)</f>
        <v>Yes</v>
      </c>
    </row>
    <row r="768" spans="1:16" x14ac:dyDescent="0.25">
      <c r="A768" s="2" t="s">
        <v>4814</v>
      </c>
      <c r="B768" s="4">
        <v>43667</v>
      </c>
      <c r="C768" s="2" t="s">
        <v>4815</v>
      </c>
      <c r="D768" t="s">
        <v>6180</v>
      </c>
      <c r="E768" s="2">
        <v>2</v>
      </c>
      <c r="F768" s="2" t="str">
        <f>_xlfn.XLOOKUP(C768,customers!$A$1:$A$1001,customers!$B$1:$B$1001,0)</f>
        <v>Rafferty Pursglove</v>
      </c>
      <c r="G768" s="2" t="s">
        <v>4817</v>
      </c>
      <c r="H768" s="2" t="str">
        <f>_xlfn.XLOOKUP(C768,customers!$A$1:$A$1001,customers!$G$1:$G$1001,0)</f>
        <v>United States</v>
      </c>
      <c r="I768" t="str">
        <f>_xlfn.XLOOKUP(D768,products!$A$1:$A$49,products!$B$1:$B$49,0)</f>
        <v>Ara</v>
      </c>
      <c r="J768" t="str">
        <f>_xlfn.XLOOKUP('data cleaned'!D768,products!$A$1:$A$49,products!$C$1:$C$49,0)</f>
        <v>L</v>
      </c>
      <c r="K768" s="5">
        <f>_xlfn.XLOOKUP('data cleaned'!D768,products!$A$1:$A$49,products!$D$1:$D$49,0)</f>
        <v>0.5</v>
      </c>
      <c r="L768" s="6">
        <f>_xlfn.XLOOKUP('data cleaned'!D768,products!$A$1:$A$49,products!$E$1:$E$49,0)</f>
        <v>7.77</v>
      </c>
      <c r="M768" s="6">
        <f>'data cleaned'!E768*'data cleaned'!L768</f>
        <v>15.54</v>
      </c>
      <c r="N768" t="str">
        <f t="shared" si="22"/>
        <v>Arabica</v>
      </c>
      <c r="O768" t="str">
        <f t="shared" si="23"/>
        <v>Light</v>
      </c>
      <c r="P768" t="str">
        <f>_xlfn.XLOOKUP(worksheet[[#This Row],[Customer ID]],customers!$A$1:$A$1001,customers!$I$1:$I$1001,0)</f>
        <v>Yes</v>
      </c>
    </row>
    <row r="769" spans="1:16" x14ac:dyDescent="0.25">
      <c r="A769" s="2" t="s">
        <v>4825</v>
      </c>
      <c r="B769" s="4">
        <v>44267</v>
      </c>
      <c r="C769" s="2" t="s">
        <v>4759</v>
      </c>
      <c r="D769" t="s">
        <v>6182</v>
      </c>
      <c r="E769" s="2">
        <v>3</v>
      </c>
      <c r="F769" s="2" t="str">
        <f>_xlfn.XLOOKUP(C769,customers!$A$1:$A$1001,customers!$B$1:$B$1001,0)</f>
        <v>Foster Constance</v>
      </c>
      <c r="G769" s="2" t="s">
        <v>4761</v>
      </c>
      <c r="H769" s="2" t="str">
        <f>_xlfn.XLOOKUP(C769,customers!$A$1:$A$1001,customers!$G$1:$G$1001,0)</f>
        <v>United States</v>
      </c>
      <c r="I769" t="str">
        <f>_xlfn.XLOOKUP(D769,products!$A$1:$A$49,products!$B$1:$B$49,0)</f>
        <v>Ara</v>
      </c>
      <c r="J769" t="str">
        <f>_xlfn.XLOOKUP('data cleaned'!D769,products!$A$1:$A$49,products!$C$1:$C$49,0)</f>
        <v>L</v>
      </c>
      <c r="K769" s="5">
        <f>_xlfn.XLOOKUP('data cleaned'!D769,products!$A$1:$A$49,products!$D$1:$D$49,0)</f>
        <v>2.5</v>
      </c>
      <c r="L769" s="6">
        <f>_xlfn.XLOOKUP('data cleaned'!D769,products!$A$1:$A$49,products!$E$1:$E$49,0)</f>
        <v>29.784999999999997</v>
      </c>
      <c r="M769" s="6">
        <f>'data cleaned'!E769*'data cleaned'!L769</f>
        <v>89.35499999999999</v>
      </c>
      <c r="N769" t="str">
        <f t="shared" si="22"/>
        <v>Arabica</v>
      </c>
      <c r="O769" t="str">
        <f t="shared" si="23"/>
        <v>Light</v>
      </c>
      <c r="P769" t="str">
        <f>_xlfn.XLOOKUP(worksheet[[#This Row],[Customer ID]],customers!$A$1:$A$1001,customers!$I$1:$I$1001,0)</f>
        <v>No</v>
      </c>
    </row>
    <row r="770" spans="1:16" x14ac:dyDescent="0.25">
      <c r="A770" s="2" t="s">
        <v>4831</v>
      </c>
      <c r="B770" s="4">
        <v>44562</v>
      </c>
      <c r="C770" s="2" t="s">
        <v>4759</v>
      </c>
      <c r="D770" t="s">
        <v>6179</v>
      </c>
      <c r="E770" s="2">
        <v>2</v>
      </c>
      <c r="F770" s="2" t="str">
        <f>_xlfn.XLOOKUP(C770,customers!$A$1:$A$1001,customers!$B$1:$B$1001,0)</f>
        <v>Foster Constance</v>
      </c>
      <c r="G770" s="2" t="s">
        <v>4761</v>
      </c>
      <c r="H770" s="2" t="str">
        <f>_xlfn.XLOOKUP(C770,customers!$A$1:$A$1001,customers!$G$1:$G$1001,0)</f>
        <v>United States</v>
      </c>
      <c r="I770" t="str">
        <f>_xlfn.XLOOKUP(D770,products!$A$1:$A$49,products!$B$1:$B$49,0)</f>
        <v>Rob</v>
      </c>
      <c r="J770" t="str">
        <f>_xlfn.XLOOKUP('data cleaned'!D770,products!$A$1:$A$49,products!$C$1:$C$49,0)</f>
        <v>L</v>
      </c>
      <c r="K770" s="5">
        <f>_xlfn.XLOOKUP('data cleaned'!D770,products!$A$1:$A$49,products!$D$1:$D$49,0)</f>
        <v>1</v>
      </c>
      <c r="L770" s="6">
        <f>_xlfn.XLOOKUP('data cleaned'!D770,products!$A$1:$A$49,products!$E$1:$E$49,0)</f>
        <v>11.95</v>
      </c>
      <c r="M770" s="6">
        <f>'data cleaned'!E770*'data cleaned'!L770</f>
        <v>23.9</v>
      </c>
      <c r="N770" t="str">
        <f t="shared" si="22"/>
        <v>Robusta</v>
      </c>
      <c r="O770" t="str">
        <f t="shared" si="23"/>
        <v>Light</v>
      </c>
      <c r="P770" t="str">
        <f>_xlfn.XLOOKUP(worksheet[[#This Row],[Customer ID]],customers!$A$1:$A$1001,customers!$I$1:$I$1001,0)</f>
        <v>No</v>
      </c>
    </row>
    <row r="771" spans="1:16" x14ac:dyDescent="0.25">
      <c r="A771" s="2" t="s">
        <v>4836</v>
      </c>
      <c r="B771" s="4">
        <v>43912</v>
      </c>
      <c r="C771" s="2" t="s">
        <v>4837</v>
      </c>
      <c r="D771" t="s">
        <v>6151</v>
      </c>
      <c r="E771" s="2">
        <v>6</v>
      </c>
      <c r="F771" s="2" t="str">
        <f>_xlfn.XLOOKUP(C771,customers!$A$1:$A$1001,customers!$B$1:$B$1001,0)</f>
        <v>Dalia Eburah</v>
      </c>
      <c r="G771" s="2" t="s">
        <v>4839</v>
      </c>
      <c r="H771" s="2" t="str">
        <f>_xlfn.XLOOKUP(C771,customers!$A$1:$A$1001,customers!$G$1:$G$1001,0)</f>
        <v>United Kingdom</v>
      </c>
      <c r="I771" t="str">
        <f>_xlfn.XLOOKUP(D771,products!$A$1:$A$49,products!$B$1:$B$49,0)</f>
        <v>Rob</v>
      </c>
      <c r="J771" t="str">
        <f>_xlfn.XLOOKUP('data cleaned'!D771,products!$A$1:$A$49,products!$C$1:$C$49,0)</f>
        <v>M</v>
      </c>
      <c r="K771" s="5">
        <f>_xlfn.XLOOKUP('data cleaned'!D771,products!$A$1:$A$49,products!$D$1:$D$49,0)</f>
        <v>2.5</v>
      </c>
      <c r="L771" s="6">
        <f>_xlfn.XLOOKUP('data cleaned'!D771,products!$A$1:$A$49,products!$E$1:$E$49,0)</f>
        <v>22.884999999999998</v>
      </c>
      <c r="M771" s="6">
        <f>'data cleaned'!E771*'data cleaned'!L771</f>
        <v>137.31</v>
      </c>
      <c r="N771" t="str">
        <f t="shared" ref="N771:N834" si="24">IF(I771="Rob","Robusta",IF(I771="Exc","Excelsa",IF(I771="Ara","Arabica",IF(I771="Lib","Liberica",""))))</f>
        <v>Robusta</v>
      </c>
      <c r="O771" t="str">
        <f t="shared" ref="O771:O834" si="25">IF(J771="M","Medium",IF(J771="L","Light",IF(J771="D","Dark","")))</f>
        <v>Medium</v>
      </c>
      <c r="P771" t="str">
        <f>_xlfn.XLOOKUP(worksheet[[#This Row],[Customer ID]],customers!$A$1:$A$1001,customers!$I$1:$I$1001,0)</f>
        <v>No</v>
      </c>
    </row>
    <row r="772" spans="1:16" x14ac:dyDescent="0.25">
      <c r="A772" s="2" t="s">
        <v>4842</v>
      </c>
      <c r="B772" s="4">
        <v>44092</v>
      </c>
      <c r="C772" s="2" t="s">
        <v>4843</v>
      </c>
      <c r="D772" t="s">
        <v>6147</v>
      </c>
      <c r="E772" s="2">
        <v>1</v>
      </c>
      <c r="F772" s="2" t="str">
        <f>_xlfn.XLOOKUP(C772,customers!$A$1:$A$1001,customers!$B$1:$B$1001,0)</f>
        <v>Martie Brimilcombe</v>
      </c>
      <c r="G772" s="2" t="s">
        <v>4845</v>
      </c>
      <c r="H772" s="2" t="str">
        <f>_xlfn.XLOOKUP(C772,customers!$A$1:$A$1001,customers!$G$1:$G$1001,0)</f>
        <v>United States</v>
      </c>
      <c r="I772" t="str">
        <f>_xlfn.XLOOKUP(D772,products!$A$1:$A$49,products!$B$1:$B$49,0)</f>
        <v>Ara</v>
      </c>
      <c r="J772" t="str">
        <f>_xlfn.XLOOKUP('data cleaned'!D772,products!$A$1:$A$49,products!$C$1:$C$49,0)</f>
        <v>D</v>
      </c>
      <c r="K772" s="5">
        <f>_xlfn.XLOOKUP('data cleaned'!D772,products!$A$1:$A$49,products!$D$1:$D$49,0)</f>
        <v>1</v>
      </c>
      <c r="L772" s="6">
        <f>_xlfn.XLOOKUP('data cleaned'!D772,products!$A$1:$A$49,products!$E$1:$E$49,0)</f>
        <v>9.9499999999999993</v>
      </c>
      <c r="M772" s="6">
        <f>'data cleaned'!E772*'data cleaned'!L772</f>
        <v>9.9499999999999993</v>
      </c>
      <c r="N772" t="str">
        <f t="shared" si="24"/>
        <v>Arabica</v>
      </c>
      <c r="O772" t="str">
        <f t="shared" si="25"/>
        <v>Dark</v>
      </c>
      <c r="P772" t="str">
        <f>_xlfn.XLOOKUP(worksheet[[#This Row],[Customer ID]],customers!$A$1:$A$1001,customers!$I$1:$I$1001,0)</f>
        <v>No</v>
      </c>
    </row>
    <row r="773" spans="1:16" x14ac:dyDescent="0.25">
      <c r="A773" s="2" t="s">
        <v>4847</v>
      </c>
      <c r="B773" s="4">
        <v>43468</v>
      </c>
      <c r="C773" s="2" t="s">
        <v>4848</v>
      </c>
      <c r="D773" t="s">
        <v>6173</v>
      </c>
      <c r="E773" s="2">
        <v>3</v>
      </c>
      <c r="F773" s="2" t="str">
        <f>_xlfn.XLOOKUP(C773,customers!$A$1:$A$1001,customers!$B$1:$B$1001,0)</f>
        <v>Suzanna Bollam</v>
      </c>
      <c r="G773" s="2" t="s">
        <v>4850</v>
      </c>
      <c r="H773" s="2" t="str">
        <f>_xlfn.XLOOKUP(C773,customers!$A$1:$A$1001,customers!$G$1:$G$1001,0)</f>
        <v>United States</v>
      </c>
      <c r="I773" t="str">
        <f>_xlfn.XLOOKUP(D773,products!$A$1:$A$49,products!$B$1:$B$49,0)</f>
        <v>Rob</v>
      </c>
      <c r="J773" t="str">
        <f>_xlfn.XLOOKUP('data cleaned'!D773,products!$A$1:$A$49,products!$C$1:$C$49,0)</f>
        <v>L</v>
      </c>
      <c r="K773" s="5">
        <f>_xlfn.XLOOKUP('data cleaned'!D773,products!$A$1:$A$49,products!$D$1:$D$49,0)</f>
        <v>0.5</v>
      </c>
      <c r="L773" s="6">
        <f>_xlfn.XLOOKUP('data cleaned'!D773,products!$A$1:$A$49,products!$E$1:$E$49,0)</f>
        <v>7.169999999999999</v>
      </c>
      <c r="M773" s="6">
        <f>'data cleaned'!E773*'data cleaned'!L773</f>
        <v>21.509999999999998</v>
      </c>
      <c r="N773" t="str">
        <f t="shared" si="24"/>
        <v>Robusta</v>
      </c>
      <c r="O773" t="str">
        <f t="shared" si="25"/>
        <v>Light</v>
      </c>
      <c r="P773" t="str">
        <f>_xlfn.XLOOKUP(worksheet[[#This Row],[Customer ID]],customers!$A$1:$A$1001,customers!$I$1:$I$1001,0)</f>
        <v>No</v>
      </c>
    </row>
    <row r="774" spans="1:16" x14ac:dyDescent="0.25">
      <c r="A774" s="2" t="s">
        <v>4853</v>
      </c>
      <c r="B774" s="4">
        <v>44468</v>
      </c>
      <c r="C774" s="2" t="s">
        <v>4854</v>
      </c>
      <c r="D774" t="s">
        <v>6141</v>
      </c>
      <c r="E774" s="2">
        <v>6</v>
      </c>
      <c r="F774" s="2" t="str">
        <f>_xlfn.XLOOKUP(C774,customers!$A$1:$A$1001,customers!$B$1:$B$1001,0)</f>
        <v>Mellisa Mebes</v>
      </c>
      <c r="G774" s="2" t="s">
        <v>6222</v>
      </c>
      <c r="H774" s="2" t="str">
        <f>_xlfn.XLOOKUP(C774,customers!$A$1:$A$1001,customers!$G$1:$G$1001,0)</f>
        <v>United States</v>
      </c>
      <c r="I774" t="str">
        <f>_xlfn.XLOOKUP(D774,products!$A$1:$A$49,products!$B$1:$B$49,0)</f>
        <v>Exc</v>
      </c>
      <c r="J774" t="str">
        <f>_xlfn.XLOOKUP('data cleaned'!D774,products!$A$1:$A$49,products!$C$1:$C$49,0)</f>
        <v>M</v>
      </c>
      <c r="K774" s="5">
        <f>_xlfn.XLOOKUP('data cleaned'!D774,products!$A$1:$A$49,products!$D$1:$D$49,0)</f>
        <v>1</v>
      </c>
      <c r="L774" s="6">
        <f>_xlfn.XLOOKUP('data cleaned'!D774,products!$A$1:$A$49,products!$E$1:$E$49,0)</f>
        <v>13.75</v>
      </c>
      <c r="M774" s="6">
        <f>'data cleaned'!E774*'data cleaned'!L774</f>
        <v>82.5</v>
      </c>
      <c r="N774" t="str">
        <f t="shared" si="24"/>
        <v>Excelsa</v>
      </c>
      <c r="O774" t="str">
        <f t="shared" si="25"/>
        <v>Medium</v>
      </c>
      <c r="P774" t="str">
        <f>_xlfn.XLOOKUP(worksheet[[#This Row],[Customer ID]],customers!$A$1:$A$1001,customers!$I$1:$I$1001,0)</f>
        <v>No</v>
      </c>
    </row>
    <row r="775" spans="1:16" x14ac:dyDescent="0.25">
      <c r="A775" s="2" t="s">
        <v>4858</v>
      </c>
      <c r="B775" s="4">
        <v>44488</v>
      </c>
      <c r="C775" s="2" t="s">
        <v>4859</v>
      </c>
      <c r="D775" t="s">
        <v>6159</v>
      </c>
      <c r="E775" s="2">
        <v>2</v>
      </c>
      <c r="F775" s="2" t="str">
        <f>_xlfn.XLOOKUP(C775,customers!$A$1:$A$1001,customers!$B$1:$B$1001,0)</f>
        <v>Alva Filipczak</v>
      </c>
      <c r="G775" s="2" t="s">
        <v>4861</v>
      </c>
      <c r="H775" s="2" t="str">
        <f>_xlfn.XLOOKUP(C775,customers!$A$1:$A$1001,customers!$G$1:$G$1001,0)</f>
        <v>Ireland</v>
      </c>
      <c r="I775" t="str">
        <f>_xlfn.XLOOKUP(D775,products!$A$1:$A$49,products!$B$1:$B$49,0)</f>
        <v>Lib</v>
      </c>
      <c r="J775" t="str">
        <f>_xlfn.XLOOKUP('data cleaned'!D775,products!$A$1:$A$49,products!$C$1:$C$49,0)</f>
        <v>M</v>
      </c>
      <c r="K775" s="5">
        <f>_xlfn.XLOOKUP('data cleaned'!D775,products!$A$1:$A$49,products!$D$1:$D$49,0)</f>
        <v>0.2</v>
      </c>
      <c r="L775" s="6">
        <f>_xlfn.XLOOKUP('data cleaned'!D775,products!$A$1:$A$49,products!$E$1:$E$49,0)</f>
        <v>4.3650000000000002</v>
      </c>
      <c r="M775" s="6">
        <f>'data cleaned'!E775*'data cleaned'!L775</f>
        <v>8.73</v>
      </c>
      <c r="N775" t="str">
        <f t="shared" si="24"/>
        <v>Liberica</v>
      </c>
      <c r="O775" t="str">
        <f t="shared" si="25"/>
        <v>Medium</v>
      </c>
      <c r="P775" t="str">
        <f>_xlfn.XLOOKUP(worksheet[[#This Row],[Customer ID]],customers!$A$1:$A$1001,customers!$I$1:$I$1001,0)</f>
        <v>No</v>
      </c>
    </row>
    <row r="776" spans="1:16" x14ac:dyDescent="0.25">
      <c r="A776" s="2" t="s">
        <v>4864</v>
      </c>
      <c r="B776" s="4">
        <v>44756</v>
      </c>
      <c r="C776" s="2" t="s">
        <v>4865</v>
      </c>
      <c r="D776" t="s">
        <v>6138</v>
      </c>
      <c r="E776" s="2">
        <v>2</v>
      </c>
      <c r="F776" s="2" t="str">
        <f>_xlfn.XLOOKUP(C776,customers!$A$1:$A$1001,customers!$B$1:$B$1001,0)</f>
        <v>Dorette Hinemoor</v>
      </c>
      <c r="G776" s="2" t="s">
        <v>6222</v>
      </c>
      <c r="H776" s="2" t="str">
        <f>_xlfn.XLOOKUP(C776,customers!$A$1:$A$1001,customers!$G$1:$G$1001,0)</f>
        <v>United States</v>
      </c>
      <c r="I776" t="str">
        <f>_xlfn.XLOOKUP(D776,products!$A$1:$A$49,products!$B$1:$B$49,0)</f>
        <v>Rob</v>
      </c>
      <c r="J776" t="str">
        <f>_xlfn.XLOOKUP('data cleaned'!D776,products!$A$1:$A$49,products!$C$1:$C$49,0)</f>
        <v>M</v>
      </c>
      <c r="K776" s="5">
        <f>_xlfn.XLOOKUP('data cleaned'!D776,products!$A$1:$A$49,products!$D$1:$D$49,0)</f>
        <v>1</v>
      </c>
      <c r="L776" s="6">
        <f>_xlfn.XLOOKUP('data cleaned'!D776,products!$A$1:$A$49,products!$E$1:$E$49,0)</f>
        <v>9.9499999999999993</v>
      </c>
      <c r="M776" s="6">
        <f>'data cleaned'!E776*'data cleaned'!L776</f>
        <v>19.899999999999999</v>
      </c>
      <c r="N776" t="str">
        <f t="shared" si="24"/>
        <v>Robusta</v>
      </c>
      <c r="O776" t="str">
        <f t="shared" si="25"/>
        <v>Medium</v>
      </c>
      <c r="P776" t="str">
        <f>_xlfn.XLOOKUP(worksheet[[#This Row],[Customer ID]],customers!$A$1:$A$1001,customers!$I$1:$I$1001,0)</f>
        <v>Yes</v>
      </c>
    </row>
    <row r="777" spans="1:16" x14ac:dyDescent="0.25">
      <c r="A777" s="2" t="s">
        <v>4869</v>
      </c>
      <c r="B777" s="4">
        <v>44396</v>
      </c>
      <c r="C777" s="2" t="s">
        <v>4870</v>
      </c>
      <c r="D777" t="s">
        <v>6176</v>
      </c>
      <c r="E777" s="2">
        <v>2</v>
      </c>
      <c r="F777" s="2" t="str">
        <f>_xlfn.XLOOKUP(C777,customers!$A$1:$A$1001,customers!$B$1:$B$1001,0)</f>
        <v>Rhetta Elnaugh</v>
      </c>
      <c r="G777" s="2" t="s">
        <v>4872</v>
      </c>
      <c r="H777" s="2" t="str">
        <f>_xlfn.XLOOKUP(C777,customers!$A$1:$A$1001,customers!$G$1:$G$1001,0)</f>
        <v>United States</v>
      </c>
      <c r="I777" t="str">
        <f>_xlfn.XLOOKUP(D777,products!$A$1:$A$49,products!$B$1:$B$49,0)</f>
        <v>Exc</v>
      </c>
      <c r="J777" t="str">
        <f>_xlfn.XLOOKUP('data cleaned'!D777,products!$A$1:$A$49,products!$C$1:$C$49,0)</f>
        <v>L</v>
      </c>
      <c r="K777" s="5">
        <f>_xlfn.XLOOKUP('data cleaned'!D777,products!$A$1:$A$49,products!$D$1:$D$49,0)</f>
        <v>0.5</v>
      </c>
      <c r="L777" s="6">
        <f>_xlfn.XLOOKUP('data cleaned'!D777,products!$A$1:$A$49,products!$E$1:$E$49,0)</f>
        <v>8.91</v>
      </c>
      <c r="M777" s="6">
        <f>'data cleaned'!E777*'data cleaned'!L777</f>
        <v>17.82</v>
      </c>
      <c r="N777" t="str">
        <f t="shared" si="24"/>
        <v>Excelsa</v>
      </c>
      <c r="O777" t="str">
        <f t="shared" si="25"/>
        <v>Light</v>
      </c>
      <c r="P777" t="str">
        <f>_xlfn.XLOOKUP(worksheet[[#This Row],[Customer ID]],customers!$A$1:$A$1001,customers!$I$1:$I$1001,0)</f>
        <v>Yes</v>
      </c>
    </row>
    <row r="778" spans="1:16" x14ac:dyDescent="0.25">
      <c r="A778" s="2" t="s">
        <v>4875</v>
      </c>
      <c r="B778" s="4">
        <v>44540</v>
      </c>
      <c r="C778" s="2" t="s">
        <v>4876</v>
      </c>
      <c r="D778" t="s">
        <v>6157</v>
      </c>
      <c r="E778" s="2">
        <v>3</v>
      </c>
      <c r="F778" s="2" t="str">
        <f>_xlfn.XLOOKUP(C778,customers!$A$1:$A$1001,customers!$B$1:$B$1001,0)</f>
        <v>Jule Deehan</v>
      </c>
      <c r="G778" s="2" t="s">
        <v>4878</v>
      </c>
      <c r="H778" s="2" t="str">
        <f>_xlfn.XLOOKUP(C778,customers!$A$1:$A$1001,customers!$G$1:$G$1001,0)</f>
        <v>United States</v>
      </c>
      <c r="I778" t="str">
        <f>_xlfn.XLOOKUP(D778,products!$A$1:$A$49,products!$B$1:$B$49,0)</f>
        <v>Ara</v>
      </c>
      <c r="J778" t="str">
        <f>_xlfn.XLOOKUP('data cleaned'!D778,products!$A$1:$A$49,products!$C$1:$C$49,0)</f>
        <v>M</v>
      </c>
      <c r="K778" s="5">
        <f>_xlfn.XLOOKUP('data cleaned'!D778,products!$A$1:$A$49,products!$D$1:$D$49,0)</f>
        <v>0.5</v>
      </c>
      <c r="L778" s="6">
        <f>_xlfn.XLOOKUP('data cleaned'!D778,products!$A$1:$A$49,products!$E$1:$E$49,0)</f>
        <v>6.75</v>
      </c>
      <c r="M778" s="6">
        <f>'data cleaned'!E778*'data cleaned'!L778</f>
        <v>20.25</v>
      </c>
      <c r="N778" t="str">
        <f t="shared" si="24"/>
        <v>Arabica</v>
      </c>
      <c r="O778" t="str">
        <f t="shared" si="25"/>
        <v>Medium</v>
      </c>
      <c r="P778" t="str">
        <f>_xlfn.XLOOKUP(worksheet[[#This Row],[Customer ID]],customers!$A$1:$A$1001,customers!$I$1:$I$1001,0)</f>
        <v>No</v>
      </c>
    </row>
    <row r="779" spans="1:16" x14ac:dyDescent="0.25">
      <c r="A779" s="2" t="s">
        <v>4881</v>
      </c>
      <c r="B779" s="4">
        <v>43541</v>
      </c>
      <c r="C779" s="2" t="s">
        <v>4882</v>
      </c>
      <c r="D779" t="s">
        <v>6182</v>
      </c>
      <c r="E779" s="2">
        <v>2</v>
      </c>
      <c r="F779" s="2" t="str">
        <f>_xlfn.XLOOKUP(C779,customers!$A$1:$A$1001,customers!$B$1:$B$1001,0)</f>
        <v>Janella Eden</v>
      </c>
      <c r="G779" s="2" t="s">
        <v>4884</v>
      </c>
      <c r="H779" s="2" t="str">
        <f>_xlfn.XLOOKUP(C779,customers!$A$1:$A$1001,customers!$G$1:$G$1001,0)</f>
        <v>United States</v>
      </c>
      <c r="I779" t="str">
        <f>_xlfn.XLOOKUP(D779,products!$A$1:$A$49,products!$B$1:$B$49,0)</f>
        <v>Ara</v>
      </c>
      <c r="J779" t="str">
        <f>_xlfn.XLOOKUP('data cleaned'!D779,products!$A$1:$A$49,products!$C$1:$C$49,0)</f>
        <v>L</v>
      </c>
      <c r="K779" s="5">
        <f>_xlfn.XLOOKUP('data cleaned'!D779,products!$A$1:$A$49,products!$D$1:$D$49,0)</f>
        <v>2.5</v>
      </c>
      <c r="L779" s="6">
        <f>_xlfn.XLOOKUP('data cleaned'!D779,products!$A$1:$A$49,products!$E$1:$E$49,0)</f>
        <v>29.784999999999997</v>
      </c>
      <c r="M779" s="6">
        <f>'data cleaned'!E779*'data cleaned'!L779</f>
        <v>59.569999999999993</v>
      </c>
      <c r="N779" t="str">
        <f t="shared" si="24"/>
        <v>Arabica</v>
      </c>
      <c r="O779" t="str">
        <f t="shared" si="25"/>
        <v>Light</v>
      </c>
      <c r="P779" t="str">
        <f>_xlfn.XLOOKUP(worksheet[[#This Row],[Customer ID]],customers!$A$1:$A$1001,customers!$I$1:$I$1001,0)</f>
        <v>No</v>
      </c>
    </row>
    <row r="780" spans="1:16" x14ac:dyDescent="0.25">
      <c r="A780" s="2" t="s">
        <v>4886</v>
      </c>
      <c r="B780" s="4">
        <v>43889</v>
      </c>
      <c r="C780" s="2" t="s">
        <v>4933</v>
      </c>
      <c r="D780" t="s">
        <v>6161</v>
      </c>
      <c r="E780" s="2">
        <v>2</v>
      </c>
      <c r="F780" s="2" t="str">
        <f>_xlfn.XLOOKUP(C780,customers!$A$1:$A$1001,customers!$B$1:$B$1001,0)</f>
        <v>Cam Jewster</v>
      </c>
      <c r="G780" s="2" t="s">
        <v>4935</v>
      </c>
      <c r="H780" s="2" t="str">
        <f>_xlfn.XLOOKUP(C780,customers!$A$1:$A$1001,customers!$G$1:$G$1001,0)</f>
        <v>United States</v>
      </c>
      <c r="I780" t="str">
        <f>_xlfn.XLOOKUP(D780,products!$A$1:$A$49,products!$B$1:$B$49,0)</f>
        <v>Lib</v>
      </c>
      <c r="J780" t="str">
        <f>_xlfn.XLOOKUP('data cleaned'!D780,products!$A$1:$A$49,products!$C$1:$C$49,0)</f>
        <v>L</v>
      </c>
      <c r="K780" s="5">
        <f>_xlfn.XLOOKUP('data cleaned'!D780,products!$A$1:$A$49,products!$D$1:$D$49,0)</f>
        <v>0.5</v>
      </c>
      <c r="L780" s="6">
        <f>_xlfn.XLOOKUP('data cleaned'!D780,products!$A$1:$A$49,products!$E$1:$E$49,0)</f>
        <v>9.51</v>
      </c>
      <c r="M780" s="6">
        <f>'data cleaned'!E780*'data cleaned'!L780</f>
        <v>19.02</v>
      </c>
      <c r="N780" t="str">
        <f t="shared" si="24"/>
        <v>Liberica</v>
      </c>
      <c r="O780" t="str">
        <f t="shared" si="25"/>
        <v>Light</v>
      </c>
      <c r="P780" t="str">
        <f>_xlfn.XLOOKUP(worksheet[[#This Row],[Customer ID]],customers!$A$1:$A$1001,customers!$I$1:$I$1001,0)</f>
        <v>Yes</v>
      </c>
    </row>
    <row r="781" spans="1:16" x14ac:dyDescent="0.25">
      <c r="A781" s="2" t="s">
        <v>4892</v>
      </c>
      <c r="B781" s="4">
        <v>43985</v>
      </c>
      <c r="C781" s="2" t="s">
        <v>4893</v>
      </c>
      <c r="D781" t="s">
        <v>6143</v>
      </c>
      <c r="E781" s="2">
        <v>6</v>
      </c>
      <c r="F781" s="2" t="str">
        <f>_xlfn.XLOOKUP(C781,customers!$A$1:$A$1001,customers!$B$1:$B$1001,0)</f>
        <v>Ugo Southerden</v>
      </c>
      <c r="G781" s="2" t="s">
        <v>4895</v>
      </c>
      <c r="H781" s="2" t="str">
        <f>_xlfn.XLOOKUP(C781,customers!$A$1:$A$1001,customers!$G$1:$G$1001,0)</f>
        <v>United States</v>
      </c>
      <c r="I781" t="str">
        <f>_xlfn.XLOOKUP(D781,products!$A$1:$A$49,products!$B$1:$B$49,0)</f>
        <v>Lib</v>
      </c>
      <c r="J781" t="str">
        <f>_xlfn.XLOOKUP('data cleaned'!D781,products!$A$1:$A$49,products!$C$1:$C$49,0)</f>
        <v>D</v>
      </c>
      <c r="K781" s="5">
        <f>_xlfn.XLOOKUP('data cleaned'!D781,products!$A$1:$A$49,products!$D$1:$D$49,0)</f>
        <v>1</v>
      </c>
      <c r="L781" s="6">
        <f>_xlfn.XLOOKUP('data cleaned'!D781,products!$A$1:$A$49,products!$E$1:$E$49,0)</f>
        <v>12.95</v>
      </c>
      <c r="M781" s="6">
        <f>'data cleaned'!E781*'data cleaned'!L781</f>
        <v>77.699999999999989</v>
      </c>
      <c r="N781" t="str">
        <f t="shared" si="24"/>
        <v>Liberica</v>
      </c>
      <c r="O781" t="str">
        <f t="shared" si="25"/>
        <v>Dark</v>
      </c>
      <c r="P781" t="str">
        <f>_xlfn.XLOOKUP(worksheet[[#This Row],[Customer ID]],customers!$A$1:$A$1001,customers!$I$1:$I$1001,0)</f>
        <v>Yes</v>
      </c>
    </row>
    <row r="782" spans="1:16" x14ac:dyDescent="0.25">
      <c r="A782" s="2" t="s">
        <v>4898</v>
      </c>
      <c r="B782" s="4">
        <v>43883</v>
      </c>
      <c r="C782" s="2" t="s">
        <v>4899</v>
      </c>
      <c r="D782" t="s">
        <v>6141</v>
      </c>
      <c r="E782" s="2">
        <v>3</v>
      </c>
      <c r="F782" s="2" t="str">
        <f>_xlfn.XLOOKUP(C782,customers!$A$1:$A$1001,customers!$B$1:$B$1001,0)</f>
        <v>Verne Dunkerley</v>
      </c>
      <c r="G782" s="2" t="s">
        <v>6222</v>
      </c>
      <c r="H782" s="2" t="str">
        <f>_xlfn.XLOOKUP(C782,customers!$A$1:$A$1001,customers!$G$1:$G$1001,0)</f>
        <v>United States</v>
      </c>
      <c r="I782" t="str">
        <f>_xlfn.XLOOKUP(D782,products!$A$1:$A$49,products!$B$1:$B$49,0)</f>
        <v>Exc</v>
      </c>
      <c r="J782" t="str">
        <f>_xlfn.XLOOKUP('data cleaned'!D782,products!$A$1:$A$49,products!$C$1:$C$49,0)</f>
        <v>M</v>
      </c>
      <c r="K782" s="5">
        <f>_xlfn.XLOOKUP('data cleaned'!D782,products!$A$1:$A$49,products!$D$1:$D$49,0)</f>
        <v>1</v>
      </c>
      <c r="L782" s="6">
        <f>_xlfn.XLOOKUP('data cleaned'!D782,products!$A$1:$A$49,products!$E$1:$E$49,0)</f>
        <v>13.75</v>
      </c>
      <c r="M782" s="6">
        <f>'data cleaned'!E782*'data cleaned'!L782</f>
        <v>41.25</v>
      </c>
      <c r="N782" t="str">
        <f t="shared" si="24"/>
        <v>Excelsa</v>
      </c>
      <c r="O782" t="str">
        <f t="shared" si="25"/>
        <v>Medium</v>
      </c>
      <c r="P782" t="str">
        <f>_xlfn.XLOOKUP(worksheet[[#This Row],[Customer ID]],customers!$A$1:$A$1001,customers!$I$1:$I$1001,0)</f>
        <v>No</v>
      </c>
    </row>
    <row r="783" spans="1:16" x14ac:dyDescent="0.25">
      <c r="A783" s="2" t="s">
        <v>4903</v>
      </c>
      <c r="B783" s="4">
        <v>43778</v>
      </c>
      <c r="C783" s="2" t="s">
        <v>4904</v>
      </c>
      <c r="D783" t="s">
        <v>6164</v>
      </c>
      <c r="E783" s="2">
        <v>4</v>
      </c>
      <c r="F783" s="2" t="str">
        <f>_xlfn.XLOOKUP(C783,customers!$A$1:$A$1001,customers!$B$1:$B$1001,0)</f>
        <v>Lacee Burtenshaw</v>
      </c>
      <c r="G783" s="2" t="s">
        <v>4906</v>
      </c>
      <c r="H783" s="2" t="str">
        <f>_xlfn.XLOOKUP(C783,customers!$A$1:$A$1001,customers!$G$1:$G$1001,0)</f>
        <v>United States</v>
      </c>
      <c r="I783" t="str">
        <f>_xlfn.XLOOKUP(D783,products!$A$1:$A$49,products!$B$1:$B$49,0)</f>
        <v>Lib</v>
      </c>
      <c r="J783" t="str">
        <f>_xlfn.XLOOKUP('data cleaned'!D783,products!$A$1:$A$49,products!$C$1:$C$49,0)</f>
        <v>L</v>
      </c>
      <c r="K783" s="5">
        <f>_xlfn.XLOOKUP('data cleaned'!D783,products!$A$1:$A$49,products!$D$1:$D$49,0)</f>
        <v>2.5</v>
      </c>
      <c r="L783" s="6">
        <f>_xlfn.XLOOKUP('data cleaned'!D783,products!$A$1:$A$49,products!$E$1:$E$49,0)</f>
        <v>36.454999999999998</v>
      </c>
      <c r="M783" s="6">
        <f>'data cleaned'!E783*'data cleaned'!L783</f>
        <v>145.82</v>
      </c>
      <c r="N783" t="str">
        <f t="shared" si="24"/>
        <v>Liberica</v>
      </c>
      <c r="O783" t="str">
        <f t="shared" si="25"/>
        <v>Light</v>
      </c>
      <c r="P783" t="str">
        <f>_xlfn.XLOOKUP(worksheet[[#This Row],[Customer ID]],customers!$A$1:$A$1001,customers!$I$1:$I$1001,0)</f>
        <v>No</v>
      </c>
    </row>
    <row r="784" spans="1:16" x14ac:dyDescent="0.25">
      <c r="A784" s="2" t="s">
        <v>4909</v>
      </c>
      <c r="B784" s="4">
        <v>43897</v>
      </c>
      <c r="C784" s="2" t="s">
        <v>4910</v>
      </c>
      <c r="D784" t="s">
        <v>6184</v>
      </c>
      <c r="E784" s="2">
        <v>6</v>
      </c>
      <c r="F784" s="2" t="str">
        <f>_xlfn.XLOOKUP(C784,customers!$A$1:$A$1001,customers!$B$1:$B$1001,0)</f>
        <v>Adorne Gregoratti</v>
      </c>
      <c r="G784" s="2" t="s">
        <v>4912</v>
      </c>
      <c r="H784" s="2" t="str">
        <f>_xlfn.XLOOKUP(C784,customers!$A$1:$A$1001,customers!$G$1:$G$1001,0)</f>
        <v>Ireland</v>
      </c>
      <c r="I784" t="str">
        <f>_xlfn.XLOOKUP(D784,products!$A$1:$A$49,products!$B$1:$B$49,0)</f>
        <v>Exc</v>
      </c>
      <c r="J784" t="str">
        <f>_xlfn.XLOOKUP('data cleaned'!D784,products!$A$1:$A$49,products!$C$1:$C$49,0)</f>
        <v>L</v>
      </c>
      <c r="K784" s="5">
        <f>_xlfn.XLOOKUP('data cleaned'!D784,products!$A$1:$A$49,products!$D$1:$D$49,0)</f>
        <v>0.2</v>
      </c>
      <c r="L784" s="6">
        <f>_xlfn.XLOOKUP('data cleaned'!D784,products!$A$1:$A$49,products!$E$1:$E$49,0)</f>
        <v>4.4550000000000001</v>
      </c>
      <c r="M784" s="6">
        <f>'data cleaned'!E784*'data cleaned'!L784</f>
        <v>26.73</v>
      </c>
      <c r="N784" t="str">
        <f t="shared" si="24"/>
        <v>Excelsa</v>
      </c>
      <c r="O784" t="str">
        <f t="shared" si="25"/>
        <v>Light</v>
      </c>
      <c r="P784" t="str">
        <f>_xlfn.XLOOKUP(worksheet[[#This Row],[Customer ID]],customers!$A$1:$A$1001,customers!$I$1:$I$1001,0)</f>
        <v>No</v>
      </c>
    </row>
    <row r="785" spans="1:16" x14ac:dyDescent="0.25">
      <c r="A785" s="2" t="s">
        <v>4915</v>
      </c>
      <c r="B785" s="4">
        <v>44312</v>
      </c>
      <c r="C785" s="2" t="s">
        <v>4916</v>
      </c>
      <c r="D785" t="s">
        <v>6160</v>
      </c>
      <c r="E785" s="2">
        <v>5</v>
      </c>
      <c r="F785" s="2" t="str">
        <f>_xlfn.XLOOKUP(C785,customers!$A$1:$A$1001,customers!$B$1:$B$1001,0)</f>
        <v>Chris Croster</v>
      </c>
      <c r="G785" s="2" t="s">
        <v>4918</v>
      </c>
      <c r="H785" s="2" t="str">
        <f>_xlfn.XLOOKUP(C785,customers!$A$1:$A$1001,customers!$G$1:$G$1001,0)</f>
        <v>United States</v>
      </c>
      <c r="I785" t="str">
        <f>_xlfn.XLOOKUP(D785,products!$A$1:$A$49,products!$B$1:$B$49,0)</f>
        <v>Lib</v>
      </c>
      <c r="J785" t="str">
        <f>_xlfn.XLOOKUP('data cleaned'!D785,products!$A$1:$A$49,products!$C$1:$C$49,0)</f>
        <v>M</v>
      </c>
      <c r="K785" s="5">
        <f>_xlfn.XLOOKUP('data cleaned'!D785,products!$A$1:$A$49,products!$D$1:$D$49,0)</f>
        <v>0.5</v>
      </c>
      <c r="L785" s="6">
        <f>_xlfn.XLOOKUP('data cleaned'!D785,products!$A$1:$A$49,products!$E$1:$E$49,0)</f>
        <v>8.73</v>
      </c>
      <c r="M785" s="6">
        <f>'data cleaned'!E785*'data cleaned'!L785</f>
        <v>43.650000000000006</v>
      </c>
      <c r="N785" t="str">
        <f t="shared" si="24"/>
        <v>Liberica</v>
      </c>
      <c r="O785" t="str">
        <f t="shared" si="25"/>
        <v>Medium</v>
      </c>
      <c r="P785" t="str">
        <f>_xlfn.XLOOKUP(worksheet[[#This Row],[Customer ID]],customers!$A$1:$A$1001,customers!$I$1:$I$1001,0)</f>
        <v>Yes</v>
      </c>
    </row>
    <row r="786" spans="1:16" x14ac:dyDescent="0.25">
      <c r="A786" s="2" t="s">
        <v>4921</v>
      </c>
      <c r="B786" s="4">
        <v>44511</v>
      </c>
      <c r="C786" s="2" t="s">
        <v>4922</v>
      </c>
      <c r="D786" t="s">
        <v>6170</v>
      </c>
      <c r="E786" s="2">
        <v>2</v>
      </c>
      <c r="F786" s="2" t="str">
        <f>_xlfn.XLOOKUP(C786,customers!$A$1:$A$1001,customers!$B$1:$B$1001,0)</f>
        <v>Graeme Whitehead</v>
      </c>
      <c r="G786" s="2" t="s">
        <v>4924</v>
      </c>
      <c r="H786" s="2" t="str">
        <f>_xlfn.XLOOKUP(C786,customers!$A$1:$A$1001,customers!$G$1:$G$1001,0)</f>
        <v>United States</v>
      </c>
      <c r="I786" t="str">
        <f>_xlfn.XLOOKUP(D786,products!$A$1:$A$49,products!$B$1:$B$49,0)</f>
        <v>Lib</v>
      </c>
      <c r="J786" t="str">
        <f>_xlfn.XLOOKUP('data cleaned'!D786,products!$A$1:$A$49,products!$C$1:$C$49,0)</f>
        <v>L</v>
      </c>
      <c r="K786" s="5">
        <f>_xlfn.XLOOKUP('data cleaned'!D786,products!$A$1:$A$49,products!$D$1:$D$49,0)</f>
        <v>1</v>
      </c>
      <c r="L786" s="6">
        <f>_xlfn.XLOOKUP('data cleaned'!D786,products!$A$1:$A$49,products!$E$1:$E$49,0)</f>
        <v>15.85</v>
      </c>
      <c r="M786" s="6">
        <f>'data cleaned'!E786*'data cleaned'!L786</f>
        <v>31.7</v>
      </c>
      <c r="N786" t="str">
        <f t="shared" si="24"/>
        <v>Liberica</v>
      </c>
      <c r="O786" t="str">
        <f t="shared" si="25"/>
        <v>Light</v>
      </c>
      <c r="P786" t="str">
        <f>_xlfn.XLOOKUP(worksheet[[#This Row],[Customer ID]],customers!$A$1:$A$1001,customers!$I$1:$I$1001,0)</f>
        <v>No</v>
      </c>
    </row>
    <row r="787" spans="1:16" x14ac:dyDescent="0.25">
      <c r="A787" s="2" t="s">
        <v>4926</v>
      </c>
      <c r="B787" s="4">
        <v>44362</v>
      </c>
      <c r="C787" s="2" t="s">
        <v>4927</v>
      </c>
      <c r="D787" t="s">
        <v>6168</v>
      </c>
      <c r="E787" s="2">
        <v>1</v>
      </c>
      <c r="F787" s="2" t="str">
        <f>_xlfn.XLOOKUP(C787,customers!$A$1:$A$1001,customers!$B$1:$B$1001,0)</f>
        <v>Haslett Jodrelle</v>
      </c>
      <c r="G787" s="2" t="s">
        <v>4929</v>
      </c>
      <c r="H787" s="2" t="str">
        <f>_xlfn.XLOOKUP(C787,customers!$A$1:$A$1001,customers!$G$1:$G$1001,0)</f>
        <v>United States</v>
      </c>
      <c r="I787" t="str">
        <f>_xlfn.XLOOKUP(D787,products!$A$1:$A$49,products!$B$1:$B$49,0)</f>
        <v>Ara</v>
      </c>
      <c r="J787" t="str">
        <f>_xlfn.XLOOKUP('data cleaned'!D787,products!$A$1:$A$49,products!$C$1:$C$49,0)</f>
        <v>D</v>
      </c>
      <c r="K787" s="5">
        <f>_xlfn.XLOOKUP('data cleaned'!D787,products!$A$1:$A$49,products!$D$1:$D$49,0)</f>
        <v>2.5</v>
      </c>
      <c r="L787" s="6">
        <f>_xlfn.XLOOKUP('data cleaned'!D787,products!$A$1:$A$49,products!$E$1:$E$49,0)</f>
        <v>22.884999999999998</v>
      </c>
      <c r="M787" s="6">
        <f>'data cleaned'!E787*'data cleaned'!L787</f>
        <v>22.884999999999998</v>
      </c>
      <c r="N787" t="str">
        <f t="shared" si="24"/>
        <v>Arabica</v>
      </c>
      <c r="O787" t="str">
        <f t="shared" si="25"/>
        <v>Dark</v>
      </c>
      <c r="P787" t="str">
        <f>_xlfn.XLOOKUP(worksheet[[#This Row],[Customer ID]],customers!$A$1:$A$1001,customers!$I$1:$I$1001,0)</f>
        <v>No</v>
      </c>
    </row>
    <row r="788" spans="1:16" x14ac:dyDescent="0.25">
      <c r="A788" s="2" t="s">
        <v>4932</v>
      </c>
      <c r="B788" s="4">
        <v>43888</v>
      </c>
      <c r="C788" s="2" t="s">
        <v>4933</v>
      </c>
      <c r="D788" t="s">
        <v>6185</v>
      </c>
      <c r="E788" s="2">
        <v>1</v>
      </c>
      <c r="F788" s="2" t="str">
        <f>_xlfn.XLOOKUP(C788,customers!$A$1:$A$1001,customers!$B$1:$B$1001,0)</f>
        <v>Cam Jewster</v>
      </c>
      <c r="G788" s="2" t="s">
        <v>4935</v>
      </c>
      <c r="H788" s="2" t="str">
        <f>_xlfn.XLOOKUP(C788,customers!$A$1:$A$1001,customers!$G$1:$G$1001,0)</f>
        <v>United States</v>
      </c>
      <c r="I788" t="str">
        <f>_xlfn.XLOOKUP(D788,products!$A$1:$A$49,products!$B$1:$B$49,0)</f>
        <v>Exc</v>
      </c>
      <c r="J788" t="str">
        <f>_xlfn.XLOOKUP('data cleaned'!D788,products!$A$1:$A$49,products!$C$1:$C$49,0)</f>
        <v>D</v>
      </c>
      <c r="K788" s="5">
        <f>_xlfn.XLOOKUP('data cleaned'!D788,products!$A$1:$A$49,products!$D$1:$D$49,0)</f>
        <v>2.5</v>
      </c>
      <c r="L788" s="6">
        <f>_xlfn.XLOOKUP('data cleaned'!D788,products!$A$1:$A$49,products!$E$1:$E$49,0)</f>
        <v>27.945</v>
      </c>
      <c r="M788" s="6">
        <f>'data cleaned'!E788*'data cleaned'!L788</f>
        <v>27.945</v>
      </c>
      <c r="N788" t="str">
        <f t="shared" si="24"/>
        <v>Excelsa</v>
      </c>
      <c r="O788" t="str">
        <f t="shared" si="25"/>
        <v>Dark</v>
      </c>
      <c r="P788" t="str">
        <f>_xlfn.XLOOKUP(worksheet[[#This Row],[Customer ID]],customers!$A$1:$A$1001,customers!$I$1:$I$1001,0)</f>
        <v>Yes</v>
      </c>
    </row>
    <row r="789" spans="1:16" x14ac:dyDescent="0.25">
      <c r="A789" s="2" t="s">
        <v>4938</v>
      </c>
      <c r="B789" s="4">
        <v>44305</v>
      </c>
      <c r="C789" s="2" t="s">
        <v>4939</v>
      </c>
      <c r="D789" t="s">
        <v>6141</v>
      </c>
      <c r="E789" s="2">
        <v>6</v>
      </c>
      <c r="F789" s="2" t="str">
        <f>_xlfn.XLOOKUP(C789,customers!$A$1:$A$1001,customers!$B$1:$B$1001,0)</f>
        <v>Beryl Osborn</v>
      </c>
      <c r="G789" s="2" t="s">
        <v>6222</v>
      </c>
      <c r="H789" s="2" t="str">
        <f>_xlfn.XLOOKUP(C789,customers!$A$1:$A$1001,customers!$G$1:$G$1001,0)</f>
        <v>United States</v>
      </c>
      <c r="I789" t="str">
        <f>_xlfn.XLOOKUP(D789,products!$A$1:$A$49,products!$B$1:$B$49,0)</f>
        <v>Exc</v>
      </c>
      <c r="J789" t="str">
        <f>_xlfn.XLOOKUP('data cleaned'!D789,products!$A$1:$A$49,products!$C$1:$C$49,0)</f>
        <v>M</v>
      </c>
      <c r="K789" s="5">
        <f>_xlfn.XLOOKUP('data cleaned'!D789,products!$A$1:$A$49,products!$D$1:$D$49,0)</f>
        <v>1</v>
      </c>
      <c r="L789" s="6">
        <f>_xlfn.XLOOKUP('data cleaned'!D789,products!$A$1:$A$49,products!$E$1:$E$49,0)</f>
        <v>13.75</v>
      </c>
      <c r="M789" s="6">
        <f>'data cleaned'!E789*'data cleaned'!L789</f>
        <v>82.5</v>
      </c>
      <c r="N789" t="str">
        <f t="shared" si="24"/>
        <v>Excelsa</v>
      </c>
      <c r="O789" t="str">
        <f t="shared" si="25"/>
        <v>Medium</v>
      </c>
      <c r="P789" t="str">
        <f>_xlfn.XLOOKUP(worksheet[[#This Row],[Customer ID]],customers!$A$1:$A$1001,customers!$I$1:$I$1001,0)</f>
        <v>Yes</v>
      </c>
    </row>
    <row r="790" spans="1:16" x14ac:dyDescent="0.25">
      <c r="A790" s="2" t="s">
        <v>4943</v>
      </c>
      <c r="B790" s="4">
        <v>44771</v>
      </c>
      <c r="C790" s="2" t="s">
        <v>4944</v>
      </c>
      <c r="D790" t="s">
        <v>6151</v>
      </c>
      <c r="E790" s="2">
        <v>2</v>
      </c>
      <c r="F790" s="2" t="str">
        <f>_xlfn.XLOOKUP(C790,customers!$A$1:$A$1001,customers!$B$1:$B$1001,0)</f>
        <v>Kaela Nottram</v>
      </c>
      <c r="G790" s="2" t="s">
        <v>4946</v>
      </c>
      <c r="H790" s="2" t="str">
        <f>_xlfn.XLOOKUP(C790,customers!$A$1:$A$1001,customers!$G$1:$G$1001,0)</f>
        <v>Ireland</v>
      </c>
      <c r="I790" t="str">
        <f>_xlfn.XLOOKUP(D790,products!$A$1:$A$49,products!$B$1:$B$49,0)</f>
        <v>Rob</v>
      </c>
      <c r="J790" t="str">
        <f>_xlfn.XLOOKUP('data cleaned'!D790,products!$A$1:$A$49,products!$C$1:$C$49,0)</f>
        <v>M</v>
      </c>
      <c r="K790" s="5">
        <f>_xlfn.XLOOKUP('data cleaned'!D790,products!$A$1:$A$49,products!$D$1:$D$49,0)</f>
        <v>2.5</v>
      </c>
      <c r="L790" s="6">
        <f>_xlfn.XLOOKUP('data cleaned'!D790,products!$A$1:$A$49,products!$E$1:$E$49,0)</f>
        <v>22.884999999999998</v>
      </c>
      <c r="M790" s="6">
        <f>'data cleaned'!E790*'data cleaned'!L790</f>
        <v>45.769999999999996</v>
      </c>
      <c r="N790" t="str">
        <f t="shared" si="24"/>
        <v>Robusta</v>
      </c>
      <c r="O790" t="str">
        <f t="shared" si="25"/>
        <v>Medium</v>
      </c>
      <c r="P790" t="str">
        <f>_xlfn.XLOOKUP(worksheet[[#This Row],[Customer ID]],customers!$A$1:$A$1001,customers!$I$1:$I$1001,0)</f>
        <v>Yes</v>
      </c>
    </row>
    <row r="791" spans="1:16" x14ac:dyDescent="0.25">
      <c r="A791" s="2" t="s">
        <v>4949</v>
      </c>
      <c r="B791" s="4">
        <v>43485</v>
      </c>
      <c r="C791" s="2" t="s">
        <v>4950</v>
      </c>
      <c r="D791" t="s">
        <v>6140</v>
      </c>
      <c r="E791" s="2">
        <v>6</v>
      </c>
      <c r="F791" s="2" t="str">
        <f>_xlfn.XLOOKUP(C791,customers!$A$1:$A$1001,customers!$B$1:$B$1001,0)</f>
        <v>Nobe Buney</v>
      </c>
      <c r="G791" s="2" t="s">
        <v>4952</v>
      </c>
      <c r="H791" s="2" t="str">
        <f>_xlfn.XLOOKUP(C791,customers!$A$1:$A$1001,customers!$G$1:$G$1001,0)</f>
        <v>United States</v>
      </c>
      <c r="I791" t="str">
        <f>_xlfn.XLOOKUP(D791,products!$A$1:$A$49,products!$B$1:$B$49,0)</f>
        <v>Ara</v>
      </c>
      <c r="J791" t="str">
        <f>_xlfn.XLOOKUP('data cleaned'!D791,products!$A$1:$A$49,products!$C$1:$C$49,0)</f>
        <v>L</v>
      </c>
      <c r="K791" s="5">
        <f>_xlfn.XLOOKUP('data cleaned'!D791,products!$A$1:$A$49,products!$D$1:$D$49,0)</f>
        <v>1</v>
      </c>
      <c r="L791" s="6">
        <f>_xlfn.XLOOKUP('data cleaned'!D791,products!$A$1:$A$49,products!$E$1:$E$49,0)</f>
        <v>12.95</v>
      </c>
      <c r="M791" s="6">
        <f>'data cleaned'!E791*'data cleaned'!L791</f>
        <v>77.699999999999989</v>
      </c>
      <c r="N791" t="str">
        <f t="shared" si="24"/>
        <v>Arabica</v>
      </c>
      <c r="O791" t="str">
        <f t="shared" si="25"/>
        <v>Light</v>
      </c>
      <c r="P791" t="str">
        <f>_xlfn.XLOOKUP(worksheet[[#This Row],[Customer ID]],customers!$A$1:$A$1001,customers!$I$1:$I$1001,0)</f>
        <v>No</v>
      </c>
    </row>
    <row r="792" spans="1:16" x14ac:dyDescent="0.25">
      <c r="A792" s="2" t="s">
        <v>4955</v>
      </c>
      <c r="B792" s="4">
        <v>44613</v>
      </c>
      <c r="C792" s="2" t="s">
        <v>4956</v>
      </c>
      <c r="D792" t="s">
        <v>6180</v>
      </c>
      <c r="E792" s="2">
        <v>3</v>
      </c>
      <c r="F792" s="2" t="str">
        <f>_xlfn.XLOOKUP(C792,customers!$A$1:$A$1001,customers!$B$1:$B$1001,0)</f>
        <v>Silvan McShea</v>
      </c>
      <c r="G792" s="2" t="s">
        <v>4958</v>
      </c>
      <c r="H792" s="2" t="str">
        <f>_xlfn.XLOOKUP(C792,customers!$A$1:$A$1001,customers!$G$1:$G$1001,0)</f>
        <v>United States</v>
      </c>
      <c r="I792" t="str">
        <f>_xlfn.XLOOKUP(D792,products!$A$1:$A$49,products!$B$1:$B$49,0)</f>
        <v>Ara</v>
      </c>
      <c r="J792" t="str">
        <f>_xlfn.XLOOKUP('data cleaned'!D792,products!$A$1:$A$49,products!$C$1:$C$49,0)</f>
        <v>L</v>
      </c>
      <c r="K792" s="5">
        <f>_xlfn.XLOOKUP('data cleaned'!D792,products!$A$1:$A$49,products!$D$1:$D$49,0)</f>
        <v>0.5</v>
      </c>
      <c r="L792" s="6">
        <f>_xlfn.XLOOKUP('data cleaned'!D792,products!$A$1:$A$49,products!$E$1:$E$49,0)</f>
        <v>7.77</v>
      </c>
      <c r="M792" s="6">
        <f>'data cleaned'!E792*'data cleaned'!L792</f>
        <v>23.31</v>
      </c>
      <c r="N792" t="str">
        <f t="shared" si="24"/>
        <v>Arabica</v>
      </c>
      <c r="O792" t="str">
        <f t="shared" si="25"/>
        <v>Light</v>
      </c>
      <c r="P792" t="str">
        <f>_xlfn.XLOOKUP(worksheet[[#This Row],[Customer ID]],customers!$A$1:$A$1001,customers!$I$1:$I$1001,0)</f>
        <v>No</v>
      </c>
    </row>
    <row r="793" spans="1:16" x14ac:dyDescent="0.25">
      <c r="A793" s="2" t="s">
        <v>4961</v>
      </c>
      <c r="B793" s="4">
        <v>43954</v>
      </c>
      <c r="C793" s="2" t="s">
        <v>4962</v>
      </c>
      <c r="D793" t="s">
        <v>6145</v>
      </c>
      <c r="E793" s="2">
        <v>5</v>
      </c>
      <c r="F793" s="2" t="str">
        <f>_xlfn.XLOOKUP(C793,customers!$A$1:$A$1001,customers!$B$1:$B$1001,0)</f>
        <v>Karylin Huddart</v>
      </c>
      <c r="G793" s="2" t="s">
        <v>4964</v>
      </c>
      <c r="H793" s="2" t="str">
        <f>_xlfn.XLOOKUP(C793,customers!$A$1:$A$1001,customers!$G$1:$G$1001,0)</f>
        <v>United States</v>
      </c>
      <c r="I793" t="str">
        <f>_xlfn.XLOOKUP(D793,products!$A$1:$A$49,products!$B$1:$B$49,0)</f>
        <v>Lib</v>
      </c>
      <c r="J793" t="str">
        <f>_xlfn.XLOOKUP('data cleaned'!D793,products!$A$1:$A$49,products!$C$1:$C$49,0)</f>
        <v>L</v>
      </c>
      <c r="K793" s="5">
        <f>_xlfn.XLOOKUP('data cleaned'!D793,products!$A$1:$A$49,products!$D$1:$D$49,0)</f>
        <v>0.2</v>
      </c>
      <c r="L793" s="6">
        <f>_xlfn.XLOOKUP('data cleaned'!D793,products!$A$1:$A$49,products!$E$1:$E$49,0)</f>
        <v>4.7549999999999999</v>
      </c>
      <c r="M793" s="6">
        <f>'data cleaned'!E793*'data cleaned'!L793</f>
        <v>23.774999999999999</v>
      </c>
      <c r="N793" t="str">
        <f t="shared" si="24"/>
        <v>Liberica</v>
      </c>
      <c r="O793" t="str">
        <f t="shared" si="25"/>
        <v>Light</v>
      </c>
      <c r="P793" t="str">
        <f>_xlfn.XLOOKUP(worksheet[[#This Row],[Customer ID]],customers!$A$1:$A$1001,customers!$I$1:$I$1001,0)</f>
        <v>Yes</v>
      </c>
    </row>
    <row r="794" spans="1:16" x14ac:dyDescent="0.25">
      <c r="A794" s="2" t="s">
        <v>4967</v>
      </c>
      <c r="B794" s="4">
        <v>43545</v>
      </c>
      <c r="C794" s="2" t="s">
        <v>4968</v>
      </c>
      <c r="D794" t="s">
        <v>6160</v>
      </c>
      <c r="E794" s="2">
        <v>6</v>
      </c>
      <c r="F794" s="2" t="str">
        <f>_xlfn.XLOOKUP(C794,customers!$A$1:$A$1001,customers!$B$1:$B$1001,0)</f>
        <v>Jereme Gippes</v>
      </c>
      <c r="G794" s="2" t="s">
        <v>4970</v>
      </c>
      <c r="H794" s="2" t="str">
        <f>_xlfn.XLOOKUP(C794,customers!$A$1:$A$1001,customers!$G$1:$G$1001,0)</f>
        <v>United Kingdom</v>
      </c>
      <c r="I794" t="str">
        <f>_xlfn.XLOOKUP(D794,products!$A$1:$A$49,products!$B$1:$B$49,0)</f>
        <v>Lib</v>
      </c>
      <c r="J794" t="str">
        <f>_xlfn.XLOOKUP('data cleaned'!D794,products!$A$1:$A$49,products!$C$1:$C$49,0)</f>
        <v>M</v>
      </c>
      <c r="K794" s="5">
        <f>_xlfn.XLOOKUP('data cleaned'!D794,products!$A$1:$A$49,products!$D$1:$D$49,0)</f>
        <v>0.5</v>
      </c>
      <c r="L794" s="6">
        <f>_xlfn.XLOOKUP('data cleaned'!D794,products!$A$1:$A$49,products!$E$1:$E$49,0)</f>
        <v>8.73</v>
      </c>
      <c r="M794" s="6">
        <f>'data cleaned'!E794*'data cleaned'!L794</f>
        <v>52.38</v>
      </c>
      <c r="N794" t="str">
        <f t="shared" si="24"/>
        <v>Liberica</v>
      </c>
      <c r="O794" t="str">
        <f t="shared" si="25"/>
        <v>Medium</v>
      </c>
      <c r="P794" t="str">
        <f>_xlfn.XLOOKUP(worksheet[[#This Row],[Customer ID]],customers!$A$1:$A$1001,customers!$I$1:$I$1001,0)</f>
        <v>Yes</v>
      </c>
    </row>
    <row r="795" spans="1:16" x14ac:dyDescent="0.25">
      <c r="A795" s="2" t="s">
        <v>4973</v>
      </c>
      <c r="B795" s="4">
        <v>43629</v>
      </c>
      <c r="C795" s="2" t="s">
        <v>4974</v>
      </c>
      <c r="D795" t="s">
        <v>6178</v>
      </c>
      <c r="E795" s="2">
        <v>5</v>
      </c>
      <c r="F795" s="2" t="str">
        <f>_xlfn.XLOOKUP(C795,customers!$A$1:$A$1001,customers!$B$1:$B$1001,0)</f>
        <v>Lukas Whittlesee</v>
      </c>
      <c r="G795" s="2" t="s">
        <v>4976</v>
      </c>
      <c r="H795" s="2" t="str">
        <f>_xlfn.XLOOKUP(C795,customers!$A$1:$A$1001,customers!$G$1:$G$1001,0)</f>
        <v>United States</v>
      </c>
      <c r="I795" t="str">
        <f>_xlfn.XLOOKUP(D795,products!$A$1:$A$49,products!$B$1:$B$49,0)</f>
        <v>Rob</v>
      </c>
      <c r="J795" t="str">
        <f>_xlfn.XLOOKUP('data cleaned'!D795,products!$A$1:$A$49,products!$C$1:$C$49,0)</f>
        <v>L</v>
      </c>
      <c r="K795" s="5">
        <f>_xlfn.XLOOKUP('data cleaned'!D795,products!$A$1:$A$49,products!$D$1:$D$49,0)</f>
        <v>0.2</v>
      </c>
      <c r="L795" s="6">
        <f>_xlfn.XLOOKUP('data cleaned'!D795,products!$A$1:$A$49,products!$E$1:$E$49,0)</f>
        <v>3.5849999999999995</v>
      </c>
      <c r="M795" s="6">
        <f>'data cleaned'!E795*'data cleaned'!L795</f>
        <v>17.924999999999997</v>
      </c>
      <c r="N795" t="str">
        <f t="shared" si="24"/>
        <v>Robusta</v>
      </c>
      <c r="O795" t="str">
        <f t="shared" si="25"/>
        <v>Light</v>
      </c>
      <c r="P795" t="str">
        <f>_xlfn.XLOOKUP(worksheet[[#This Row],[Customer ID]],customers!$A$1:$A$1001,customers!$I$1:$I$1001,0)</f>
        <v>No</v>
      </c>
    </row>
    <row r="796" spans="1:16" x14ac:dyDescent="0.25">
      <c r="A796" s="2" t="s">
        <v>4979</v>
      </c>
      <c r="B796" s="4">
        <v>43987</v>
      </c>
      <c r="C796" s="2" t="s">
        <v>4980</v>
      </c>
      <c r="D796" t="s">
        <v>6182</v>
      </c>
      <c r="E796" s="2">
        <v>5</v>
      </c>
      <c r="F796" s="2" t="str">
        <f>_xlfn.XLOOKUP(C796,customers!$A$1:$A$1001,customers!$B$1:$B$1001,0)</f>
        <v>Gregorius Trengrove</v>
      </c>
      <c r="G796" s="2" t="s">
        <v>4982</v>
      </c>
      <c r="H796" s="2" t="str">
        <f>_xlfn.XLOOKUP(C796,customers!$A$1:$A$1001,customers!$G$1:$G$1001,0)</f>
        <v>United States</v>
      </c>
      <c r="I796" t="str">
        <f>_xlfn.XLOOKUP(D796,products!$A$1:$A$49,products!$B$1:$B$49,0)</f>
        <v>Ara</v>
      </c>
      <c r="J796" t="str">
        <f>_xlfn.XLOOKUP('data cleaned'!D796,products!$A$1:$A$49,products!$C$1:$C$49,0)</f>
        <v>L</v>
      </c>
      <c r="K796" s="5">
        <f>_xlfn.XLOOKUP('data cleaned'!D796,products!$A$1:$A$49,products!$D$1:$D$49,0)</f>
        <v>2.5</v>
      </c>
      <c r="L796" s="6">
        <f>_xlfn.XLOOKUP('data cleaned'!D796,products!$A$1:$A$49,products!$E$1:$E$49,0)</f>
        <v>29.784999999999997</v>
      </c>
      <c r="M796" s="6">
        <f>'data cleaned'!E796*'data cleaned'!L796</f>
        <v>148.92499999999998</v>
      </c>
      <c r="N796" t="str">
        <f t="shared" si="24"/>
        <v>Arabica</v>
      </c>
      <c r="O796" t="str">
        <f t="shared" si="25"/>
        <v>Light</v>
      </c>
      <c r="P796" t="str">
        <f>_xlfn.XLOOKUP(worksheet[[#This Row],[Customer ID]],customers!$A$1:$A$1001,customers!$I$1:$I$1001,0)</f>
        <v>No</v>
      </c>
    </row>
    <row r="797" spans="1:16" x14ac:dyDescent="0.25">
      <c r="A797" s="2" t="s">
        <v>4985</v>
      </c>
      <c r="B797" s="4">
        <v>43540</v>
      </c>
      <c r="C797" s="2" t="s">
        <v>4986</v>
      </c>
      <c r="D797" t="s">
        <v>6173</v>
      </c>
      <c r="E797" s="2">
        <v>4</v>
      </c>
      <c r="F797" s="2" t="str">
        <f>_xlfn.XLOOKUP(C797,customers!$A$1:$A$1001,customers!$B$1:$B$1001,0)</f>
        <v>Wright Caldero</v>
      </c>
      <c r="G797" s="2" t="s">
        <v>4988</v>
      </c>
      <c r="H797" s="2" t="str">
        <f>_xlfn.XLOOKUP(C797,customers!$A$1:$A$1001,customers!$G$1:$G$1001,0)</f>
        <v>United States</v>
      </c>
      <c r="I797" t="str">
        <f>_xlfn.XLOOKUP(D797,products!$A$1:$A$49,products!$B$1:$B$49,0)</f>
        <v>Rob</v>
      </c>
      <c r="J797" t="str">
        <f>_xlfn.XLOOKUP('data cleaned'!D797,products!$A$1:$A$49,products!$C$1:$C$49,0)</f>
        <v>L</v>
      </c>
      <c r="K797" s="5">
        <f>_xlfn.XLOOKUP('data cleaned'!D797,products!$A$1:$A$49,products!$D$1:$D$49,0)</f>
        <v>0.5</v>
      </c>
      <c r="L797" s="6">
        <f>_xlfn.XLOOKUP('data cleaned'!D797,products!$A$1:$A$49,products!$E$1:$E$49,0)</f>
        <v>7.169999999999999</v>
      </c>
      <c r="M797" s="6">
        <f>'data cleaned'!E797*'data cleaned'!L797</f>
        <v>28.679999999999996</v>
      </c>
      <c r="N797" t="str">
        <f t="shared" si="24"/>
        <v>Robusta</v>
      </c>
      <c r="O797" t="str">
        <f t="shared" si="25"/>
        <v>Light</v>
      </c>
      <c r="P797" t="str">
        <f>_xlfn.XLOOKUP(worksheet[[#This Row],[Customer ID]],customers!$A$1:$A$1001,customers!$I$1:$I$1001,0)</f>
        <v>No</v>
      </c>
    </row>
    <row r="798" spans="1:16" x14ac:dyDescent="0.25">
      <c r="A798" s="2" t="s">
        <v>4991</v>
      </c>
      <c r="B798" s="4">
        <v>44533</v>
      </c>
      <c r="C798" s="2" t="s">
        <v>4992</v>
      </c>
      <c r="D798" t="s">
        <v>6161</v>
      </c>
      <c r="E798" s="2">
        <v>1</v>
      </c>
      <c r="F798" s="2" t="str">
        <f>_xlfn.XLOOKUP(C798,customers!$A$1:$A$1001,customers!$B$1:$B$1001,0)</f>
        <v>Merell Zanazzi</v>
      </c>
      <c r="G798" s="2" t="s">
        <v>6222</v>
      </c>
      <c r="H798" s="2" t="str">
        <f>_xlfn.XLOOKUP(C798,customers!$A$1:$A$1001,customers!$G$1:$G$1001,0)</f>
        <v>United States</v>
      </c>
      <c r="I798" t="str">
        <f>_xlfn.XLOOKUP(D798,products!$A$1:$A$49,products!$B$1:$B$49,0)</f>
        <v>Lib</v>
      </c>
      <c r="J798" t="str">
        <f>_xlfn.XLOOKUP('data cleaned'!D798,products!$A$1:$A$49,products!$C$1:$C$49,0)</f>
        <v>L</v>
      </c>
      <c r="K798" s="5">
        <f>_xlfn.XLOOKUP('data cleaned'!D798,products!$A$1:$A$49,products!$D$1:$D$49,0)</f>
        <v>0.5</v>
      </c>
      <c r="L798" s="6">
        <f>_xlfn.XLOOKUP('data cleaned'!D798,products!$A$1:$A$49,products!$E$1:$E$49,0)</f>
        <v>9.51</v>
      </c>
      <c r="M798" s="6">
        <f>'data cleaned'!E798*'data cleaned'!L798</f>
        <v>9.51</v>
      </c>
      <c r="N798" t="str">
        <f t="shared" si="24"/>
        <v>Liberica</v>
      </c>
      <c r="O798" t="str">
        <f t="shared" si="25"/>
        <v>Light</v>
      </c>
      <c r="P798" t="str">
        <f>_xlfn.XLOOKUP(worksheet[[#This Row],[Customer ID]],customers!$A$1:$A$1001,customers!$I$1:$I$1001,0)</f>
        <v>No</v>
      </c>
    </row>
    <row r="799" spans="1:16" x14ac:dyDescent="0.25">
      <c r="A799" s="2" t="s">
        <v>4996</v>
      </c>
      <c r="B799" s="4">
        <v>44751</v>
      </c>
      <c r="C799" s="2" t="s">
        <v>4997</v>
      </c>
      <c r="D799" t="s">
        <v>6180</v>
      </c>
      <c r="E799" s="2">
        <v>4</v>
      </c>
      <c r="F799" s="2" t="str">
        <f>_xlfn.XLOOKUP(C799,customers!$A$1:$A$1001,customers!$B$1:$B$1001,0)</f>
        <v>Jed Kennicott</v>
      </c>
      <c r="G799" s="2" t="s">
        <v>4999</v>
      </c>
      <c r="H799" s="2" t="str">
        <f>_xlfn.XLOOKUP(C799,customers!$A$1:$A$1001,customers!$G$1:$G$1001,0)</f>
        <v>United States</v>
      </c>
      <c r="I799" t="str">
        <f>_xlfn.XLOOKUP(D799,products!$A$1:$A$49,products!$B$1:$B$49,0)</f>
        <v>Ara</v>
      </c>
      <c r="J799" t="str">
        <f>_xlfn.XLOOKUP('data cleaned'!D799,products!$A$1:$A$49,products!$C$1:$C$49,0)</f>
        <v>L</v>
      </c>
      <c r="K799" s="5">
        <f>_xlfn.XLOOKUP('data cleaned'!D799,products!$A$1:$A$49,products!$D$1:$D$49,0)</f>
        <v>0.5</v>
      </c>
      <c r="L799" s="6">
        <f>_xlfn.XLOOKUP('data cleaned'!D799,products!$A$1:$A$49,products!$E$1:$E$49,0)</f>
        <v>7.77</v>
      </c>
      <c r="M799" s="6">
        <f>'data cleaned'!E799*'data cleaned'!L799</f>
        <v>31.08</v>
      </c>
      <c r="N799" t="str">
        <f t="shared" si="24"/>
        <v>Arabica</v>
      </c>
      <c r="O799" t="str">
        <f t="shared" si="25"/>
        <v>Light</v>
      </c>
      <c r="P799" t="str">
        <f>_xlfn.XLOOKUP(worksheet[[#This Row],[Customer ID]],customers!$A$1:$A$1001,customers!$I$1:$I$1001,0)</f>
        <v>No</v>
      </c>
    </row>
    <row r="800" spans="1:16" x14ac:dyDescent="0.25">
      <c r="A800" s="2" t="s">
        <v>5002</v>
      </c>
      <c r="B800" s="4">
        <v>43950</v>
      </c>
      <c r="C800" s="2" t="s">
        <v>5003</v>
      </c>
      <c r="D800" t="s">
        <v>6163</v>
      </c>
      <c r="E800" s="2">
        <v>3</v>
      </c>
      <c r="F800" s="2" t="str">
        <f>_xlfn.XLOOKUP(C800,customers!$A$1:$A$1001,customers!$B$1:$B$1001,0)</f>
        <v>Guenevere Ruggen</v>
      </c>
      <c r="G800" s="2" t="s">
        <v>5005</v>
      </c>
      <c r="H800" s="2" t="str">
        <f>_xlfn.XLOOKUP(C800,customers!$A$1:$A$1001,customers!$G$1:$G$1001,0)</f>
        <v>United States</v>
      </c>
      <c r="I800" t="str">
        <f>_xlfn.XLOOKUP(D800,products!$A$1:$A$49,products!$B$1:$B$49,0)</f>
        <v>Rob</v>
      </c>
      <c r="J800" t="str">
        <f>_xlfn.XLOOKUP('data cleaned'!D800,products!$A$1:$A$49,products!$C$1:$C$49,0)</f>
        <v>D</v>
      </c>
      <c r="K800" s="5">
        <f>_xlfn.XLOOKUP('data cleaned'!D800,products!$A$1:$A$49,products!$D$1:$D$49,0)</f>
        <v>0.2</v>
      </c>
      <c r="L800" s="6">
        <f>_xlfn.XLOOKUP('data cleaned'!D800,products!$A$1:$A$49,products!$E$1:$E$49,0)</f>
        <v>2.6849999999999996</v>
      </c>
      <c r="M800" s="6">
        <f>'data cleaned'!E800*'data cleaned'!L800</f>
        <v>8.0549999999999997</v>
      </c>
      <c r="N800" t="str">
        <f t="shared" si="24"/>
        <v>Robusta</v>
      </c>
      <c r="O800" t="str">
        <f t="shared" si="25"/>
        <v>Dark</v>
      </c>
      <c r="P800" t="str">
        <f>_xlfn.XLOOKUP(worksheet[[#This Row],[Customer ID]],customers!$A$1:$A$1001,customers!$I$1:$I$1001,0)</f>
        <v>Yes</v>
      </c>
    </row>
    <row r="801" spans="1:16" x14ac:dyDescent="0.25">
      <c r="A801" s="2" t="s">
        <v>5008</v>
      </c>
      <c r="B801" s="4">
        <v>44588</v>
      </c>
      <c r="C801" s="2" t="s">
        <v>5009</v>
      </c>
      <c r="D801" t="s">
        <v>6183</v>
      </c>
      <c r="E801" s="2">
        <v>3</v>
      </c>
      <c r="F801" s="2" t="str">
        <f>_xlfn.XLOOKUP(C801,customers!$A$1:$A$1001,customers!$B$1:$B$1001,0)</f>
        <v>Gonzales Cicculi</v>
      </c>
      <c r="G801" s="2" t="s">
        <v>6222</v>
      </c>
      <c r="H801" s="2" t="str">
        <f>_xlfn.XLOOKUP(C801,customers!$A$1:$A$1001,customers!$G$1:$G$1001,0)</f>
        <v>United States</v>
      </c>
      <c r="I801" t="str">
        <f>_xlfn.XLOOKUP(D801,products!$A$1:$A$49,products!$B$1:$B$49,0)</f>
        <v>Exc</v>
      </c>
      <c r="J801" t="str">
        <f>_xlfn.XLOOKUP('data cleaned'!D801,products!$A$1:$A$49,products!$C$1:$C$49,0)</f>
        <v>D</v>
      </c>
      <c r="K801" s="5">
        <f>_xlfn.XLOOKUP('data cleaned'!D801,products!$A$1:$A$49,products!$D$1:$D$49,0)</f>
        <v>1</v>
      </c>
      <c r="L801" s="6">
        <f>_xlfn.XLOOKUP('data cleaned'!D801,products!$A$1:$A$49,products!$E$1:$E$49,0)</f>
        <v>12.15</v>
      </c>
      <c r="M801" s="6">
        <f>'data cleaned'!E801*'data cleaned'!L801</f>
        <v>36.450000000000003</v>
      </c>
      <c r="N801" t="str">
        <f t="shared" si="24"/>
        <v>Excelsa</v>
      </c>
      <c r="O801" t="str">
        <f t="shared" si="25"/>
        <v>Dark</v>
      </c>
      <c r="P801" t="str">
        <f>_xlfn.XLOOKUP(worksheet[[#This Row],[Customer ID]],customers!$A$1:$A$1001,customers!$I$1:$I$1001,0)</f>
        <v>Yes</v>
      </c>
    </row>
    <row r="802" spans="1:16" x14ac:dyDescent="0.25">
      <c r="A802" s="2" t="s">
        <v>5012</v>
      </c>
      <c r="B802" s="4">
        <v>44240</v>
      </c>
      <c r="C802" s="2" t="s">
        <v>5013</v>
      </c>
      <c r="D802" t="s">
        <v>6163</v>
      </c>
      <c r="E802" s="2">
        <v>6</v>
      </c>
      <c r="F802" s="2" t="str">
        <f>_xlfn.XLOOKUP(C802,customers!$A$1:$A$1001,customers!$B$1:$B$1001,0)</f>
        <v>Man Fright</v>
      </c>
      <c r="G802" s="2" t="s">
        <v>5015</v>
      </c>
      <c r="H802" s="2" t="str">
        <f>_xlfn.XLOOKUP(C802,customers!$A$1:$A$1001,customers!$G$1:$G$1001,0)</f>
        <v>Ireland</v>
      </c>
      <c r="I802" t="str">
        <f>_xlfn.XLOOKUP(D802,products!$A$1:$A$49,products!$B$1:$B$49,0)</f>
        <v>Rob</v>
      </c>
      <c r="J802" t="str">
        <f>_xlfn.XLOOKUP('data cleaned'!D802,products!$A$1:$A$49,products!$C$1:$C$49,0)</f>
        <v>D</v>
      </c>
      <c r="K802" s="5">
        <f>_xlfn.XLOOKUP('data cleaned'!D802,products!$A$1:$A$49,products!$D$1:$D$49,0)</f>
        <v>0.2</v>
      </c>
      <c r="L802" s="6">
        <f>_xlfn.XLOOKUP('data cleaned'!D802,products!$A$1:$A$49,products!$E$1:$E$49,0)</f>
        <v>2.6849999999999996</v>
      </c>
      <c r="M802" s="6">
        <f>'data cleaned'!E802*'data cleaned'!L802</f>
        <v>16.11</v>
      </c>
      <c r="N802" t="str">
        <f t="shared" si="24"/>
        <v>Robusta</v>
      </c>
      <c r="O802" t="str">
        <f t="shared" si="25"/>
        <v>Dark</v>
      </c>
      <c r="P802" t="str">
        <f>_xlfn.XLOOKUP(worksheet[[#This Row],[Customer ID]],customers!$A$1:$A$1001,customers!$I$1:$I$1001,0)</f>
        <v>No</v>
      </c>
    </row>
    <row r="803" spans="1:16" x14ac:dyDescent="0.25">
      <c r="A803" s="2" t="s">
        <v>5018</v>
      </c>
      <c r="B803" s="4">
        <v>44025</v>
      </c>
      <c r="C803" s="2" t="s">
        <v>5019</v>
      </c>
      <c r="D803" t="s">
        <v>6149</v>
      </c>
      <c r="E803" s="2">
        <v>2</v>
      </c>
      <c r="F803" s="2" t="str">
        <f>_xlfn.XLOOKUP(C803,customers!$A$1:$A$1001,customers!$B$1:$B$1001,0)</f>
        <v>Boyce Tarte</v>
      </c>
      <c r="G803" s="2" t="s">
        <v>5021</v>
      </c>
      <c r="H803" s="2" t="str">
        <f>_xlfn.XLOOKUP(C803,customers!$A$1:$A$1001,customers!$G$1:$G$1001,0)</f>
        <v>United States</v>
      </c>
      <c r="I803" t="str">
        <f>_xlfn.XLOOKUP(D803,products!$A$1:$A$49,products!$B$1:$B$49,0)</f>
        <v>Rob</v>
      </c>
      <c r="J803" t="str">
        <f>_xlfn.XLOOKUP('data cleaned'!D803,products!$A$1:$A$49,products!$C$1:$C$49,0)</f>
        <v>D</v>
      </c>
      <c r="K803" s="5">
        <f>_xlfn.XLOOKUP('data cleaned'!D803,products!$A$1:$A$49,products!$D$1:$D$49,0)</f>
        <v>2.5</v>
      </c>
      <c r="L803" s="6">
        <f>_xlfn.XLOOKUP('data cleaned'!D803,products!$A$1:$A$49,products!$E$1:$E$49,0)</f>
        <v>20.584999999999997</v>
      </c>
      <c r="M803" s="6">
        <f>'data cleaned'!E803*'data cleaned'!L803</f>
        <v>41.169999999999995</v>
      </c>
      <c r="N803" t="str">
        <f t="shared" si="24"/>
        <v>Robusta</v>
      </c>
      <c r="O803" t="str">
        <f t="shared" si="25"/>
        <v>Dark</v>
      </c>
      <c r="P803" t="str">
        <f>_xlfn.XLOOKUP(worksheet[[#This Row],[Customer ID]],customers!$A$1:$A$1001,customers!$I$1:$I$1001,0)</f>
        <v>Yes</v>
      </c>
    </row>
    <row r="804" spans="1:16" x14ac:dyDescent="0.25">
      <c r="A804" s="2" t="s">
        <v>5024</v>
      </c>
      <c r="B804" s="4">
        <v>43902</v>
      </c>
      <c r="C804" s="2" t="s">
        <v>5025</v>
      </c>
      <c r="D804" t="s">
        <v>6163</v>
      </c>
      <c r="E804" s="2">
        <v>4</v>
      </c>
      <c r="F804" s="2" t="str">
        <f>_xlfn.XLOOKUP(C804,customers!$A$1:$A$1001,customers!$B$1:$B$1001,0)</f>
        <v>Caddric Krzysztofiak</v>
      </c>
      <c r="G804" s="2" t="s">
        <v>5027</v>
      </c>
      <c r="H804" s="2" t="str">
        <f>_xlfn.XLOOKUP(C804,customers!$A$1:$A$1001,customers!$G$1:$G$1001,0)</f>
        <v>United States</v>
      </c>
      <c r="I804" t="str">
        <f>_xlfn.XLOOKUP(D804,products!$A$1:$A$49,products!$B$1:$B$49,0)</f>
        <v>Rob</v>
      </c>
      <c r="J804" t="str">
        <f>_xlfn.XLOOKUP('data cleaned'!D804,products!$A$1:$A$49,products!$C$1:$C$49,0)</f>
        <v>D</v>
      </c>
      <c r="K804" s="5">
        <f>_xlfn.XLOOKUP('data cleaned'!D804,products!$A$1:$A$49,products!$D$1:$D$49,0)</f>
        <v>0.2</v>
      </c>
      <c r="L804" s="6">
        <f>_xlfn.XLOOKUP('data cleaned'!D804,products!$A$1:$A$49,products!$E$1:$E$49,0)</f>
        <v>2.6849999999999996</v>
      </c>
      <c r="M804" s="6">
        <f>'data cleaned'!E804*'data cleaned'!L804</f>
        <v>10.739999999999998</v>
      </c>
      <c r="N804" t="str">
        <f t="shared" si="24"/>
        <v>Robusta</v>
      </c>
      <c r="O804" t="str">
        <f t="shared" si="25"/>
        <v>Dark</v>
      </c>
      <c r="P804" t="str">
        <f>_xlfn.XLOOKUP(worksheet[[#This Row],[Customer ID]],customers!$A$1:$A$1001,customers!$I$1:$I$1001,0)</f>
        <v>No</v>
      </c>
    </row>
    <row r="805" spans="1:16" x14ac:dyDescent="0.25">
      <c r="A805" s="2" t="s">
        <v>5030</v>
      </c>
      <c r="B805" s="4">
        <v>43955</v>
      </c>
      <c r="C805" s="2" t="s">
        <v>5031</v>
      </c>
      <c r="D805" t="s">
        <v>6166</v>
      </c>
      <c r="E805" s="2">
        <v>4</v>
      </c>
      <c r="F805" s="2" t="str">
        <f>_xlfn.XLOOKUP(C805,customers!$A$1:$A$1001,customers!$B$1:$B$1001,0)</f>
        <v>Darn Penquet</v>
      </c>
      <c r="G805" s="2" t="s">
        <v>5033</v>
      </c>
      <c r="H805" s="2" t="str">
        <f>_xlfn.XLOOKUP(C805,customers!$A$1:$A$1001,customers!$G$1:$G$1001,0)</f>
        <v>United States</v>
      </c>
      <c r="I805" t="str">
        <f>_xlfn.XLOOKUP(D805,products!$A$1:$A$49,products!$B$1:$B$49,0)</f>
        <v>Exc</v>
      </c>
      <c r="J805" t="str">
        <f>_xlfn.XLOOKUP('data cleaned'!D805,products!$A$1:$A$49,products!$C$1:$C$49,0)</f>
        <v>M</v>
      </c>
      <c r="K805" s="5">
        <f>_xlfn.XLOOKUP('data cleaned'!D805,products!$A$1:$A$49,products!$D$1:$D$49,0)</f>
        <v>2.5</v>
      </c>
      <c r="L805" s="6">
        <f>_xlfn.XLOOKUP('data cleaned'!D805,products!$A$1:$A$49,products!$E$1:$E$49,0)</f>
        <v>31.624999999999996</v>
      </c>
      <c r="M805" s="6">
        <f>'data cleaned'!E805*'data cleaned'!L805</f>
        <v>126.49999999999999</v>
      </c>
      <c r="N805" t="str">
        <f t="shared" si="24"/>
        <v>Excelsa</v>
      </c>
      <c r="O805" t="str">
        <f t="shared" si="25"/>
        <v>Medium</v>
      </c>
      <c r="P805" t="str">
        <f>_xlfn.XLOOKUP(worksheet[[#This Row],[Customer ID]],customers!$A$1:$A$1001,customers!$I$1:$I$1001,0)</f>
        <v>No</v>
      </c>
    </row>
    <row r="806" spans="1:16" x14ac:dyDescent="0.25">
      <c r="A806" s="2" t="s">
        <v>5035</v>
      </c>
      <c r="B806" s="4">
        <v>44289</v>
      </c>
      <c r="C806" s="2" t="s">
        <v>5036</v>
      </c>
      <c r="D806" t="s">
        <v>6179</v>
      </c>
      <c r="E806" s="2">
        <v>2</v>
      </c>
      <c r="F806" s="2" t="str">
        <f>_xlfn.XLOOKUP(C806,customers!$A$1:$A$1001,customers!$B$1:$B$1001,0)</f>
        <v>Jammie Cloke</v>
      </c>
      <c r="G806" s="2" t="s">
        <v>6222</v>
      </c>
      <c r="H806" s="2" t="str">
        <f>_xlfn.XLOOKUP(C806,customers!$A$1:$A$1001,customers!$G$1:$G$1001,0)</f>
        <v>United Kingdom</v>
      </c>
      <c r="I806" t="str">
        <f>_xlfn.XLOOKUP(D806,products!$A$1:$A$49,products!$B$1:$B$49,0)</f>
        <v>Rob</v>
      </c>
      <c r="J806" t="str">
        <f>_xlfn.XLOOKUP('data cleaned'!D806,products!$A$1:$A$49,products!$C$1:$C$49,0)</f>
        <v>L</v>
      </c>
      <c r="K806" s="5">
        <f>_xlfn.XLOOKUP('data cleaned'!D806,products!$A$1:$A$49,products!$D$1:$D$49,0)</f>
        <v>1</v>
      </c>
      <c r="L806" s="6">
        <f>_xlfn.XLOOKUP('data cleaned'!D806,products!$A$1:$A$49,products!$E$1:$E$49,0)</f>
        <v>11.95</v>
      </c>
      <c r="M806" s="6">
        <f>'data cleaned'!E806*'data cleaned'!L806</f>
        <v>23.9</v>
      </c>
      <c r="N806" t="str">
        <f t="shared" si="24"/>
        <v>Robusta</v>
      </c>
      <c r="O806" t="str">
        <f t="shared" si="25"/>
        <v>Light</v>
      </c>
      <c r="P806" t="str">
        <f>_xlfn.XLOOKUP(worksheet[[#This Row],[Customer ID]],customers!$A$1:$A$1001,customers!$I$1:$I$1001,0)</f>
        <v>No</v>
      </c>
    </row>
    <row r="807" spans="1:16" x14ac:dyDescent="0.25">
      <c r="A807" s="2" t="s">
        <v>5040</v>
      </c>
      <c r="B807" s="4">
        <v>44713</v>
      </c>
      <c r="C807" s="2" t="s">
        <v>5041</v>
      </c>
      <c r="D807" t="s">
        <v>6146</v>
      </c>
      <c r="E807" s="2">
        <v>1</v>
      </c>
      <c r="F807" s="2" t="str">
        <f>_xlfn.XLOOKUP(C807,customers!$A$1:$A$1001,customers!$B$1:$B$1001,0)</f>
        <v>Chester Clowton</v>
      </c>
      <c r="G807" s="2" t="s">
        <v>6222</v>
      </c>
      <c r="H807" s="2" t="str">
        <f>_xlfn.XLOOKUP(C807,customers!$A$1:$A$1001,customers!$G$1:$G$1001,0)</f>
        <v>United States</v>
      </c>
      <c r="I807" t="str">
        <f>_xlfn.XLOOKUP(D807,products!$A$1:$A$49,products!$B$1:$B$49,0)</f>
        <v>Rob</v>
      </c>
      <c r="J807" t="str">
        <f>_xlfn.XLOOKUP('data cleaned'!D807,products!$A$1:$A$49,products!$C$1:$C$49,0)</f>
        <v>M</v>
      </c>
      <c r="K807" s="5">
        <f>_xlfn.XLOOKUP('data cleaned'!D807,products!$A$1:$A$49,products!$D$1:$D$49,0)</f>
        <v>0.5</v>
      </c>
      <c r="L807" s="6">
        <f>_xlfn.XLOOKUP('data cleaned'!D807,products!$A$1:$A$49,products!$E$1:$E$49,0)</f>
        <v>5.97</v>
      </c>
      <c r="M807" s="6">
        <f>'data cleaned'!E807*'data cleaned'!L807</f>
        <v>5.97</v>
      </c>
      <c r="N807" t="str">
        <f t="shared" si="24"/>
        <v>Robusta</v>
      </c>
      <c r="O807" t="str">
        <f t="shared" si="25"/>
        <v>Medium</v>
      </c>
      <c r="P807" t="str">
        <f>_xlfn.XLOOKUP(worksheet[[#This Row],[Customer ID]],customers!$A$1:$A$1001,customers!$I$1:$I$1001,0)</f>
        <v>No</v>
      </c>
    </row>
    <row r="808" spans="1:16" x14ac:dyDescent="0.25">
      <c r="A808" s="2" t="s">
        <v>5046</v>
      </c>
      <c r="B808" s="4">
        <v>44241</v>
      </c>
      <c r="C808" s="2" t="s">
        <v>5047</v>
      </c>
      <c r="D808" t="s">
        <v>6150</v>
      </c>
      <c r="E808" s="2">
        <v>2</v>
      </c>
      <c r="F808" s="2" t="str">
        <f>_xlfn.XLOOKUP(C808,customers!$A$1:$A$1001,customers!$B$1:$B$1001,0)</f>
        <v>Kathleen Diable</v>
      </c>
      <c r="G808" s="2" t="s">
        <v>6222</v>
      </c>
      <c r="H808" s="2" t="str">
        <f>_xlfn.XLOOKUP(C808,customers!$A$1:$A$1001,customers!$G$1:$G$1001,0)</f>
        <v>United Kingdom</v>
      </c>
      <c r="I808" t="str">
        <f>_xlfn.XLOOKUP(D808,products!$A$1:$A$49,products!$B$1:$B$49,0)</f>
        <v>Lib</v>
      </c>
      <c r="J808" t="str">
        <f>_xlfn.XLOOKUP('data cleaned'!D808,products!$A$1:$A$49,products!$C$1:$C$49,0)</f>
        <v>D</v>
      </c>
      <c r="K808" s="5">
        <f>_xlfn.XLOOKUP('data cleaned'!D808,products!$A$1:$A$49,products!$D$1:$D$49,0)</f>
        <v>0.2</v>
      </c>
      <c r="L808" s="6">
        <f>_xlfn.XLOOKUP('data cleaned'!D808,products!$A$1:$A$49,products!$E$1:$E$49,0)</f>
        <v>3.8849999999999998</v>
      </c>
      <c r="M808" s="6">
        <f>'data cleaned'!E808*'data cleaned'!L808</f>
        <v>7.77</v>
      </c>
      <c r="N808" t="str">
        <f t="shared" si="24"/>
        <v>Liberica</v>
      </c>
      <c r="O808" t="str">
        <f t="shared" si="25"/>
        <v>Dark</v>
      </c>
      <c r="P808" t="str">
        <f>_xlfn.XLOOKUP(worksheet[[#This Row],[Customer ID]],customers!$A$1:$A$1001,customers!$I$1:$I$1001,0)</f>
        <v>Yes</v>
      </c>
    </row>
    <row r="809" spans="1:16" x14ac:dyDescent="0.25">
      <c r="A809" s="2" t="s">
        <v>5050</v>
      </c>
      <c r="B809" s="4">
        <v>44543</v>
      </c>
      <c r="C809" s="2" t="s">
        <v>5051</v>
      </c>
      <c r="D809" t="s">
        <v>6169</v>
      </c>
      <c r="E809" s="2">
        <v>3</v>
      </c>
      <c r="F809" s="2" t="str">
        <f>_xlfn.XLOOKUP(C809,customers!$A$1:$A$1001,customers!$B$1:$B$1001,0)</f>
        <v>Koren Ferretti</v>
      </c>
      <c r="G809" s="2" t="s">
        <v>5053</v>
      </c>
      <c r="H809" s="2" t="str">
        <f>_xlfn.XLOOKUP(C809,customers!$A$1:$A$1001,customers!$G$1:$G$1001,0)</f>
        <v>Ireland</v>
      </c>
      <c r="I809" t="str">
        <f>_xlfn.XLOOKUP(D809,products!$A$1:$A$49,products!$B$1:$B$49,0)</f>
        <v>Lib</v>
      </c>
      <c r="J809" t="str">
        <f>_xlfn.XLOOKUP('data cleaned'!D809,products!$A$1:$A$49,products!$C$1:$C$49,0)</f>
        <v>D</v>
      </c>
      <c r="K809" s="5">
        <f>_xlfn.XLOOKUP('data cleaned'!D809,products!$A$1:$A$49,products!$D$1:$D$49,0)</f>
        <v>0.5</v>
      </c>
      <c r="L809" s="6">
        <f>_xlfn.XLOOKUP('data cleaned'!D809,products!$A$1:$A$49,products!$E$1:$E$49,0)</f>
        <v>7.77</v>
      </c>
      <c r="M809" s="6">
        <f>'data cleaned'!E809*'data cleaned'!L809</f>
        <v>23.31</v>
      </c>
      <c r="N809" t="str">
        <f t="shared" si="24"/>
        <v>Liberica</v>
      </c>
      <c r="O809" t="str">
        <f t="shared" si="25"/>
        <v>Dark</v>
      </c>
      <c r="P809" t="str">
        <f>_xlfn.XLOOKUP(worksheet[[#This Row],[Customer ID]],customers!$A$1:$A$1001,customers!$I$1:$I$1001,0)</f>
        <v>No</v>
      </c>
    </row>
    <row r="810" spans="1:16" x14ac:dyDescent="0.25">
      <c r="A810" s="2" t="s">
        <v>5056</v>
      </c>
      <c r="B810" s="4">
        <v>43868</v>
      </c>
      <c r="C810" s="2" t="s">
        <v>5113</v>
      </c>
      <c r="D810" t="s">
        <v>6142</v>
      </c>
      <c r="E810" s="2">
        <v>5</v>
      </c>
      <c r="F810" s="2" t="str">
        <f>_xlfn.XLOOKUP(C810,customers!$A$1:$A$1001,customers!$B$1:$B$1001,0)</f>
        <v>Allis Wilmore</v>
      </c>
      <c r="G810" s="2" t="s">
        <v>6222</v>
      </c>
      <c r="H810" s="2" t="str">
        <f>_xlfn.XLOOKUP(C810,customers!$A$1:$A$1001,customers!$G$1:$G$1001,0)</f>
        <v>United States</v>
      </c>
      <c r="I810" t="str">
        <f>_xlfn.XLOOKUP(D810,products!$A$1:$A$49,products!$B$1:$B$49,0)</f>
        <v>Rob</v>
      </c>
      <c r="J810" t="str">
        <f>_xlfn.XLOOKUP('data cleaned'!D810,products!$A$1:$A$49,products!$C$1:$C$49,0)</f>
        <v>L</v>
      </c>
      <c r="K810" s="5">
        <f>_xlfn.XLOOKUP('data cleaned'!D810,products!$A$1:$A$49,products!$D$1:$D$49,0)</f>
        <v>2.5</v>
      </c>
      <c r="L810" s="6">
        <f>_xlfn.XLOOKUP('data cleaned'!D810,products!$A$1:$A$49,products!$E$1:$E$49,0)</f>
        <v>27.484999999999996</v>
      </c>
      <c r="M810" s="6">
        <f>'data cleaned'!E810*'data cleaned'!L810</f>
        <v>137.42499999999998</v>
      </c>
      <c r="N810" t="str">
        <f t="shared" si="24"/>
        <v>Robusta</v>
      </c>
      <c r="O810" t="str">
        <f t="shared" si="25"/>
        <v>Light</v>
      </c>
      <c r="P810" t="str">
        <f>_xlfn.XLOOKUP(worksheet[[#This Row],[Customer ID]],customers!$A$1:$A$1001,customers!$I$1:$I$1001,0)</f>
        <v>No</v>
      </c>
    </row>
    <row r="811" spans="1:16" x14ac:dyDescent="0.25">
      <c r="A811" s="2" t="s">
        <v>5062</v>
      </c>
      <c r="B811" s="4">
        <v>44235</v>
      </c>
      <c r="C811" s="2" t="s">
        <v>5063</v>
      </c>
      <c r="D811" t="s">
        <v>6163</v>
      </c>
      <c r="E811" s="2">
        <v>3</v>
      </c>
      <c r="F811" s="2" t="str">
        <f>_xlfn.XLOOKUP(C811,customers!$A$1:$A$1001,customers!$B$1:$B$1001,0)</f>
        <v>Chaddie Bennie</v>
      </c>
      <c r="G811" s="2" t="s">
        <v>6222</v>
      </c>
      <c r="H811" s="2" t="str">
        <f>_xlfn.XLOOKUP(C811,customers!$A$1:$A$1001,customers!$G$1:$G$1001,0)</f>
        <v>United States</v>
      </c>
      <c r="I811" t="str">
        <f>_xlfn.XLOOKUP(D811,products!$A$1:$A$49,products!$B$1:$B$49,0)</f>
        <v>Rob</v>
      </c>
      <c r="J811" t="str">
        <f>_xlfn.XLOOKUP('data cleaned'!D811,products!$A$1:$A$49,products!$C$1:$C$49,0)</f>
        <v>D</v>
      </c>
      <c r="K811" s="5">
        <f>_xlfn.XLOOKUP('data cleaned'!D811,products!$A$1:$A$49,products!$D$1:$D$49,0)</f>
        <v>0.2</v>
      </c>
      <c r="L811" s="6">
        <f>_xlfn.XLOOKUP('data cleaned'!D811,products!$A$1:$A$49,products!$E$1:$E$49,0)</f>
        <v>2.6849999999999996</v>
      </c>
      <c r="M811" s="6">
        <f>'data cleaned'!E811*'data cleaned'!L811</f>
        <v>8.0549999999999997</v>
      </c>
      <c r="N811" t="str">
        <f t="shared" si="24"/>
        <v>Robusta</v>
      </c>
      <c r="O811" t="str">
        <f t="shared" si="25"/>
        <v>Dark</v>
      </c>
      <c r="P811" t="str">
        <f>_xlfn.XLOOKUP(worksheet[[#This Row],[Customer ID]],customers!$A$1:$A$1001,customers!$I$1:$I$1001,0)</f>
        <v>Yes</v>
      </c>
    </row>
    <row r="812" spans="1:16" x14ac:dyDescent="0.25">
      <c r="A812" s="2" t="s">
        <v>5067</v>
      </c>
      <c r="B812" s="4">
        <v>44054</v>
      </c>
      <c r="C812" s="2" t="s">
        <v>5068</v>
      </c>
      <c r="D812" t="s">
        <v>6161</v>
      </c>
      <c r="E812" s="2">
        <v>3</v>
      </c>
      <c r="F812" s="2" t="str">
        <f>_xlfn.XLOOKUP(C812,customers!$A$1:$A$1001,customers!$B$1:$B$1001,0)</f>
        <v>Alberta Balsdone</v>
      </c>
      <c r="G812" s="2" t="s">
        <v>5070</v>
      </c>
      <c r="H812" s="2" t="str">
        <f>_xlfn.XLOOKUP(C812,customers!$A$1:$A$1001,customers!$G$1:$G$1001,0)</f>
        <v>United States</v>
      </c>
      <c r="I812" t="str">
        <f>_xlfn.XLOOKUP(D812,products!$A$1:$A$49,products!$B$1:$B$49,0)</f>
        <v>Lib</v>
      </c>
      <c r="J812" t="str">
        <f>_xlfn.XLOOKUP('data cleaned'!D812,products!$A$1:$A$49,products!$C$1:$C$49,0)</f>
        <v>L</v>
      </c>
      <c r="K812" s="5">
        <f>_xlfn.XLOOKUP('data cleaned'!D812,products!$A$1:$A$49,products!$D$1:$D$49,0)</f>
        <v>0.5</v>
      </c>
      <c r="L812" s="6">
        <f>_xlfn.XLOOKUP('data cleaned'!D812,products!$A$1:$A$49,products!$E$1:$E$49,0)</f>
        <v>9.51</v>
      </c>
      <c r="M812" s="6">
        <f>'data cleaned'!E812*'data cleaned'!L812</f>
        <v>28.53</v>
      </c>
      <c r="N812" t="str">
        <f t="shared" si="24"/>
        <v>Liberica</v>
      </c>
      <c r="O812" t="str">
        <f t="shared" si="25"/>
        <v>Light</v>
      </c>
      <c r="P812" t="str">
        <f>_xlfn.XLOOKUP(worksheet[[#This Row],[Customer ID]],customers!$A$1:$A$1001,customers!$I$1:$I$1001,0)</f>
        <v>No</v>
      </c>
    </row>
    <row r="813" spans="1:16" x14ac:dyDescent="0.25">
      <c r="A813" s="2" t="s">
        <v>5073</v>
      </c>
      <c r="B813" s="4">
        <v>44114</v>
      </c>
      <c r="C813" s="2" t="s">
        <v>5074</v>
      </c>
      <c r="D813" t="s">
        <v>6155</v>
      </c>
      <c r="E813" s="2">
        <v>6</v>
      </c>
      <c r="F813" s="2" t="str">
        <f>_xlfn.XLOOKUP(C813,customers!$A$1:$A$1001,customers!$B$1:$B$1001,0)</f>
        <v>Brice Romera</v>
      </c>
      <c r="G813" s="2" t="s">
        <v>5076</v>
      </c>
      <c r="H813" s="2" t="str">
        <f>_xlfn.XLOOKUP(C813,customers!$A$1:$A$1001,customers!$G$1:$G$1001,0)</f>
        <v>Ireland</v>
      </c>
      <c r="I813" t="str">
        <f>_xlfn.XLOOKUP(D813,products!$A$1:$A$49,products!$B$1:$B$49,0)</f>
        <v>Ara</v>
      </c>
      <c r="J813" t="str">
        <f>_xlfn.XLOOKUP('data cleaned'!D813,products!$A$1:$A$49,products!$C$1:$C$49,0)</f>
        <v>M</v>
      </c>
      <c r="K813" s="5">
        <f>_xlfn.XLOOKUP('data cleaned'!D813,products!$A$1:$A$49,products!$D$1:$D$49,0)</f>
        <v>1</v>
      </c>
      <c r="L813" s="6">
        <f>_xlfn.XLOOKUP('data cleaned'!D813,products!$A$1:$A$49,products!$E$1:$E$49,0)</f>
        <v>11.25</v>
      </c>
      <c r="M813" s="6">
        <f>'data cleaned'!E813*'data cleaned'!L813</f>
        <v>67.5</v>
      </c>
      <c r="N813" t="str">
        <f t="shared" si="24"/>
        <v>Arabica</v>
      </c>
      <c r="O813" t="str">
        <f t="shared" si="25"/>
        <v>Medium</v>
      </c>
      <c r="P813" t="str">
        <f>_xlfn.XLOOKUP(worksheet[[#This Row],[Customer ID]],customers!$A$1:$A$1001,customers!$I$1:$I$1001,0)</f>
        <v>Yes</v>
      </c>
    </row>
    <row r="814" spans="1:16" x14ac:dyDescent="0.25">
      <c r="A814" s="2" t="s">
        <v>5073</v>
      </c>
      <c r="B814" s="4">
        <v>44114</v>
      </c>
      <c r="C814" s="2" t="s">
        <v>5074</v>
      </c>
      <c r="D814" t="s">
        <v>6165</v>
      </c>
      <c r="E814" s="2">
        <v>6</v>
      </c>
      <c r="F814" s="2" t="str">
        <f>_xlfn.XLOOKUP(C814,customers!$A$1:$A$1001,customers!$B$1:$B$1001,0)</f>
        <v>Brice Romera</v>
      </c>
      <c r="G814" s="2" t="s">
        <v>5076</v>
      </c>
      <c r="H814" s="2" t="str">
        <f>_xlfn.XLOOKUP(C814,customers!$A$1:$A$1001,customers!$G$1:$G$1001,0)</f>
        <v>Ireland</v>
      </c>
      <c r="I814" t="str">
        <f>_xlfn.XLOOKUP(D814,products!$A$1:$A$49,products!$B$1:$B$49,0)</f>
        <v>Lib</v>
      </c>
      <c r="J814" t="str">
        <f>_xlfn.XLOOKUP('data cleaned'!D814,products!$A$1:$A$49,products!$C$1:$C$49,0)</f>
        <v>D</v>
      </c>
      <c r="K814" s="5">
        <f>_xlfn.XLOOKUP('data cleaned'!D814,products!$A$1:$A$49,products!$D$1:$D$49,0)</f>
        <v>2.5</v>
      </c>
      <c r="L814" s="6">
        <f>_xlfn.XLOOKUP('data cleaned'!D814,products!$A$1:$A$49,products!$E$1:$E$49,0)</f>
        <v>29.784999999999997</v>
      </c>
      <c r="M814" s="6">
        <f>'data cleaned'!E814*'data cleaned'!L814</f>
        <v>178.70999999999998</v>
      </c>
      <c r="N814" t="str">
        <f t="shared" si="24"/>
        <v>Liberica</v>
      </c>
      <c r="O814" t="str">
        <f t="shared" si="25"/>
        <v>Dark</v>
      </c>
      <c r="P814" t="str">
        <f>_xlfn.XLOOKUP(worksheet[[#This Row],[Customer ID]],customers!$A$1:$A$1001,customers!$I$1:$I$1001,0)</f>
        <v>Yes</v>
      </c>
    </row>
    <row r="815" spans="1:16" x14ac:dyDescent="0.25">
      <c r="A815" s="2" t="s">
        <v>5084</v>
      </c>
      <c r="B815" s="4">
        <v>44173</v>
      </c>
      <c r="C815" s="2" t="s">
        <v>5085</v>
      </c>
      <c r="D815" t="s">
        <v>6166</v>
      </c>
      <c r="E815" s="2">
        <v>1</v>
      </c>
      <c r="F815" s="2" t="str">
        <f>_xlfn.XLOOKUP(C815,customers!$A$1:$A$1001,customers!$B$1:$B$1001,0)</f>
        <v>Conchita Bryde</v>
      </c>
      <c r="G815" s="2" t="s">
        <v>5087</v>
      </c>
      <c r="H815" s="2" t="str">
        <f>_xlfn.XLOOKUP(C815,customers!$A$1:$A$1001,customers!$G$1:$G$1001,0)</f>
        <v>United States</v>
      </c>
      <c r="I815" t="str">
        <f>_xlfn.XLOOKUP(D815,products!$A$1:$A$49,products!$B$1:$B$49,0)</f>
        <v>Exc</v>
      </c>
      <c r="J815" t="str">
        <f>_xlfn.XLOOKUP('data cleaned'!D815,products!$A$1:$A$49,products!$C$1:$C$49,0)</f>
        <v>M</v>
      </c>
      <c r="K815" s="5">
        <f>_xlfn.XLOOKUP('data cleaned'!D815,products!$A$1:$A$49,products!$D$1:$D$49,0)</f>
        <v>2.5</v>
      </c>
      <c r="L815" s="6">
        <f>_xlfn.XLOOKUP('data cleaned'!D815,products!$A$1:$A$49,products!$E$1:$E$49,0)</f>
        <v>31.624999999999996</v>
      </c>
      <c r="M815" s="6">
        <f>'data cleaned'!E815*'data cleaned'!L815</f>
        <v>31.624999999999996</v>
      </c>
      <c r="N815" t="str">
        <f t="shared" si="24"/>
        <v>Excelsa</v>
      </c>
      <c r="O815" t="str">
        <f t="shared" si="25"/>
        <v>Medium</v>
      </c>
      <c r="P815" t="str">
        <f>_xlfn.XLOOKUP(worksheet[[#This Row],[Customer ID]],customers!$A$1:$A$1001,customers!$I$1:$I$1001,0)</f>
        <v>Yes</v>
      </c>
    </row>
    <row r="816" spans="1:16" x14ac:dyDescent="0.25">
      <c r="A816" s="2" t="s">
        <v>5090</v>
      </c>
      <c r="B816" s="4">
        <v>43573</v>
      </c>
      <c r="C816" s="2" t="s">
        <v>5091</v>
      </c>
      <c r="D816" t="s">
        <v>6184</v>
      </c>
      <c r="E816" s="2">
        <v>2</v>
      </c>
      <c r="F816" s="2" t="str">
        <f>_xlfn.XLOOKUP(C816,customers!$A$1:$A$1001,customers!$B$1:$B$1001,0)</f>
        <v>Silvanus Enefer</v>
      </c>
      <c r="G816" s="2" t="s">
        <v>5093</v>
      </c>
      <c r="H816" s="2" t="str">
        <f>_xlfn.XLOOKUP(C816,customers!$A$1:$A$1001,customers!$G$1:$G$1001,0)</f>
        <v>United States</v>
      </c>
      <c r="I816" t="str">
        <f>_xlfn.XLOOKUP(D816,products!$A$1:$A$49,products!$B$1:$B$49,0)</f>
        <v>Exc</v>
      </c>
      <c r="J816" t="str">
        <f>_xlfn.XLOOKUP('data cleaned'!D816,products!$A$1:$A$49,products!$C$1:$C$49,0)</f>
        <v>L</v>
      </c>
      <c r="K816" s="5">
        <f>_xlfn.XLOOKUP('data cleaned'!D816,products!$A$1:$A$49,products!$D$1:$D$49,0)</f>
        <v>0.2</v>
      </c>
      <c r="L816" s="6">
        <f>_xlfn.XLOOKUP('data cleaned'!D816,products!$A$1:$A$49,products!$E$1:$E$49,0)</f>
        <v>4.4550000000000001</v>
      </c>
      <c r="M816" s="6">
        <f>'data cleaned'!E816*'data cleaned'!L816</f>
        <v>8.91</v>
      </c>
      <c r="N816" t="str">
        <f t="shared" si="24"/>
        <v>Excelsa</v>
      </c>
      <c r="O816" t="str">
        <f t="shared" si="25"/>
        <v>Light</v>
      </c>
      <c r="P816" t="str">
        <f>_xlfn.XLOOKUP(worksheet[[#This Row],[Customer ID]],customers!$A$1:$A$1001,customers!$I$1:$I$1001,0)</f>
        <v>No</v>
      </c>
    </row>
    <row r="817" spans="1:16" x14ac:dyDescent="0.25">
      <c r="A817" s="2" t="s">
        <v>5096</v>
      </c>
      <c r="B817" s="4">
        <v>44200</v>
      </c>
      <c r="C817" s="2" t="s">
        <v>5097</v>
      </c>
      <c r="D817" t="s">
        <v>6146</v>
      </c>
      <c r="E817" s="2">
        <v>6</v>
      </c>
      <c r="F817" s="2" t="str">
        <f>_xlfn.XLOOKUP(C817,customers!$A$1:$A$1001,customers!$B$1:$B$1001,0)</f>
        <v>Lenci Haggerstone</v>
      </c>
      <c r="G817" s="2" t="s">
        <v>5099</v>
      </c>
      <c r="H817" s="2" t="str">
        <f>_xlfn.XLOOKUP(C817,customers!$A$1:$A$1001,customers!$G$1:$G$1001,0)</f>
        <v>United States</v>
      </c>
      <c r="I817" t="str">
        <f>_xlfn.XLOOKUP(D817,products!$A$1:$A$49,products!$B$1:$B$49,0)</f>
        <v>Rob</v>
      </c>
      <c r="J817" t="str">
        <f>_xlfn.XLOOKUP('data cleaned'!D817,products!$A$1:$A$49,products!$C$1:$C$49,0)</f>
        <v>M</v>
      </c>
      <c r="K817" s="5">
        <f>_xlfn.XLOOKUP('data cleaned'!D817,products!$A$1:$A$49,products!$D$1:$D$49,0)</f>
        <v>0.5</v>
      </c>
      <c r="L817" s="6">
        <f>_xlfn.XLOOKUP('data cleaned'!D817,products!$A$1:$A$49,products!$E$1:$E$49,0)</f>
        <v>5.97</v>
      </c>
      <c r="M817" s="6">
        <f>'data cleaned'!E817*'data cleaned'!L817</f>
        <v>35.82</v>
      </c>
      <c r="N817" t="str">
        <f t="shared" si="24"/>
        <v>Robusta</v>
      </c>
      <c r="O817" t="str">
        <f t="shared" si="25"/>
        <v>Medium</v>
      </c>
      <c r="P817" t="str">
        <f>_xlfn.XLOOKUP(worksheet[[#This Row],[Customer ID]],customers!$A$1:$A$1001,customers!$I$1:$I$1001,0)</f>
        <v>No</v>
      </c>
    </row>
    <row r="818" spans="1:16" x14ac:dyDescent="0.25">
      <c r="A818" s="2" t="s">
        <v>5102</v>
      </c>
      <c r="B818" s="4">
        <v>43534</v>
      </c>
      <c r="C818" s="2" t="s">
        <v>5103</v>
      </c>
      <c r="D818" t="s">
        <v>6161</v>
      </c>
      <c r="E818" s="2">
        <v>4</v>
      </c>
      <c r="F818" s="2" t="str">
        <f>_xlfn.XLOOKUP(C818,customers!$A$1:$A$1001,customers!$B$1:$B$1001,0)</f>
        <v>Marvin Gundry</v>
      </c>
      <c r="G818" s="2" t="s">
        <v>5105</v>
      </c>
      <c r="H818" s="2" t="str">
        <f>_xlfn.XLOOKUP(C818,customers!$A$1:$A$1001,customers!$G$1:$G$1001,0)</f>
        <v>Ireland</v>
      </c>
      <c r="I818" t="str">
        <f>_xlfn.XLOOKUP(D818,products!$A$1:$A$49,products!$B$1:$B$49,0)</f>
        <v>Lib</v>
      </c>
      <c r="J818" t="str">
        <f>_xlfn.XLOOKUP('data cleaned'!D818,products!$A$1:$A$49,products!$C$1:$C$49,0)</f>
        <v>L</v>
      </c>
      <c r="K818" s="5">
        <f>_xlfn.XLOOKUP('data cleaned'!D818,products!$A$1:$A$49,products!$D$1:$D$49,0)</f>
        <v>0.5</v>
      </c>
      <c r="L818" s="6">
        <f>_xlfn.XLOOKUP('data cleaned'!D818,products!$A$1:$A$49,products!$E$1:$E$49,0)</f>
        <v>9.51</v>
      </c>
      <c r="M818" s="6">
        <f>'data cleaned'!E818*'data cleaned'!L818</f>
        <v>38.04</v>
      </c>
      <c r="N818" t="str">
        <f t="shared" si="24"/>
        <v>Liberica</v>
      </c>
      <c r="O818" t="str">
        <f t="shared" si="25"/>
        <v>Light</v>
      </c>
      <c r="P818" t="str">
        <f>_xlfn.XLOOKUP(worksheet[[#This Row],[Customer ID]],customers!$A$1:$A$1001,customers!$I$1:$I$1001,0)</f>
        <v>No</v>
      </c>
    </row>
    <row r="819" spans="1:16" x14ac:dyDescent="0.25">
      <c r="A819" s="2" t="s">
        <v>5107</v>
      </c>
      <c r="B819" s="4">
        <v>43798</v>
      </c>
      <c r="C819" s="2" t="s">
        <v>5108</v>
      </c>
      <c r="D819" t="s">
        <v>6169</v>
      </c>
      <c r="E819" s="2">
        <v>2</v>
      </c>
      <c r="F819" s="2" t="str">
        <f>_xlfn.XLOOKUP(C819,customers!$A$1:$A$1001,customers!$B$1:$B$1001,0)</f>
        <v>Bayard Wellan</v>
      </c>
      <c r="G819" s="2" t="s">
        <v>5110</v>
      </c>
      <c r="H819" s="2" t="str">
        <f>_xlfn.XLOOKUP(C819,customers!$A$1:$A$1001,customers!$G$1:$G$1001,0)</f>
        <v>United States</v>
      </c>
      <c r="I819" t="str">
        <f>_xlfn.XLOOKUP(D819,products!$A$1:$A$49,products!$B$1:$B$49,0)</f>
        <v>Lib</v>
      </c>
      <c r="J819" t="str">
        <f>_xlfn.XLOOKUP('data cleaned'!D819,products!$A$1:$A$49,products!$C$1:$C$49,0)</f>
        <v>D</v>
      </c>
      <c r="K819" s="5">
        <f>_xlfn.XLOOKUP('data cleaned'!D819,products!$A$1:$A$49,products!$D$1:$D$49,0)</f>
        <v>0.5</v>
      </c>
      <c r="L819" s="6">
        <f>_xlfn.XLOOKUP('data cleaned'!D819,products!$A$1:$A$49,products!$E$1:$E$49,0)</f>
        <v>7.77</v>
      </c>
      <c r="M819" s="6">
        <f>'data cleaned'!E819*'data cleaned'!L819</f>
        <v>15.54</v>
      </c>
      <c r="N819" t="str">
        <f t="shared" si="24"/>
        <v>Liberica</v>
      </c>
      <c r="O819" t="str">
        <f t="shared" si="25"/>
        <v>Dark</v>
      </c>
      <c r="P819" t="str">
        <f>_xlfn.XLOOKUP(worksheet[[#This Row],[Customer ID]],customers!$A$1:$A$1001,customers!$I$1:$I$1001,0)</f>
        <v>No</v>
      </c>
    </row>
    <row r="820" spans="1:16" x14ac:dyDescent="0.25">
      <c r="A820" s="2" t="s">
        <v>5112</v>
      </c>
      <c r="B820" s="4">
        <v>44761</v>
      </c>
      <c r="C820" s="2" t="s">
        <v>5113</v>
      </c>
      <c r="D820" t="s">
        <v>6170</v>
      </c>
      <c r="E820" s="2">
        <v>5</v>
      </c>
      <c r="F820" s="2" t="str">
        <f>_xlfn.XLOOKUP(C820,customers!$A$1:$A$1001,customers!$B$1:$B$1001,0)</f>
        <v>Allis Wilmore</v>
      </c>
      <c r="G820" s="2" t="s">
        <v>6222</v>
      </c>
      <c r="H820" s="2" t="str">
        <f>_xlfn.XLOOKUP(C820,customers!$A$1:$A$1001,customers!$G$1:$G$1001,0)</f>
        <v>United States</v>
      </c>
      <c r="I820" t="str">
        <f>_xlfn.XLOOKUP(D820,products!$A$1:$A$49,products!$B$1:$B$49,0)</f>
        <v>Lib</v>
      </c>
      <c r="J820" t="str">
        <f>_xlfn.XLOOKUP('data cleaned'!D820,products!$A$1:$A$49,products!$C$1:$C$49,0)</f>
        <v>L</v>
      </c>
      <c r="K820" s="5">
        <f>_xlfn.XLOOKUP('data cleaned'!D820,products!$A$1:$A$49,products!$D$1:$D$49,0)</f>
        <v>1</v>
      </c>
      <c r="L820" s="6">
        <f>_xlfn.XLOOKUP('data cleaned'!D820,products!$A$1:$A$49,products!$E$1:$E$49,0)</f>
        <v>15.85</v>
      </c>
      <c r="M820" s="6">
        <f>'data cleaned'!E820*'data cleaned'!L820</f>
        <v>79.25</v>
      </c>
      <c r="N820" t="str">
        <f t="shared" si="24"/>
        <v>Liberica</v>
      </c>
      <c r="O820" t="str">
        <f t="shared" si="25"/>
        <v>Light</v>
      </c>
      <c r="P820" t="str">
        <f>_xlfn.XLOOKUP(worksheet[[#This Row],[Customer ID]],customers!$A$1:$A$1001,customers!$I$1:$I$1001,0)</f>
        <v>No</v>
      </c>
    </row>
    <row r="821" spans="1:16" x14ac:dyDescent="0.25">
      <c r="A821" s="2" t="s">
        <v>5117</v>
      </c>
      <c r="B821" s="4">
        <v>44008</v>
      </c>
      <c r="C821" s="2" t="s">
        <v>5118</v>
      </c>
      <c r="D821" t="s">
        <v>6145</v>
      </c>
      <c r="E821" s="2">
        <v>1</v>
      </c>
      <c r="F821" s="2" t="str">
        <f>_xlfn.XLOOKUP(C821,customers!$A$1:$A$1001,customers!$B$1:$B$1001,0)</f>
        <v>Caddric Atcheson</v>
      </c>
      <c r="G821" s="2" t="s">
        <v>5120</v>
      </c>
      <c r="H821" s="2" t="str">
        <f>_xlfn.XLOOKUP(C821,customers!$A$1:$A$1001,customers!$G$1:$G$1001,0)</f>
        <v>United States</v>
      </c>
      <c r="I821" t="str">
        <f>_xlfn.XLOOKUP(D821,products!$A$1:$A$49,products!$B$1:$B$49,0)</f>
        <v>Lib</v>
      </c>
      <c r="J821" t="str">
        <f>_xlfn.XLOOKUP('data cleaned'!D821,products!$A$1:$A$49,products!$C$1:$C$49,0)</f>
        <v>L</v>
      </c>
      <c r="K821" s="5">
        <f>_xlfn.XLOOKUP('data cleaned'!D821,products!$A$1:$A$49,products!$D$1:$D$49,0)</f>
        <v>0.2</v>
      </c>
      <c r="L821" s="6">
        <f>_xlfn.XLOOKUP('data cleaned'!D821,products!$A$1:$A$49,products!$E$1:$E$49,0)</f>
        <v>4.7549999999999999</v>
      </c>
      <c r="M821" s="6">
        <f>'data cleaned'!E821*'data cleaned'!L821</f>
        <v>4.7549999999999999</v>
      </c>
      <c r="N821" t="str">
        <f t="shared" si="24"/>
        <v>Liberica</v>
      </c>
      <c r="O821" t="str">
        <f t="shared" si="25"/>
        <v>Light</v>
      </c>
      <c r="P821" t="str">
        <f>_xlfn.XLOOKUP(worksheet[[#This Row],[Customer ID]],customers!$A$1:$A$1001,customers!$I$1:$I$1001,0)</f>
        <v>Yes</v>
      </c>
    </row>
    <row r="822" spans="1:16" x14ac:dyDescent="0.25">
      <c r="A822" s="2" t="s">
        <v>5123</v>
      </c>
      <c r="B822" s="4">
        <v>43510</v>
      </c>
      <c r="C822" s="2" t="s">
        <v>5124</v>
      </c>
      <c r="D822" t="s">
        <v>6141</v>
      </c>
      <c r="E822" s="2">
        <v>4</v>
      </c>
      <c r="F822" s="2" t="str">
        <f>_xlfn.XLOOKUP(C822,customers!$A$1:$A$1001,customers!$B$1:$B$1001,0)</f>
        <v>Eustace Stenton</v>
      </c>
      <c r="G822" s="2" t="s">
        <v>5126</v>
      </c>
      <c r="H822" s="2" t="str">
        <f>_xlfn.XLOOKUP(C822,customers!$A$1:$A$1001,customers!$G$1:$G$1001,0)</f>
        <v>United States</v>
      </c>
      <c r="I822" t="str">
        <f>_xlfn.XLOOKUP(D822,products!$A$1:$A$49,products!$B$1:$B$49,0)</f>
        <v>Exc</v>
      </c>
      <c r="J822" t="str">
        <f>_xlfn.XLOOKUP('data cleaned'!D822,products!$A$1:$A$49,products!$C$1:$C$49,0)</f>
        <v>M</v>
      </c>
      <c r="K822" s="5">
        <f>_xlfn.XLOOKUP('data cleaned'!D822,products!$A$1:$A$49,products!$D$1:$D$49,0)</f>
        <v>1</v>
      </c>
      <c r="L822" s="6">
        <f>_xlfn.XLOOKUP('data cleaned'!D822,products!$A$1:$A$49,products!$E$1:$E$49,0)</f>
        <v>13.75</v>
      </c>
      <c r="M822" s="6">
        <f>'data cleaned'!E822*'data cleaned'!L822</f>
        <v>55</v>
      </c>
      <c r="N822" t="str">
        <f t="shared" si="24"/>
        <v>Excelsa</v>
      </c>
      <c r="O822" t="str">
        <f t="shared" si="25"/>
        <v>Medium</v>
      </c>
      <c r="P822" t="str">
        <f>_xlfn.XLOOKUP(worksheet[[#This Row],[Customer ID]],customers!$A$1:$A$1001,customers!$I$1:$I$1001,0)</f>
        <v>Yes</v>
      </c>
    </row>
    <row r="823" spans="1:16" x14ac:dyDescent="0.25">
      <c r="A823" s="2" t="s">
        <v>5129</v>
      </c>
      <c r="B823" s="4">
        <v>44144</v>
      </c>
      <c r="C823" s="2" t="s">
        <v>5130</v>
      </c>
      <c r="D823" t="s">
        <v>6172</v>
      </c>
      <c r="E823" s="2">
        <v>5</v>
      </c>
      <c r="F823" s="2" t="str">
        <f>_xlfn.XLOOKUP(C823,customers!$A$1:$A$1001,customers!$B$1:$B$1001,0)</f>
        <v>Ericka Tripp</v>
      </c>
      <c r="G823" s="2" t="s">
        <v>5132</v>
      </c>
      <c r="H823" s="2" t="str">
        <f>_xlfn.XLOOKUP(C823,customers!$A$1:$A$1001,customers!$G$1:$G$1001,0)</f>
        <v>United States</v>
      </c>
      <c r="I823" t="str">
        <f>_xlfn.XLOOKUP(D823,products!$A$1:$A$49,products!$B$1:$B$49,0)</f>
        <v>Rob</v>
      </c>
      <c r="J823" t="str">
        <f>_xlfn.XLOOKUP('data cleaned'!D823,products!$A$1:$A$49,products!$C$1:$C$49,0)</f>
        <v>D</v>
      </c>
      <c r="K823" s="5">
        <f>_xlfn.XLOOKUP('data cleaned'!D823,products!$A$1:$A$49,products!$D$1:$D$49,0)</f>
        <v>0.5</v>
      </c>
      <c r="L823" s="6">
        <f>_xlfn.XLOOKUP('data cleaned'!D823,products!$A$1:$A$49,products!$E$1:$E$49,0)</f>
        <v>5.3699999999999992</v>
      </c>
      <c r="M823" s="6">
        <f>'data cleaned'!E823*'data cleaned'!L823</f>
        <v>26.849999999999994</v>
      </c>
      <c r="N823" t="str">
        <f t="shared" si="24"/>
        <v>Robusta</v>
      </c>
      <c r="O823" t="str">
        <f t="shared" si="25"/>
        <v>Dark</v>
      </c>
      <c r="P823" t="str">
        <f>_xlfn.XLOOKUP(worksheet[[#This Row],[Customer ID]],customers!$A$1:$A$1001,customers!$I$1:$I$1001,0)</f>
        <v>No</v>
      </c>
    </row>
    <row r="824" spans="1:16" x14ac:dyDescent="0.25">
      <c r="A824" s="2" t="s">
        <v>5135</v>
      </c>
      <c r="B824" s="4">
        <v>43585</v>
      </c>
      <c r="C824" s="2" t="s">
        <v>5136</v>
      </c>
      <c r="D824" t="s">
        <v>6148</v>
      </c>
      <c r="E824" s="2">
        <v>4</v>
      </c>
      <c r="F824" s="2" t="str">
        <f>_xlfn.XLOOKUP(C824,customers!$A$1:$A$1001,customers!$B$1:$B$1001,0)</f>
        <v>Lyndsey MacManus</v>
      </c>
      <c r="G824" s="2" t="s">
        <v>5138</v>
      </c>
      <c r="H824" s="2" t="str">
        <f>_xlfn.XLOOKUP(C824,customers!$A$1:$A$1001,customers!$G$1:$G$1001,0)</f>
        <v>United States</v>
      </c>
      <c r="I824" t="str">
        <f>_xlfn.XLOOKUP(D824,products!$A$1:$A$49,products!$B$1:$B$49,0)</f>
        <v>Exc</v>
      </c>
      <c r="J824" t="str">
        <f>_xlfn.XLOOKUP('data cleaned'!D824,products!$A$1:$A$49,products!$C$1:$C$49,0)</f>
        <v>L</v>
      </c>
      <c r="K824" s="5">
        <f>_xlfn.XLOOKUP('data cleaned'!D824,products!$A$1:$A$49,products!$D$1:$D$49,0)</f>
        <v>2.5</v>
      </c>
      <c r="L824" s="6">
        <f>_xlfn.XLOOKUP('data cleaned'!D824,products!$A$1:$A$49,products!$E$1:$E$49,0)</f>
        <v>34.154999999999994</v>
      </c>
      <c r="M824" s="6">
        <f>'data cleaned'!E824*'data cleaned'!L824</f>
        <v>136.61999999999998</v>
      </c>
      <c r="N824" t="str">
        <f t="shared" si="24"/>
        <v>Excelsa</v>
      </c>
      <c r="O824" t="str">
        <f t="shared" si="25"/>
        <v>Light</v>
      </c>
      <c r="P824" t="str">
        <f>_xlfn.XLOOKUP(worksheet[[#This Row],[Customer ID]],customers!$A$1:$A$1001,customers!$I$1:$I$1001,0)</f>
        <v>No</v>
      </c>
    </row>
    <row r="825" spans="1:16" x14ac:dyDescent="0.25">
      <c r="A825" s="2" t="s">
        <v>5141</v>
      </c>
      <c r="B825" s="4">
        <v>44134</v>
      </c>
      <c r="C825" s="2" t="s">
        <v>5142</v>
      </c>
      <c r="D825" t="s">
        <v>6170</v>
      </c>
      <c r="E825" s="2">
        <v>3</v>
      </c>
      <c r="F825" s="2" t="str">
        <f>_xlfn.XLOOKUP(C825,customers!$A$1:$A$1001,customers!$B$1:$B$1001,0)</f>
        <v>Tess Benediktovich</v>
      </c>
      <c r="G825" s="2" t="s">
        <v>5144</v>
      </c>
      <c r="H825" s="2" t="str">
        <f>_xlfn.XLOOKUP(C825,customers!$A$1:$A$1001,customers!$G$1:$G$1001,0)</f>
        <v>United States</v>
      </c>
      <c r="I825" t="str">
        <f>_xlfn.XLOOKUP(D825,products!$A$1:$A$49,products!$B$1:$B$49,0)</f>
        <v>Lib</v>
      </c>
      <c r="J825" t="str">
        <f>_xlfn.XLOOKUP('data cleaned'!D825,products!$A$1:$A$49,products!$C$1:$C$49,0)</f>
        <v>L</v>
      </c>
      <c r="K825" s="5">
        <f>_xlfn.XLOOKUP('data cleaned'!D825,products!$A$1:$A$49,products!$D$1:$D$49,0)</f>
        <v>1</v>
      </c>
      <c r="L825" s="6">
        <f>_xlfn.XLOOKUP('data cleaned'!D825,products!$A$1:$A$49,products!$E$1:$E$49,0)</f>
        <v>15.85</v>
      </c>
      <c r="M825" s="6">
        <f>'data cleaned'!E825*'data cleaned'!L825</f>
        <v>47.55</v>
      </c>
      <c r="N825" t="str">
        <f t="shared" si="24"/>
        <v>Liberica</v>
      </c>
      <c r="O825" t="str">
        <f t="shared" si="25"/>
        <v>Light</v>
      </c>
      <c r="P825" t="str">
        <f>_xlfn.XLOOKUP(worksheet[[#This Row],[Customer ID]],customers!$A$1:$A$1001,customers!$I$1:$I$1001,0)</f>
        <v>Yes</v>
      </c>
    </row>
    <row r="826" spans="1:16" x14ac:dyDescent="0.25">
      <c r="A826" s="2" t="s">
        <v>5147</v>
      </c>
      <c r="B826" s="4">
        <v>43781</v>
      </c>
      <c r="C826" s="2" t="s">
        <v>5148</v>
      </c>
      <c r="D826" t="s">
        <v>6152</v>
      </c>
      <c r="E826" s="2">
        <v>5</v>
      </c>
      <c r="F826" s="2" t="str">
        <f>_xlfn.XLOOKUP(C826,customers!$A$1:$A$1001,customers!$B$1:$B$1001,0)</f>
        <v>Correy Bourner</v>
      </c>
      <c r="G826" s="2" t="s">
        <v>5150</v>
      </c>
      <c r="H826" s="2" t="str">
        <f>_xlfn.XLOOKUP(C826,customers!$A$1:$A$1001,customers!$G$1:$G$1001,0)</f>
        <v>United States</v>
      </c>
      <c r="I826" t="str">
        <f>_xlfn.XLOOKUP(D826,products!$A$1:$A$49,products!$B$1:$B$49,0)</f>
        <v>Ara</v>
      </c>
      <c r="J826" t="str">
        <f>_xlfn.XLOOKUP('data cleaned'!D826,products!$A$1:$A$49,products!$C$1:$C$49,0)</f>
        <v>M</v>
      </c>
      <c r="K826" s="5">
        <f>_xlfn.XLOOKUP('data cleaned'!D826,products!$A$1:$A$49,products!$D$1:$D$49,0)</f>
        <v>0.2</v>
      </c>
      <c r="L826" s="6">
        <f>_xlfn.XLOOKUP('data cleaned'!D826,products!$A$1:$A$49,products!$E$1:$E$49,0)</f>
        <v>3.375</v>
      </c>
      <c r="M826" s="6">
        <f>'data cleaned'!E826*'data cleaned'!L826</f>
        <v>16.875</v>
      </c>
      <c r="N826" t="str">
        <f t="shared" si="24"/>
        <v>Arabica</v>
      </c>
      <c r="O826" t="str">
        <f t="shared" si="25"/>
        <v>Medium</v>
      </c>
      <c r="P826" t="str">
        <f>_xlfn.XLOOKUP(worksheet[[#This Row],[Customer ID]],customers!$A$1:$A$1001,customers!$I$1:$I$1001,0)</f>
        <v>Yes</v>
      </c>
    </row>
    <row r="827" spans="1:16" x14ac:dyDescent="0.25">
      <c r="A827" s="2" t="s">
        <v>5152</v>
      </c>
      <c r="B827" s="4">
        <v>44603</v>
      </c>
      <c r="C827" s="2" t="s">
        <v>5188</v>
      </c>
      <c r="D827" t="s">
        <v>6147</v>
      </c>
      <c r="E827" s="2">
        <v>3</v>
      </c>
      <c r="F827" s="2" t="str">
        <f>_xlfn.XLOOKUP(C827,customers!$A$1:$A$1001,customers!$B$1:$B$1001,0)</f>
        <v>Odelia Skerme</v>
      </c>
      <c r="G827" s="2" t="s">
        <v>5190</v>
      </c>
      <c r="H827" s="2" t="str">
        <f>_xlfn.XLOOKUP(C827,customers!$A$1:$A$1001,customers!$G$1:$G$1001,0)</f>
        <v>United States</v>
      </c>
      <c r="I827" t="str">
        <f>_xlfn.XLOOKUP(D827,products!$A$1:$A$49,products!$B$1:$B$49,0)</f>
        <v>Ara</v>
      </c>
      <c r="J827" t="str">
        <f>_xlfn.XLOOKUP('data cleaned'!D827,products!$A$1:$A$49,products!$C$1:$C$49,0)</f>
        <v>D</v>
      </c>
      <c r="K827" s="5">
        <f>_xlfn.XLOOKUP('data cleaned'!D827,products!$A$1:$A$49,products!$D$1:$D$49,0)</f>
        <v>1</v>
      </c>
      <c r="L827" s="6">
        <f>_xlfn.XLOOKUP('data cleaned'!D827,products!$A$1:$A$49,products!$E$1:$E$49,0)</f>
        <v>9.9499999999999993</v>
      </c>
      <c r="M827" s="6">
        <f>'data cleaned'!E827*'data cleaned'!L827</f>
        <v>29.849999999999998</v>
      </c>
      <c r="N827" t="str">
        <f t="shared" si="24"/>
        <v>Arabica</v>
      </c>
      <c r="O827" t="str">
        <f t="shared" si="25"/>
        <v>Dark</v>
      </c>
      <c r="P827" t="str">
        <f>_xlfn.XLOOKUP(worksheet[[#This Row],[Customer ID]],customers!$A$1:$A$1001,customers!$I$1:$I$1001,0)</f>
        <v>Yes</v>
      </c>
    </row>
    <row r="828" spans="1:16" x14ac:dyDescent="0.25">
      <c r="A828" s="2" t="s">
        <v>5158</v>
      </c>
      <c r="B828" s="4">
        <v>44283</v>
      </c>
      <c r="C828" s="2" t="s">
        <v>5159</v>
      </c>
      <c r="D828" t="s">
        <v>6139</v>
      </c>
      <c r="E828" s="2">
        <v>5</v>
      </c>
      <c r="F828" s="2" t="str">
        <f>_xlfn.XLOOKUP(C828,customers!$A$1:$A$1001,customers!$B$1:$B$1001,0)</f>
        <v>Kandy Heddan</v>
      </c>
      <c r="G828" s="2" t="s">
        <v>5161</v>
      </c>
      <c r="H828" s="2" t="str">
        <f>_xlfn.XLOOKUP(C828,customers!$A$1:$A$1001,customers!$G$1:$G$1001,0)</f>
        <v>United States</v>
      </c>
      <c r="I828" t="str">
        <f>_xlfn.XLOOKUP(D828,products!$A$1:$A$49,products!$B$1:$B$49,0)</f>
        <v>Exc</v>
      </c>
      <c r="J828" t="str">
        <f>_xlfn.XLOOKUP('data cleaned'!D828,products!$A$1:$A$49,products!$C$1:$C$49,0)</f>
        <v>M</v>
      </c>
      <c r="K828" s="5">
        <f>_xlfn.XLOOKUP('data cleaned'!D828,products!$A$1:$A$49,products!$D$1:$D$49,0)</f>
        <v>0.5</v>
      </c>
      <c r="L828" s="6">
        <f>_xlfn.XLOOKUP('data cleaned'!D828,products!$A$1:$A$49,products!$E$1:$E$49,0)</f>
        <v>8.25</v>
      </c>
      <c r="M828" s="6">
        <f>'data cleaned'!E828*'data cleaned'!L828</f>
        <v>41.25</v>
      </c>
      <c r="N828" t="str">
        <f t="shared" si="24"/>
        <v>Excelsa</v>
      </c>
      <c r="O828" t="str">
        <f t="shared" si="25"/>
        <v>Medium</v>
      </c>
      <c r="P828" t="str">
        <f>_xlfn.XLOOKUP(worksheet[[#This Row],[Customer ID]],customers!$A$1:$A$1001,customers!$I$1:$I$1001,0)</f>
        <v>Yes</v>
      </c>
    </row>
    <row r="829" spans="1:16" x14ac:dyDescent="0.25">
      <c r="A829" s="2" t="s">
        <v>5164</v>
      </c>
      <c r="B829" s="4">
        <v>44540</v>
      </c>
      <c r="C829" s="2" t="s">
        <v>5165</v>
      </c>
      <c r="D829" t="s">
        <v>6156</v>
      </c>
      <c r="E829" s="2">
        <v>5</v>
      </c>
      <c r="F829" s="2" t="str">
        <f>_xlfn.XLOOKUP(C829,customers!$A$1:$A$1001,customers!$B$1:$B$1001,0)</f>
        <v>Ibby Charters</v>
      </c>
      <c r="G829" s="2" t="s">
        <v>5167</v>
      </c>
      <c r="H829" s="2" t="str">
        <f>_xlfn.XLOOKUP(C829,customers!$A$1:$A$1001,customers!$G$1:$G$1001,0)</f>
        <v>United States</v>
      </c>
      <c r="I829" t="str">
        <f>_xlfn.XLOOKUP(D829,products!$A$1:$A$49,products!$B$1:$B$49,0)</f>
        <v>Exc</v>
      </c>
      <c r="J829" t="str">
        <f>_xlfn.XLOOKUP('data cleaned'!D829,products!$A$1:$A$49,products!$C$1:$C$49,0)</f>
        <v>M</v>
      </c>
      <c r="K829" s="5">
        <f>_xlfn.XLOOKUP('data cleaned'!D829,products!$A$1:$A$49,products!$D$1:$D$49,0)</f>
        <v>0.2</v>
      </c>
      <c r="L829" s="6">
        <f>_xlfn.XLOOKUP('data cleaned'!D829,products!$A$1:$A$49,products!$E$1:$E$49,0)</f>
        <v>4.125</v>
      </c>
      <c r="M829" s="6">
        <f>'data cleaned'!E829*'data cleaned'!L829</f>
        <v>20.625</v>
      </c>
      <c r="N829" t="str">
        <f t="shared" si="24"/>
        <v>Excelsa</v>
      </c>
      <c r="O829" t="str">
        <f t="shared" si="25"/>
        <v>Medium</v>
      </c>
      <c r="P829" t="str">
        <f>_xlfn.XLOOKUP(worksheet[[#This Row],[Customer ID]],customers!$A$1:$A$1001,customers!$I$1:$I$1001,0)</f>
        <v>No</v>
      </c>
    </row>
    <row r="830" spans="1:16" x14ac:dyDescent="0.25">
      <c r="A830" s="2" t="s">
        <v>5170</v>
      </c>
      <c r="B830" s="4">
        <v>44505</v>
      </c>
      <c r="C830" s="2" t="s">
        <v>5171</v>
      </c>
      <c r="D830" t="s">
        <v>6168</v>
      </c>
      <c r="E830" s="2">
        <v>6</v>
      </c>
      <c r="F830" s="2" t="str">
        <f>_xlfn.XLOOKUP(C830,customers!$A$1:$A$1001,customers!$B$1:$B$1001,0)</f>
        <v>Adora Roubert</v>
      </c>
      <c r="G830" s="2" t="s">
        <v>5173</v>
      </c>
      <c r="H830" s="2" t="str">
        <f>_xlfn.XLOOKUP(C830,customers!$A$1:$A$1001,customers!$G$1:$G$1001,0)</f>
        <v>United States</v>
      </c>
      <c r="I830" t="str">
        <f>_xlfn.XLOOKUP(D830,products!$A$1:$A$49,products!$B$1:$B$49,0)</f>
        <v>Ara</v>
      </c>
      <c r="J830" t="str">
        <f>_xlfn.XLOOKUP('data cleaned'!D830,products!$A$1:$A$49,products!$C$1:$C$49,0)</f>
        <v>D</v>
      </c>
      <c r="K830" s="5">
        <f>_xlfn.XLOOKUP('data cleaned'!D830,products!$A$1:$A$49,products!$D$1:$D$49,0)</f>
        <v>2.5</v>
      </c>
      <c r="L830" s="6">
        <f>_xlfn.XLOOKUP('data cleaned'!D830,products!$A$1:$A$49,products!$E$1:$E$49,0)</f>
        <v>22.884999999999998</v>
      </c>
      <c r="M830" s="6">
        <f>'data cleaned'!E830*'data cleaned'!L830</f>
        <v>137.31</v>
      </c>
      <c r="N830" t="str">
        <f t="shared" si="24"/>
        <v>Arabica</v>
      </c>
      <c r="O830" t="str">
        <f t="shared" si="25"/>
        <v>Dark</v>
      </c>
      <c r="P830" t="str">
        <f>_xlfn.XLOOKUP(worksheet[[#This Row],[Customer ID]],customers!$A$1:$A$1001,customers!$I$1:$I$1001,0)</f>
        <v>Yes</v>
      </c>
    </row>
    <row r="831" spans="1:16" x14ac:dyDescent="0.25">
      <c r="A831" s="2" t="s">
        <v>5176</v>
      </c>
      <c r="B831" s="4">
        <v>43890</v>
      </c>
      <c r="C831" s="2" t="s">
        <v>5177</v>
      </c>
      <c r="D831" t="s">
        <v>6154</v>
      </c>
      <c r="E831" s="2">
        <v>1</v>
      </c>
      <c r="F831" s="2" t="str">
        <f>_xlfn.XLOOKUP(C831,customers!$A$1:$A$1001,customers!$B$1:$B$1001,0)</f>
        <v>Hillel Mairs</v>
      </c>
      <c r="G831" s="2" t="s">
        <v>5179</v>
      </c>
      <c r="H831" s="2" t="str">
        <f>_xlfn.XLOOKUP(C831,customers!$A$1:$A$1001,customers!$G$1:$G$1001,0)</f>
        <v>United States</v>
      </c>
      <c r="I831" t="str">
        <f>_xlfn.XLOOKUP(D831,products!$A$1:$A$49,products!$B$1:$B$49,0)</f>
        <v>Ara</v>
      </c>
      <c r="J831" t="str">
        <f>_xlfn.XLOOKUP('data cleaned'!D831,products!$A$1:$A$49,products!$C$1:$C$49,0)</f>
        <v>D</v>
      </c>
      <c r="K831" s="5">
        <f>_xlfn.XLOOKUP('data cleaned'!D831,products!$A$1:$A$49,products!$D$1:$D$49,0)</f>
        <v>0.2</v>
      </c>
      <c r="L831" s="6">
        <f>_xlfn.XLOOKUP('data cleaned'!D831,products!$A$1:$A$49,products!$E$1:$E$49,0)</f>
        <v>2.9849999999999999</v>
      </c>
      <c r="M831" s="6">
        <f>'data cleaned'!E831*'data cleaned'!L831</f>
        <v>2.9849999999999999</v>
      </c>
      <c r="N831" t="str">
        <f t="shared" si="24"/>
        <v>Arabica</v>
      </c>
      <c r="O831" t="str">
        <f t="shared" si="25"/>
        <v>Dark</v>
      </c>
      <c r="P831" t="str">
        <f>_xlfn.XLOOKUP(worksheet[[#This Row],[Customer ID]],customers!$A$1:$A$1001,customers!$I$1:$I$1001,0)</f>
        <v>No</v>
      </c>
    </row>
    <row r="832" spans="1:16" x14ac:dyDescent="0.25">
      <c r="A832" s="2" t="s">
        <v>5182</v>
      </c>
      <c r="B832" s="4">
        <v>44414</v>
      </c>
      <c r="C832" s="2" t="s">
        <v>5183</v>
      </c>
      <c r="D832" t="s">
        <v>6141</v>
      </c>
      <c r="E832" s="2">
        <v>2</v>
      </c>
      <c r="F832" s="2" t="str">
        <f>_xlfn.XLOOKUP(C832,customers!$A$1:$A$1001,customers!$B$1:$B$1001,0)</f>
        <v>Helaina Rainforth</v>
      </c>
      <c r="G832" s="2" t="s">
        <v>5185</v>
      </c>
      <c r="H832" s="2" t="str">
        <f>_xlfn.XLOOKUP(C832,customers!$A$1:$A$1001,customers!$G$1:$G$1001,0)</f>
        <v>United States</v>
      </c>
      <c r="I832" t="str">
        <f>_xlfn.XLOOKUP(D832,products!$A$1:$A$49,products!$B$1:$B$49,0)</f>
        <v>Exc</v>
      </c>
      <c r="J832" t="str">
        <f>_xlfn.XLOOKUP('data cleaned'!D832,products!$A$1:$A$49,products!$C$1:$C$49,0)</f>
        <v>M</v>
      </c>
      <c r="K832" s="5">
        <f>_xlfn.XLOOKUP('data cleaned'!D832,products!$A$1:$A$49,products!$D$1:$D$49,0)</f>
        <v>1</v>
      </c>
      <c r="L832" s="6">
        <f>_xlfn.XLOOKUP('data cleaned'!D832,products!$A$1:$A$49,products!$E$1:$E$49,0)</f>
        <v>13.75</v>
      </c>
      <c r="M832" s="6">
        <f>'data cleaned'!E832*'data cleaned'!L832</f>
        <v>27.5</v>
      </c>
      <c r="N832" t="str">
        <f t="shared" si="24"/>
        <v>Excelsa</v>
      </c>
      <c r="O832" t="str">
        <f t="shared" si="25"/>
        <v>Medium</v>
      </c>
      <c r="P832" t="str">
        <f>_xlfn.XLOOKUP(worksheet[[#This Row],[Customer ID]],customers!$A$1:$A$1001,customers!$I$1:$I$1001,0)</f>
        <v>No</v>
      </c>
    </row>
    <row r="833" spans="1:16" x14ac:dyDescent="0.25">
      <c r="A833" s="2" t="s">
        <v>5182</v>
      </c>
      <c r="B833" s="4">
        <v>44414</v>
      </c>
      <c r="C833" s="2" t="s">
        <v>5183</v>
      </c>
      <c r="D833" t="s">
        <v>6154</v>
      </c>
      <c r="E833" s="2">
        <v>2</v>
      </c>
      <c r="F833" s="2" t="str">
        <f>_xlfn.XLOOKUP(C833,customers!$A$1:$A$1001,customers!$B$1:$B$1001,0)</f>
        <v>Helaina Rainforth</v>
      </c>
      <c r="G833" s="2" t="s">
        <v>5185</v>
      </c>
      <c r="H833" s="2" t="str">
        <f>_xlfn.XLOOKUP(C833,customers!$A$1:$A$1001,customers!$G$1:$G$1001,0)</f>
        <v>United States</v>
      </c>
      <c r="I833" t="str">
        <f>_xlfn.XLOOKUP(D833,products!$A$1:$A$49,products!$B$1:$B$49,0)</f>
        <v>Ara</v>
      </c>
      <c r="J833" t="str">
        <f>_xlfn.XLOOKUP('data cleaned'!D833,products!$A$1:$A$49,products!$C$1:$C$49,0)</f>
        <v>D</v>
      </c>
      <c r="K833" s="5">
        <f>_xlfn.XLOOKUP('data cleaned'!D833,products!$A$1:$A$49,products!$D$1:$D$49,0)</f>
        <v>0.2</v>
      </c>
      <c r="L833" s="6">
        <f>_xlfn.XLOOKUP('data cleaned'!D833,products!$A$1:$A$49,products!$E$1:$E$49,0)</f>
        <v>2.9849999999999999</v>
      </c>
      <c r="M833" s="6">
        <f>'data cleaned'!E833*'data cleaned'!L833</f>
        <v>5.97</v>
      </c>
      <c r="N833" t="str">
        <f t="shared" si="24"/>
        <v>Arabica</v>
      </c>
      <c r="O833" t="str">
        <f t="shared" si="25"/>
        <v>Dark</v>
      </c>
      <c r="P833" t="str">
        <f>_xlfn.XLOOKUP(worksheet[[#This Row],[Customer ID]],customers!$A$1:$A$1001,customers!$I$1:$I$1001,0)</f>
        <v>No</v>
      </c>
    </row>
    <row r="834" spans="1:16" x14ac:dyDescent="0.25">
      <c r="A834" s="2" t="s">
        <v>5193</v>
      </c>
      <c r="B834" s="4">
        <v>44274</v>
      </c>
      <c r="C834" s="2" t="s">
        <v>5194</v>
      </c>
      <c r="D834" t="s">
        <v>6138</v>
      </c>
      <c r="E834" s="2">
        <v>6</v>
      </c>
      <c r="F834" s="2" t="str">
        <f>_xlfn.XLOOKUP(C834,customers!$A$1:$A$1001,customers!$B$1:$B$1001,0)</f>
        <v>Isac Jesper</v>
      </c>
      <c r="G834" s="2" t="s">
        <v>5196</v>
      </c>
      <c r="H834" s="2" t="str">
        <f>_xlfn.XLOOKUP(C834,customers!$A$1:$A$1001,customers!$G$1:$G$1001,0)</f>
        <v>United States</v>
      </c>
      <c r="I834" t="str">
        <f>_xlfn.XLOOKUP(D834,products!$A$1:$A$49,products!$B$1:$B$49,0)</f>
        <v>Rob</v>
      </c>
      <c r="J834" t="str">
        <f>_xlfn.XLOOKUP('data cleaned'!D834,products!$A$1:$A$49,products!$C$1:$C$49,0)</f>
        <v>M</v>
      </c>
      <c r="K834" s="5">
        <f>_xlfn.XLOOKUP('data cleaned'!D834,products!$A$1:$A$49,products!$D$1:$D$49,0)</f>
        <v>1</v>
      </c>
      <c r="L834" s="6">
        <f>_xlfn.XLOOKUP('data cleaned'!D834,products!$A$1:$A$49,products!$E$1:$E$49,0)</f>
        <v>9.9499999999999993</v>
      </c>
      <c r="M834" s="6">
        <f>'data cleaned'!E834*'data cleaned'!L834</f>
        <v>59.699999999999996</v>
      </c>
      <c r="N834" t="str">
        <f t="shared" si="24"/>
        <v>Robusta</v>
      </c>
      <c r="O834" t="str">
        <f t="shared" si="25"/>
        <v>Medium</v>
      </c>
      <c r="P834" t="str">
        <f>_xlfn.XLOOKUP(worksheet[[#This Row],[Customer ID]],customers!$A$1:$A$1001,customers!$I$1:$I$1001,0)</f>
        <v>No</v>
      </c>
    </row>
    <row r="835" spans="1:16" x14ac:dyDescent="0.25">
      <c r="A835" s="2" t="s">
        <v>5199</v>
      </c>
      <c r="B835" s="4">
        <v>44302</v>
      </c>
      <c r="C835" s="2" t="s">
        <v>5200</v>
      </c>
      <c r="D835" t="s">
        <v>6149</v>
      </c>
      <c r="E835" s="2">
        <v>4</v>
      </c>
      <c r="F835" s="2" t="str">
        <f>_xlfn.XLOOKUP(C835,customers!$A$1:$A$1001,customers!$B$1:$B$1001,0)</f>
        <v>Lenette Dwerryhouse</v>
      </c>
      <c r="G835" s="2" t="s">
        <v>5202</v>
      </c>
      <c r="H835" s="2" t="str">
        <f>_xlfn.XLOOKUP(C835,customers!$A$1:$A$1001,customers!$G$1:$G$1001,0)</f>
        <v>United States</v>
      </c>
      <c r="I835" t="str">
        <f>_xlfn.XLOOKUP(D835,products!$A$1:$A$49,products!$B$1:$B$49,0)</f>
        <v>Rob</v>
      </c>
      <c r="J835" t="str">
        <f>_xlfn.XLOOKUP('data cleaned'!D835,products!$A$1:$A$49,products!$C$1:$C$49,0)</f>
        <v>D</v>
      </c>
      <c r="K835" s="5">
        <f>_xlfn.XLOOKUP('data cleaned'!D835,products!$A$1:$A$49,products!$D$1:$D$49,0)</f>
        <v>2.5</v>
      </c>
      <c r="L835" s="6">
        <f>_xlfn.XLOOKUP('data cleaned'!D835,products!$A$1:$A$49,products!$E$1:$E$49,0)</f>
        <v>20.584999999999997</v>
      </c>
      <c r="M835" s="6">
        <f>'data cleaned'!E835*'data cleaned'!L835</f>
        <v>82.339999999999989</v>
      </c>
      <c r="N835" t="str">
        <f t="shared" ref="N835:N898" si="26">IF(I835="Rob","Robusta",IF(I835="Exc","Excelsa",IF(I835="Ara","Arabica",IF(I835="Lib","Liberica",""))))</f>
        <v>Robusta</v>
      </c>
      <c r="O835" t="str">
        <f t="shared" ref="O835:O898" si="27">IF(J835="M","Medium",IF(J835="L","Light",IF(J835="D","Dark","")))</f>
        <v>Dark</v>
      </c>
      <c r="P835" t="str">
        <f>_xlfn.XLOOKUP(worksheet[[#This Row],[Customer ID]],customers!$A$1:$A$1001,customers!$I$1:$I$1001,0)</f>
        <v>Yes</v>
      </c>
    </row>
    <row r="836" spans="1:16" x14ac:dyDescent="0.25">
      <c r="A836" s="2" t="s">
        <v>5205</v>
      </c>
      <c r="B836" s="4">
        <v>44141</v>
      </c>
      <c r="C836" s="2" t="s">
        <v>5206</v>
      </c>
      <c r="D836" t="s">
        <v>6168</v>
      </c>
      <c r="E836" s="2">
        <v>1</v>
      </c>
      <c r="F836" s="2" t="str">
        <f>_xlfn.XLOOKUP(C836,customers!$A$1:$A$1001,customers!$B$1:$B$1001,0)</f>
        <v>Nadeen Broomer</v>
      </c>
      <c r="G836" s="2" t="s">
        <v>5208</v>
      </c>
      <c r="H836" s="2" t="str">
        <f>_xlfn.XLOOKUP(C836,customers!$A$1:$A$1001,customers!$G$1:$G$1001,0)</f>
        <v>United States</v>
      </c>
      <c r="I836" t="str">
        <f>_xlfn.XLOOKUP(D836,products!$A$1:$A$49,products!$B$1:$B$49,0)</f>
        <v>Ara</v>
      </c>
      <c r="J836" t="str">
        <f>_xlfn.XLOOKUP('data cleaned'!D836,products!$A$1:$A$49,products!$C$1:$C$49,0)</f>
        <v>D</v>
      </c>
      <c r="K836" s="5">
        <f>_xlfn.XLOOKUP('data cleaned'!D836,products!$A$1:$A$49,products!$D$1:$D$49,0)</f>
        <v>2.5</v>
      </c>
      <c r="L836" s="6">
        <f>_xlfn.XLOOKUP('data cleaned'!D836,products!$A$1:$A$49,products!$E$1:$E$49,0)</f>
        <v>22.884999999999998</v>
      </c>
      <c r="M836" s="6">
        <f>'data cleaned'!E836*'data cleaned'!L836</f>
        <v>22.884999999999998</v>
      </c>
      <c r="N836" t="str">
        <f t="shared" si="26"/>
        <v>Arabica</v>
      </c>
      <c r="O836" t="str">
        <f t="shared" si="27"/>
        <v>Dark</v>
      </c>
      <c r="P836" t="str">
        <f>_xlfn.XLOOKUP(worksheet[[#This Row],[Customer ID]],customers!$A$1:$A$1001,customers!$I$1:$I$1001,0)</f>
        <v>No</v>
      </c>
    </row>
    <row r="837" spans="1:16" x14ac:dyDescent="0.25">
      <c r="A837" s="2" t="s">
        <v>5211</v>
      </c>
      <c r="B837" s="4">
        <v>44270</v>
      </c>
      <c r="C837" s="2" t="s">
        <v>5212</v>
      </c>
      <c r="D837" t="s">
        <v>6176</v>
      </c>
      <c r="E837" s="2">
        <v>1</v>
      </c>
      <c r="F837" s="2" t="str">
        <f>_xlfn.XLOOKUP(C837,customers!$A$1:$A$1001,customers!$B$1:$B$1001,0)</f>
        <v>Konstantine Thoumasson</v>
      </c>
      <c r="G837" s="2" t="s">
        <v>5214</v>
      </c>
      <c r="H837" s="2" t="str">
        <f>_xlfn.XLOOKUP(C837,customers!$A$1:$A$1001,customers!$G$1:$G$1001,0)</f>
        <v>United States</v>
      </c>
      <c r="I837" t="str">
        <f>_xlfn.XLOOKUP(D837,products!$A$1:$A$49,products!$B$1:$B$49,0)</f>
        <v>Exc</v>
      </c>
      <c r="J837" t="str">
        <f>_xlfn.XLOOKUP('data cleaned'!D837,products!$A$1:$A$49,products!$C$1:$C$49,0)</f>
        <v>L</v>
      </c>
      <c r="K837" s="5">
        <f>_xlfn.XLOOKUP('data cleaned'!D837,products!$A$1:$A$49,products!$D$1:$D$49,0)</f>
        <v>0.5</v>
      </c>
      <c r="L837" s="6">
        <f>_xlfn.XLOOKUP('data cleaned'!D837,products!$A$1:$A$49,products!$E$1:$E$49,0)</f>
        <v>8.91</v>
      </c>
      <c r="M837" s="6">
        <f>'data cleaned'!E837*'data cleaned'!L837</f>
        <v>8.91</v>
      </c>
      <c r="N837" t="str">
        <f t="shared" si="26"/>
        <v>Excelsa</v>
      </c>
      <c r="O837" t="str">
        <f t="shared" si="27"/>
        <v>Light</v>
      </c>
      <c r="P837" t="str">
        <f>_xlfn.XLOOKUP(worksheet[[#This Row],[Customer ID]],customers!$A$1:$A$1001,customers!$I$1:$I$1001,0)</f>
        <v>Yes</v>
      </c>
    </row>
    <row r="838" spans="1:16" x14ac:dyDescent="0.25">
      <c r="A838" s="2" t="s">
        <v>5216</v>
      </c>
      <c r="B838" s="4">
        <v>44486</v>
      </c>
      <c r="C838" s="2" t="s">
        <v>5217</v>
      </c>
      <c r="D838" t="s">
        <v>6154</v>
      </c>
      <c r="E838" s="2">
        <v>4</v>
      </c>
      <c r="F838" s="2" t="str">
        <f>_xlfn.XLOOKUP(C838,customers!$A$1:$A$1001,customers!$B$1:$B$1001,0)</f>
        <v>Frans Habbergham</v>
      </c>
      <c r="G838" s="2" t="s">
        <v>5219</v>
      </c>
      <c r="H838" s="2" t="str">
        <f>_xlfn.XLOOKUP(C838,customers!$A$1:$A$1001,customers!$G$1:$G$1001,0)</f>
        <v>United States</v>
      </c>
      <c r="I838" t="str">
        <f>_xlfn.XLOOKUP(D838,products!$A$1:$A$49,products!$B$1:$B$49,0)</f>
        <v>Ara</v>
      </c>
      <c r="J838" t="str">
        <f>_xlfn.XLOOKUP('data cleaned'!D838,products!$A$1:$A$49,products!$C$1:$C$49,0)</f>
        <v>D</v>
      </c>
      <c r="K838" s="5">
        <f>_xlfn.XLOOKUP('data cleaned'!D838,products!$A$1:$A$49,products!$D$1:$D$49,0)</f>
        <v>0.2</v>
      </c>
      <c r="L838" s="6">
        <f>_xlfn.XLOOKUP('data cleaned'!D838,products!$A$1:$A$49,products!$E$1:$E$49,0)</f>
        <v>2.9849999999999999</v>
      </c>
      <c r="M838" s="6">
        <f>'data cleaned'!E838*'data cleaned'!L838</f>
        <v>11.94</v>
      </c>
      <c r="N838" t="str">
        <f t="shared" si="26"/>
        <v>Arabica</v>
      </c>
      <c r="O838" t="str">
        <f t="shared" si="27"/>
        <v>Dark</v>
      </c>
      <c r="P838" t="str">
        <f>_xlfn.XLOOKUP(worksheet[[#This Row],[Customer ID]],customers!$A$1:$A$1001,customers!$I$1:$I$1001,0)</f>
        <v>No</v>
      </c>
    </row>
    <row r="839" spans="1:16" x14ac:dyDescent="0.25">
      <c r="A839" s="2" t="s">
        <v>5222</v>
      </c>
      <c r="B839" s="4">
        <v>43715</v>
      </c>
      <c r="C839" s="2" t="s">
        <v>5113</v>
      </c>
      <c r="D839" t="s">
        <v>6181</v>
      </c>
      <c r="E839" s="2">
        <v>3</v>
      </c>
      <c r="F839" s="2" t="str">
        <f>_xlfn.XLOOKUP(C839,customers!$A$1:$A$1001,customers!$B$1:$B$1001,0)</f>
        <v>Allis Wilmore</v>
      </c>
      <c r="G839" s="2" t="s">
        <v>6222</v>
      </c>
      <c r="H839" s="2" t="str">
        <f>_xlfn.XLOOKUP(C839,customers!$A$1:$A$1001,customers!$G$1:$G$1001,0)</f>
        <v>United States</v>
      </c>
      <c r="I839" t="str">
        <f>_xlfn.XLOOKUP(D839,products!$A$1:$A$49,products!$B$1:$B$49,0)</f>
        <v>Lib</v>
      </c>
      <c r="J839" t="str">
        <f>_xlfn.XLOOKUP('data cleaned'!D839,products!$A$1:$A$49,products!$C$1:$C$49,0)</f>
        <v>M</v>
      </c>
      <c r="K839" s="5">
        <f>_xlfn.XLOOKUP('data cleaned'!D839,products!$A$1:$A$49,products!$D$1:$D$49,0)</f>
        <v>2.5</v>
      </c>
      <c r="L839" s="6">
        <f>_xlfn.XLOOKUP('data cleaned'!D839,products!$A$1:$A$49,products!$E$1:$E$49,0)</f>
        <v>33.464999999999996</v>
      </c>
      <c r="M839" s="6">
        <f>'data cleaned'!E839*'data cleaned'!L839</f>
        <v>100.39499999999998</v>
      </c>
      <c r="N839" t="str">
        <f t="shared" si="26"/>
        <v>Liberica</v>
      </c>
      <c r="O839" t="str">
        <f t="shared" si="27"/>
        <v>Medium</v>
      </c>
      <c r="P839" t="str">
        <f>_xlfn.XLOOKUP(worksheet[[#This Row],[Customer ID]],customers!$A$1:$A$1001,customers!$I$1:$I$1001,0)</f>
        <v>No</v>
      </c>
    </row>
    <row r="840" spans="1:16" x14ac:dyDescent="0.25">
      <c r="A840" s="2" t="s">
        <v>5228</v>
      </c>
      <c r="B840" s="4">
        <v>44755</v>
      </c>
      <c r="C840" s="2" t="s">
        <v>5229</v>
      </c>
      <c r="D840" t="s">
        <v>6168</v>
      </c>
      <c r="E840" s="2">
        <v>5</v>
      </c>
      <c r="F840" s="2" t="str">
        <f>_xlfn.XLOOKUP(C840,customers!$A$1:$A$1001,customers!$B$1:$B$1001,0)</f>
        <v>Romain Avrashin</v>
      </c>
      <c r="G840" s="2" t="s">
        <v>5231</v>
      </c>
      <c r="H840" s="2" t="str">
        <f>_xlfn.XLOOKUP(C840,customers!$A$1:$A$1001,customers!$G$1:$G$1001,0)</f>
        <v>United States</v>
      </c>
      <c r="I840" t="str">
        <f>_xlfn.XLOOKUP(D840,products!$A$1:$A$49,products!$B$1:$B$49,0)</f>
        <v>Ara</v>
      </c>
      <c r="J840" t="str">
        <f>_xlfn.XLOOKUP('data cleaned'!D840,products!$A$1:$A$49,products!$C$1:$C$49,0)</f>
        <v>D</v>
      </c>
      <c r="K840" s="5">
        <f>_xlfn.XLOOKUP('data cleaned'!D840,products!$A$1:$A$49,products!$D$1:$D$49,0)</f>
        <v>2.5</v>
      </c>
      <c r="L840" s="6">
        <f>_xlfn.XLOOKUP('data cleaned'!D840,products!$A$1:$A$49,products!$E$1:$E$49,0)</f>
        <v>22.884999999999998</v>
      </c>
      <c r="M840" s="6">
        <f>'data cleaned'!E840*'data cleaned'!L840</f>
        <v>114.42499999999998</v>
      </c>
      <c r="N840" t="str">
        <f t="shared" si="26"/>
        <v>Arabica</v>
      </c>
      <c r="O840" t="str">
        <f t="shared" si="27"/>
        <v>Dark</v>
      </c>
      <c r="P840" t="str">
        <f>_xlfn.XLOOKUP(worksheet[[#This Row],[Customer ID]],customers!$A$1:$A$1001,customers!$I$1:$I$1001,0)</f>
        <v>No</v>
      </c>
    </row>
    <row r="841" spans="1:16" x14ac:dyDescent="0.25">
      <c r="A841" s="2" t="s">
        <v>5234</v>
      </c>
      <c r="B841" s="4">
        <v>44521</v>
      </c>
      <c r="C841" s="2" t="s">
        <v>5235</v>
      </c>
      <c r="D841" t="s">
        <v>6139</v>
      </c>
      <c r="E841" s="2">
        <v>5</v>
      </c>
      <c r="F841" s="2" t="str">
        <f>_xlfn.XLOOKUP(C841,customers!$A$1:$A$1001,customers!$B$1:$B$1001,0)</f>
        <v>Miran Doidge</v>
      </c>
      <c r="G841" s="2" t="s">
        <v>5237</v>
      </c>
      <c r="H841" s="2" t="str">
        <f>_xlfn.XLOOKUP(C841,customers!$A$1:$A$1001,customers!$G$1:$G$1001,0)</f>
        <v>United States</v>
      </c>
      <c r="I841" t="str">
        <f>_xlfn.XLOOKUP(D841,products!$A$1:$A$49,products!$B$1:$B$49,0)</f>
        <v>Exc</v>
      </c>
      <c r="J841" t="str">
        <f>_xlfn.XLOOKUP('data cleaned'!D841,products!$A$1:$A$49,products!$C$1:$C$49,0)</f>
        <v>M</v>
      </c>
      <c r="K841" s="5">
        <f>_xlfn.XLOOKUP('data cleaned'!D841,products!$A$1:$A$49,products!$D$1:$D$49,0)</f>
        <v>0.5</v>
      </c>
      <c r="L841" s="6">
        <f>_xlfn.XLOOKUP('data cleaned'!D841,products!$A$1:$A$49,products!$E$1:$E$49,0)</f>
        <v>8.25</v>
      </c>
      <c r="M841" s="6">
        <f>'data cleaned'!E841*'data cleaned'!L841</f>
        <v>41.25</v>
      </c>
      <c r="N841" t="str">
        <f t="shared" si="26"/>
        <v>Excelsa</v>
      </c>
      <c r="O841" t="str">
        <f t="shared" si="27"/>
        <v>Medium</v>
      </c>
      <c r="P841" t="str">
        <f>_xlfn.XLOOKUP(worksheet[[#This Row],[Customer ID]],customers!$A$1:$A$1001,customers!$I$1:$I$1001,0)</f>
        <v>No</v>
      </c>
    </row>
    <row r="842" spans="1:16" x14ac:dyDescent="0.25">
      <c r="A842" s="2" t="s">
        <v>5240</v>
      </c>
      <c r="B842" s="4">
        <v>44574</v>
      </c>
      <c r="C842" s="2" t="s">
        <v>5241</v>
      </c>
      <c r="D842" t="s">
        <v>6173</v>
      </c>
      <c r="E842" s="2">
        <v>4</v>
      </c>
      <c r="F842" s="2" t="str">
        <f>_xlfn.XLOOKUP(C842,customers!$A$1:$A$1001,customers!$B$1:$B$1001,0)</f>
        <v>Janeva Edinboro</v>
      </c>
      <c r="G842" s="2" t="s">
        <v>5243</v>
      </c>
      <c r="H842" s="2" t="str">
        <f>_xlfn.XLOOKUP(C842,customers!$A$1:$A$1001,customers!$G$1:$G$1001,0)</f>
        <v>United States</v>
      </c>
      <c r="I842" t="str">
        <f>_xlfn.XLOOKUP(D842,products!$A$1:$A$49,products!$B$1:$B$49,0)</f>
        <v>Rob</v>
      </c>
      <c r="J842" t="str">
        <f>_xlfn.XLOOKUP('data cleaned'!D842,products!$A$1:$A$49,products!$C$1:$C$49,0)</f>
        <v>L</v>
      </c>
      <c r="K842" s="5">
        <f>_xlfn.XLOOKUP('data cleaned'!D842,products!$A$1:$A$49,products!$D$1:$D$49,0)</f>
        <v>0.5</v>
      </c>
      <c r="L842" s="6">
        <f>_xlfn.XLOOKUP('data cleaned'!D842,products!$A$1:$A$49,products!$E$1:$E$49,0)</f>
        <v>7.169999999999999</v>
      </c>
      <c r="M842" s="6">
        <f>'data cleaned'!E842*'data cleaned'!L842</f>
        <v>28.679999999999996</v>
      </c>
      <c r="N842" t="str">
        <f t="shared" si="26"/>
        <v>Robusta</v>
      </c>
      <c r="O842" t="str">
        <f t="shared" si="27"/>
        <v>Light</v>
      </c>
      <c r="P842" t="str">
        <f>_xlfn.XLOOKUP(worksheet[[#This Row],[Customer ID]],customers!$A$1:$A$1001,customers!$I$1:$I$1001,0)</f>
        <v>Yes</v>
      </c>
    </row>
    <row r="843" spans="1:16" x14ac:dyDescent="0.25">
      <c r="A843" s="2" t="s">
        <v>5246</v>
      </c>
      <c r="B843" s="4">
        <v>44755</v>
      </c>
      <c r="C843" s="2" t="s">
        <v>5247</v>
      </c>
      <c r="D843" t="s">
        <v>6159</v>
      </c>
      <c r="E843" s="2">
        <v>1</v>
      </c>
      <c r="F843" s="2" t="str">
        <f>_xlfn.XLOOKUP(C843,customers!$A$1:$A$1001,customers!$B$1:$B$1001,0)</f>
        <v>Trumaine Tewelson</v>
      </c>
      <c r="G843" s="2" t="s">
        <v>5249</v>
      </c>
      <c r="H843" s="2" t="str">
        <f>_xlfn.XLOOKUP(C843,customers!$A$1:$A$1001,customers!$G$1:$G$1001,0)</f>
        <v>United States</v>
      </c>
      <c r="I843" t="str">
        <f>_xlfn.XLOOKUP(D843,products!$A$1:$A$49,products!$B$1:$B$49,0)</f>
        <v>Lib</v>
      </c>
      <c r="J843" t="str">
        <f>_xlfn.XLOOKUP('data cleaned'!D843,products!$A$1:$A$49,products!$C$1:$C$49,0)</f>
        <v>M</v>
      </c>
      <c r="K843" s="5">
        <f>_xlfn.XLOOKUP('data cleaned'!D843,products!$A$1:$A$49,products!$D$1:$D$49,0)</f>
        <v>0.2</v>
      </c>
      <c r="L843" s="6">
        <f>_xlfn.XLOOKUP('data cleaned'!D843,products!$A$1:$A$49,products!$E$1:$E$49,0)</f>
        <v>4.3650000000000002</v>
      </c>
      <c r="M843" s="6">
        <f>'data cleaned'!E843*'data cleaned'!L843</f>
        <v>4.3650000000000002</v>
      </c>
      <c r="N843" t="str">
        <f t="shared" si="26"/>
        <v>Liberica</v>
      </c>
      <c r="O843" t="str">
        <f t="shared" si="27"/>
        <v>Medium</v>
      </c>
      <c r="P843" t="str">
        <f>_xlfn.XLOOKUP(worksheet[[#This Row],[Customer ID]],customers!$A$1:$A$1001,customers!$I$1:$I$1001,0)</f>
        <v>No</v>
      </c>
    </row>
    <row r="844" spans="1:16" x14ac:dyDescent="0.25">
      <c r="A844" s="2" t="s">
        <v>5251</v>
      </c>
      <c r="B844" s="4">
        <v>44502</v>
      </c>
      <c r="C844" s="2" t="s">
        <v>5188</v>
      </c>
      <c r="D844" t="s">
        <v>6156</v>
      </c>
      <c r="E844" s="2">
        <v>2</v>
      </c>
      <c r="F844" s="2" t="str">
        <f>_xlfn.XLOOKUP(C844,customers!$A$1:$A$1001,customers!$B$1:$B$1001,0)</f>
        <v>Odelia Skerme</v>
      </c>
      <c r="G844" s="2" t="s">
        <v>5190</v>
      </c>
      <c r="H844" s="2" t="str">
        <f>_xlfn.XLOOKUP(C844,customers!$A$1:$A$1001,customers!$G$1:$G$1001,0)</f>
        <v>United States</v>
      </c>
      <c r="I844" t="str">
        <f>_xlfn.XLOOKUP(D844,products!$A$1:$A$49,products!$B$1:$B$49,0)</f>
        <v>Exc</v>
      </c>
      <c r="J844" t="str">
        <f>_xlfn.XLOOKUP('data cleaned'!D844,products!$A$1:$A$49,products!$C$1:$C$49,0)</f>
        <v>M</v>
      </c>
      <c r="K844" s="5">
        <f>_xlfn.XLOOKUP('data cleaned'!D844,products!$A$1:$A$49,products!$D$1:$D$49,0)</f>
        <v>0.2</v>
      </c>
      <c r="L844" s="6">
        <f>_xlfn.XLOOKUP('data cleaned'!D844,products!$A$1:$A$49,products!$E$1:$E$49,0)</f>
        <v>4.125</v>
      </c>
      <c r="M844" s="6">
        <f>'data cleaned'!E844*'data cleaned'!L844</f>
        <v>8.25</v>
      </c>
      <c r="N844" t="str">
        <f t="shared" si="26"/>
        <v>Excelsa</v>
      </c>
      <c r="O844" t="str">
        <f t="shared" si="27"/>
        <v>Medium</v>
      </c>
      <c r="P844" t="str">
        <f>_xlfn.XLOOKUP(worksheet[[#This Row],[Customer ID]],customers!$A$1:$A$1001,customers!$I$1:$I$1001,0)</f>
        <v>Yes</v>
      </c>
    </row>
    <row r="845" spans="1:16" x14ac:dyDescent="0.25">
      <c r="A845" s="2" t="s">
        <v>5256</v>
      </c>
      <c r="B845" s="4">
        <v>44387</v>
      </c>
      <c r="C845" s="2" t="s">
        <v>5257</v>
      </c>
      <c r="D845" t="s">
        <v>6156</v>
      </c>
      <c r="E845" s="2">
        <v>2</v>
      </c>
      <c r="F845" s="2" t="str">
        <f>_xlfn.XLOOKUP(C845,customers!$A$1:$A$1001,customers!$B$1:$B$1001,0)</f>
        <v>De Drewitt</v>
      </c>
      <c r="G845" s="2" t="s">
        <v>5259</v>
      </c>
      <c r="H845" s="2" t="str">
        <f>_xlfn.XLOOKUP(C845,customers!$A$1:$A$1001,customers!$G$1:$G$1001,0)</f>
        <v>United States</v>
      </c>
      <c r="I845" t="str">
        <f>_xlfn.XLOOKUP(D845,products!$A$1:$A$49,products!$B$1:$B$49,0)</f>
        <v>Exc</v>
      </c>
      <c r="J845" t="str">
        <f>_xlfn.XLOOKUP('data cleaned'!D845,products!$A$1:$A$49,products!$C$1:$C$49,0)</f>
        <v>M</v>
      </c>
      <c r="K845" s="5">
        <f>_xlfn.XLOOKUP('data cleaned'!D845,products!$A$1:$A$49,products!$D$1:$D$49,0)</f>
        <v>0.2</v>
      </c>
      <c r="L845" s="6">
        <f>_xlfn.XLOOKUP('data cleaned'!D845,products!$A$1:$A$49,products!$E$1:$E$49,0)</f>
        <v>4.125</v>
      </c>
      <c r="M845" s="6">
        <f>'data cleaned'!E845*'data cleaned'!L845</f>
        <v>8.25</v>
      </c>
      <c r="N845" t="str">
        <f t="shared" si="26"/>
        <v>Excelsa</v>
      </c>
      <c r="O845" t="str">
        <f t="shared" si="27"/>
        <v>Medium</v>
      </c>
      <c r="P845" t="str">
        <f>_xlfn.XLOOKUP(worksheet[[#This Row],[Customer ID]],customers!$A$1:$A$1001,customers!$I$1:$I$1001,0)</f>
        <v>Yes</v>
      </c>
    </row>
    <row r="846" spans="1:16" x14ac:dyDescent="0.25">
      <c r="A846" s="2" t="s">
        <v>5262</v>
      </c>
      <c r="B846" s="4">
        <v>44476</v>
      </c>
      <c r="C846" s="2" t="s">
        <v>5263</v>
      </c>
      <c r="D846" t="s">
        <v>6158</v>
      </c>
      <c r="E846" s="2">
        <v>6</v>
      </c>
      <c r="F846" s="2" t="str">
        <f>_xlfn.XLOOKUP(C846,customers!$A$1:$A$1001,customers!$B$1:$B$1001,0)</f>
        <v>Adelheid Gladhill</v>
      </c>
      <c r="G846" s="2" t="s">
        <v>5265</v>
      </c>
      <c r="H846" s="2" t="str">
        <f>_xlfn.XLOOKUP(C846,customers!$A$1:$A$1001,customers!$G$1:$G$1001,0)</f>
        <v>United States</v>
      </c>
      <c r="I846" t="str">
        <f>_xlfn.XLOOKUP(D846,products!$A$1:$A$49,products!$B$1:$B$49,0)</f>
        <v>Ara</v>
      </c>
      <c r="J846" t="str">
        <f>_xlfn.XLOOKUP('data cleaned'!D846,products!$A$1:$A$49,products!$C$1:$C$49,0)</f>
        <v>D</v>
      </c>
      <c r="K846" s="5">
        <f>_xlfn.XLOOKUP('data cleaned'!D846,products!$A$1:$A$49,products!$D$1:$D$49,0)</f>
        <v>0.5</v>
      </c>
      <c r="L846" s="6">
        <f>_xlfn.XLOOKUP('data cleaned'!D846,products!$A$1:$A$49,products!$E$1:$E$49,0)</f>
        <v>5.97</v>
      </c>
      <c r="M846" s="6">
        <f>'data cleaned'!E846*'data cleaned'!L846</f>
        <v>35.82</v>
      </c>
      <c r="N846" t="str">
        <f t="shared" si="26"/>
        <v>Arabica</v>
      </c>
      <c r="O846" t="str">
        <f t="shared" si="27"/>
        <v>Dark</v>
      </c>
      <c r="P846" t="str">
        <f>_xlfn.XLOOKUP(worksheet[[#This Row],[Customer ID]],customers!$A$1:$A$1001,customers!$I$1:$I$1001,0)</f>
        <v>Yes</v>
      </c>
    </row>
    <row r="847" spans="1:16" x14ac:dyDescent="0.25">
      <c r="A847" s="2" t="s">
        <v>5268</v>
      </c>
      <c r="B847" s="4">
        <v>43889</v>
      </c>
      <c r="C847" s="2" t="s">
        <v>5269</v>
      </c>
      <c r="D847" t="s">
        <v>6185</v>
      </c>
      <c r="E847" s="2">
        <v>6</v>
      </c>
      <c r="F847" s="2" t="str">
        <f>_xlfn.XLOOKUP(C847,customers!$A$1:$A$1001,customers!$B$1:$B$1001,0)</f>
        <v>Murielle Lorinez</v>
      </c>
      <c r="G847" s="2" t="s">
        <v>5271</v>
      </c>
      <c r="H847" s="2" t="str">
        <f>_xlfn.XLOOKUP(C847,customers!$A$1:$A$1001,customers!$G$1:$G$1001,0)</f>
        <v>United States</v>
      </c>
      <c r="I847" t="str">
        <f>_xlfn.XLOOKUP(D847,products!$A$1:$A$49,products!$B$1:$B$49,0)</f>
        <v>Exc</v>
      </c>
      <c r="J847" t="str">
        <f>_xlfn.XLOOKUP('data cleaned'!D847,products!$A$1:$A$49,products!$C$1:$C$49,0)</f>
        <v>D</v>
      </c>
      <c r="K847" s="5">
        <f>_xlfn.XLOOKUP('data cleaned'!D847,products!$A$1:$A$49,products!$D$1:$D$49,0)</f>
        <v>2.5</v>
      </c>
      <c r="L847" s="6">
        <f>_xlfn.XLOOKUP('data cleaned'!D847,products!$A$1:$A$49,products!$E$1:$E$49,0)</f>
        <v>27.945</v>
      </c>
      <c r="M847" s="6">
        <f>'data cleaned'!E847*'data cleaned'!L847</f>
        <v>167.67000000000002</v>
      </c>
      <c r="N847" t="str">
        <f t="shared" si="26"/>
        <v>Excelsa</v>
      </c>
      <c r="O847" t="str">
        <f t="shared" si="27"/>
        <v>Dark</v>
      </c>
      <c r="P847" t="str">
        <f>_xlfn.XLOOKUP(worksheet[[#This Row],[Customer ID]],customers!$A$1:$A$1001,customers!$I$1:$I$1001,0)</f>
        <v>No</v>
      </c>
    </row>
    <row r="848" spans="1:16" x14ac:dyDescent="0.25">
      <c r="A848" s="2" t="s">
        <v>5273</v>
      </c>
      <c r="B848" s="4">
        <v>44747</v>
      </c>
      <c r="C848" s="2" t="s">
        <v>5274</v>
      </c>
      <c r="D848" t="s">
        <v>6175</v>
      </c>
      <c r="E848" s="2">
        <v>2</v>
      </c>
      <c r="F848" s="2" t="str">
        <f>_xlfn.XLOOKUP(C848,customers!$A$1:$A$1001,customers!$B$1:$B$1001,0)</f>
        <v>Edin Mathe</v>
      </c>
      <c r="G848" s="2" t="s">
        <v>6222</v>
      </c>
      <c r="H848" s="2" t="str">
        <f>_xlfn.XLOOKUP(C848,customers!$A$1:$A$1001,customers!$G$1:$G$1001,0)</f>
        <v>United States</v>
      </c>
      <c r="I848" t="str">
        <f>_xlfn.XLOOKUP(D848,products!$A$1:$A$49,products!$B$1:$B$49,0)</f>
        <v>Ara</v>
      </c>
      <c r="J848" t="str">
        <f>_xlfn.XLOOKUP('data cleaned'!D848,products!$A$1:$A$49,products!$C$1:$C$49,0)</f>
        <v>M</v>
      </c>
      <c r="K848" s="5">
        <f>_xlfn.XLOOKUP('data cleaned'!D848,products!$A$1:$A$49,products!$D$1:$D$49,0)</f>
        <v>2.5</v>
      </c>
      <c r="L848" s="6">
        <f>_xlfn.XLOOKUP('data cleaned'!D848,products!$A$1:$A$49,products!$E$1:$E$49,0)</f>
        <v>25.874999999999996</v>
      </c>
      <c r="M848" s="6">
        <f>'data cleaned'!E848*'data cleaned'!L848</f>
        <v>51.749999999999993</v>
      </c>
      <c r="N848" t="str">
        <f t="shared" si="26"/>
        <v>Arabica</v>
      </c>
      <c r="O848" t="str">
        <f t="shared" si="27"/>
        <v>Medium</v>
      </c>
      <c r="P848" t="str">
        <f>_xlfn.XLOOKUP(worksheet[[#This Row],[Customer ID]],customers!$A$1:$A$1001,customers!$I$1:$I$1001,0)</f>
        <v>Yes</v>
      </c>
    </row>
    <row r="849" spans="1:16" x14ac:dyDescent="0.25">
      <c r="A849" s="2" t="s">
        <v>5278</v>
      </c>
      <c r="B849" s="4">
        <v>44460</v>
      </c>
      <c r="C849" s="2" t="s">
        <v>5279</v>
      </c>
      <c r="D849" t="s">
        <v>6154</v>
      </c>
      <c r="E849" s="2">
        <v>3</v>
      </c>
      <c r="F849" s="2" t="str">
        <f>_xlfn.XLOOKUP(C849,customers!$A$1:$A$1001,customers!$B$1:$B$1001,0)</f>
        <v>Mordy Van Der Vlies</v>
      </c>
      <c r="G849" s="2" t="s">
        <v>5281</v>
      </c>
      <c r="H849" s="2" t="str">
        <f>_xlfn.XLOOKUP(C849,customers!$A$1:$A$1001,customers!$G$1:$G$1001,0)</f>
        <v>United States</v>
      </c>
      <c r="I849" t="str">
        <f>_xlfn.XLOOKUP(D849,products!$A$1:$A$49,products!$B$1:$B$49,0)</f>
        <v>Ara</v>
      </c>
      <c r="J849" t="str">
        <f>_xlfn.XLOOKUP('data cleaned'!D849,products!$A$1:$A$49,products!$C$1:$C$49,0)</f>
        <v>D</v>
      </c>
      <c r="K849" s="5">
        <f>_xlfn.XLOOKUP('data cleaned'!D849,products!$A$1:$A$49,products!$D$1:$D$49,0)</f>
        <v>0.2</v>
      </c>
      <c r="L849" s="6">
        <f>_xlfn.XLOOKUP('data cleaned'!D849,products!$A$1:$A$49,products!$E$1:$E$49,0)</f>
        <v>2.9849999999999999</v>
      </c>
      <c r="M849" s="6">
        <f>'data cleaned'!E849*'data cleaned'!L849</f>
        <v>8.9550000000000001</v>
      </c>
      <c r="N849" t="str">
        <f t="shared" si="26"/>
        <v>Arabica</v>
      </c>
      <c r="O849" t="str">
        <f t="shared" si="27"/>
        <v>Dark</v>
      </c>
      <c r="P849" t="str">
        <f>_xlfn.XLOOKUP(worksheet[[#This Row],[Customer ID]],customers!$A$1:$A$1001,customers!$I$1:$I$1001,0)</f>
        <v>Yes</v>
      </c>
    </row>
    <row r="850" spans="1:16" x14ac:dyDescent="0.25">
      <c r="A850" s="2" t="s">
        <v>5283</v>
      </c>
      <c r="B850" s="4">
        <v>43468</v>
      </c>
      <c r="C850" s="2" t="s">
        <v>5284</v>
      </c>
      <c r="D850" t="s">
        <v>6176</v>
      </c>
      <c r="E850" s="2">
        <v>6</v>
      </c>
      <c r="F850" s="2" t="str">
        <f>_xlfn.XLOOKUP(C850,customers!$A$1:$A$1001,customers!$B$1:$B$1001,0)</f>
        <v>Spencer Wastell</v>
      </c>
      <c r="G850" s="2" t="s">
        <v>6222</v>
      </c>
      <c r="H850" s="2" t="str">
        <f>_xlfn.XLOOKUP(C850,customers!$A$1:$A$1001,customers!$G$1:$G$1001,0)</f>
        <v>United States</v>
      </c>
      <c r="I850" t="str">
        <f>_xlfn.XLOOKUP(D850,products!$A$1:$A$49,products!$B$1:$B$49,0)</f>
        <v>Exc</v>
      </c>
      <c r="J850" t="str">
        <f>_xlfn.XLOOKUP('data cleaned'!D850,products!$A$1:$A$49,products!$C$1:$C$49,0)</f>
        <v>L</v>
      </c>
      <c r="K850" s="5">
        <f>_xlfn.XLOOKUP('data cleaned'!D850,products!$A$1:$A$49,products!$D$1:$D$49,0)</f>
        <v>0.5</v>
      </c>
      <c r="L850" s="6">
        <f>_xlfn.XLOOKUP('data cleaned'!D850,products!$A$1:$A$49,products!$E$1:$E$49,0)</f>
        <v>8.91</v>
      </c>
      <c r="M850" s="6">
        <f>'data cleaned'!E850*'data cleaned'!L850</f>
        <v>53.46</v>
      </c>
      <c r="N850" t="str">
        <f t="shared" si="26"/>
        <v>Excelsa</v>
      </c>
      <c r="O850" t="str">
        <f t="shared" si="27"/>
        <v>Light</v>
      </c>
      <c r="P850" t="str">
        <f>_xlfn.XLOOKUP(worksheet[[#This Row],[Customer ID]],customers!$A$1:$A$1001,customers!$I$1:$I$1001,0)</f>
        <v>No</v>
      </c>
    </row>
    <row r="851" spans="1:16" x14ac:dyDescent="0.25">
      <c r="A851" s="2" t="s">
        <v>5288</v>
      </c>
      <c r="B851" s="4">
        <v>44628</v>
      </c>
      <c r="C851" s="2" t="s">
        <v>5289</v>
      </c>
      <c r="D851" t="s">
        <v>6167</v>
      </c>
      <c r="E851" s="2">
        <v>6</v>
      </c>
      <c r="F851" s="2" t="str">
        <f>_xlfn.XLOOKUP(C851,customers!$A$1:$A$1001,customers!$B$1:$B$1001,0)</f>
        <v>Jemimah Ethelston</v>
      </c>
      <c r="G851" s="2" t="s">
        <v>5291</v>
      </c>
      <c r="H851" s="2" t="str">
        <f>_xlfn.XLOOKUP(C851,customers!$A$1:$A$1001,customers!$G$1:$G$1001,0)</f>
        <v>United States</v>
      </c>
      <c r="I851" t="str">
        <f>_xlfn.XLOOKUP(D851,products!$A$1:$A$49,products!$B$1:$B$49,0)</f>
        <v>Ara</v>
      </c>
      <c r="J851" t="str">
        <f>_xlfn.XLOOKUP('data cleaned'!D851,products!$A$1:$A$49,products!$C$1:$C$49,0)</f>
        <v>L</v>
      </c>
      <c r="K851" s="5">
        <f>_xlfn.XLOOKUP('data cleaned'!D851,products!$A$1:$A$49,products!$D$1:$D$49,0)</f>
        <v>0.2</v>
      </c>
      <c r="L851" s="6">
        <f>_xlfn.XLOOKUP('data cleaned'!D851,products!$A$1:$A$49,products!$E$1:$E$49,0)</f>
        <v>3.8849999999999998</v>
      </c>
      <c r="M851" s="6">
        <f>'data cleaned'!E851*'data cleaned'!L851</f>
        <v>23.31</v>
      </c>
      <c r="N851" t="str">
        <f t="shared" si="26"/>
        <v>Arabica</v>
      </c>
      <c r="O851" t="str">
        <f t="shared" si="27"/>
        <v>Light</v>
      </c>
      <c r="P851" t="str">
        <f>_xlfn.XLOOKUP(worksheet[[#This Row],[Customer ID]],customers!$A$1:$A$1001,customers!$I$1:$I$1001,0)</f>
        <v>Yes</v>
      </c>
    </row>
    <row r="852" spans="1:16" x14ac:dyDescent="0.25">
      <c r="A852" s="2" t="s">
        <v>5288</v>
      </c>
      <c r="B852" s="4">
        <v>44628</v>
      </c>
      <c r="C852" s="2" t="s">
        <v>5289</v>
      </c>
      <c r="D852" t="s">
        <v>6152</v>
      </c>
      <c r="E852" s="2">
        <v>2</v>
      </c>
      <c r="F852" s="2" t="str">
        <f>_xlfn.XLOOKUP(C852,customers!$A$1:$A$1001,customers!$B$1:$B$1001,0)</f>
        <v>Jemimah Ethelston</v>
      </c>
      <c r="G852" s="2" t="s">
        <v>5291</v>
      </c>
      <c r="H852" s="2" t="str">
        <f>_xlfn.XLOOKUP(C852,customers!$A$1:$A$1001,customers!$G$1:$G$1001,0)</f>
        <v>United States</v>
      </c>
      <c r="I852" t="str">
        <f>_xlfn.XLOOKUP(D852,products!$A$1:$A$49,products!$B$1:$B$49,0)</f>
        <v>Ara</v>
      </c>
      <c r="J852" t="str">
        <f>_xlfn.XLOOKUP('data cleaned'!D852,products!$A$1:$A$49,products!$C$1:$C$49,0)</f>
        <v>M</v>
      </c>
      <c r="K852" s="5">
        <f>_xlfn.XLOOKUP('data cleaned'!D852,products!$A$1:$A$49,products!$D$1:$D$49,0)</f>
        <v>0.2</v>
      </c>
      <c r="L852" s="6">
        <f>_xlfn.XLOOKUP('data cleaned'!D852,products!$A$1:$A$49,products!$E$1:$E$49,0)</f>
        <v>3.375</v>
      </c>
      <c r="M852" s="6">
        <f>'data cleaned'!E852*'data cleaned'!L852</f>
        <v>6.75</v>
      </c>
      <c r="N852" t="str">
        <f t="shared" si="26"/>
        <v>Arabica</v>
      </c>
      <c r="O852" t="str">
        <f t="shared" si="27"/>
        <v>Medium</v>
      </c>
      <c r="P852" t="str">
        <f>_xlfn.XLOOKUP(worksheet[[#This Row],[Customer ID]],customers!$A$1:$A$1001,customers!$I$1:$I$1001,0)</f>
        <v>Yes</v>
      </c>
    </row>
    <row r="853" spans="1:16" x14ac:dyDescent="0.25">
      <c r="A853" s="2" t="s">
        <v>5299</v>
      </c>
      <c r="B853" s="4">
        <v>43900</v>
      </c>
      <c r="C853" s="2" t="s">
        <v>5300</v>
      </c>
      <c r="D853" t="s">
        <v>6169</v>
      </c>
      <c r="E853" s="2">
        <v>1</v>
      </c>
      <c r="F853" s="2" t="str">
        <f>_xlfn.XLOOKUP(C853,customers!$A$1:$A$1001,customers!$B$1:$B$1001,0)</f>
        <v>Perice Eberz</v>
      </c>
      <c r="G853" s="2" t="s">
        <v>5302</v>
      </c>
      <c r="H853" s="2" t="str">
        <f>_xlfn.XLOOKUP(C853,customers!$A$1:$A$1001,customers!$G$1:$G$1001,0)</f>
        <v>United States</v>
      </c>
      <c r="I853" t="str">
        <f>_xlfn.XLOOKUP(D853,products!$A$1:$A$49,products!$B$1:$B$49,0)</f>
        <v>Lib</v>
      </c>
      <c r="J853" t="str">
        <f>_xlfn.XLOOKUP('data cleaned'!D853,products!$A$1:$A$49,products!$C$1:$C$49,0)</f>
        <v>D</v>
      </c>
      <c r="K853" s="5">
        <f>_xlfn.XLOOKUP('data cleaned'!D853,products!$A$1:$A$49,products!$D$1:$D$49,0)</f>
        <v>0.5</v>
      </c>
      <c r="L853" s="6">
        <f>_xlfn.XLOOKUP('data cleaned'!D853,products!$A$1:$A$49,products!$E$1:$E$49,0)</f>
        <v>7.77</v>
      </c>
      <c r="M853" s="6">
        <f>'data cleaned'!E853*'data cleaned'!L853</f>
        <v>7.77</v>
      </c>
      <c r="N853" t="str">
        <f t="shared" si="26"/>
        <v>Liberica</v>
      </c>
      <c r="O853" t="str">
        <f t="shared" si="27"/>
        <v>Dark</v>
      </c>
      <c r="P853" t="str">
        <f>_xlfn.XLOOKUP(worksheet[[#This Row],[Customer ID]],customers!$A$1:$A$1001,customers!$I$1:$I$1001,0)</f>
        <v>Yes</v>
      </c>
    </row>
    <row r="854" spans="1:16" x14ac:dyDescent="0.25">
      <c r="A854" s="2" t="s">
        <v>5305</v>
      </c>
      <c r="B854" s="4">
        <v>44527</v>
      </c>
      <c r="C854" s="2" t="s">
        <v>5306</v>
      </c>
      <c r="D854" t="s">
        <v>6165</v>
      </c>
      <c r="E854" s="2">
        <v>4</v>
      </c>
      <c r="F854" s="2" t="str">
        <f>_xlfn.XLOOKUP(C854,customers!$A$1:$A$1001,customers!$B$1:$B$1001,0)</f>
        <v>Bear Gaish</v>
      </c>
      <c r="G854" s="2" t="s">
        <v>5308</v>
      </c>
      <c r="H854" s="2" t="str">
        <f>_xlfn.XLOOKUP(C854,customers!$A$1:$A$1001,customers!$G$1:$G$1001,0)</f>
        <v>United States</v>
      </c>
      <c r="I854" t="str">
        <f>_xlfn.XLOOKUP(D854,products!$A$1:$A$49,products!$B$1:$B$49,0)</f>
        <v>Lib</v>
      </c>
      <c r="J854" t="str">
        <f>_xlfn.XLOOKUP('data cleaned'!D854,products!$A$1:$A$49,products!$C$1:$C$49,0)</f>
        <v>D</v>
      </c>
      <c r="K854" s="5">
        <f>_xlfn.XLOOKUP('data cleaned'!D854,products!$A$1:$A$49,products!$D$1:$D$49,0)</f>
        <v>2.5</v>
      </c>
      <c r="L854" s="6">
        <f>_xlfn.XLOOKUP('data cleaned'!D854,products!$A$1:$A$49,products!$E$1:$E$49,0)</f>
        <v>29.784999999999997</v>
      </c>
      <c r="M854" s="6">
        <f>'data cleaned'!E854*'data cleaned'!L854</f>
        <v>119.13999999999999</v>
      </c>
      <c r="N854" t="str">
        <f t="shared" si="26"/>
        <v>Liberica</v>
      </c>
      <c r="O854" t="str">
        <f t="shared" si="27"/>
        <v>Dark</v>
      </c>
      <c r="P854" t="str">
        <f>_xlfn.XLOOKUP(worksheet[[#This Row],[Customer ID]],customers!$A$1:$A$1001,customers!$I$1:$I$1001,0)</f>
        <v>Yes</v>
      </c>
    </row>
    <row r="855" spans="1:16" x14ac:dyDescent="0.25">
      <c r="A855" s="2" t="s">
        <v>5310</v>
      </c>
      <c r="B855" s="4">
        <v>44259</v>
      </c>
      <c r="C855" s="2" t="s">
        <v>5311</v>
      </c>
      <c r="D855" t="s">
        <v>6147</v>
      </c>
      <c r="E855" s="2">
        <v>2</v>
      </c>
      <c r="F855" s="2" t="str">
        <f>_xlfn.XLOOKUP(C855,customers!$A$1:$A$1001,customers!$B$1:$B$1001,0)</f>
        <v>Lynnea Danton</v>
      </c>
      <c r="G855" s="2" t="s">
        <v>5313</v>
      </c>
      <c r="H855" s="2" t="str">
        <f>_xlfn.XLOOKUP(C855,customers!$A$1:$A$1001,customers!$G$1:$G$1001,0)</f>
        <v>United States</v>
      </c>
      <c r="I855" t="str">
        <f>_xlfn.XLOOKUP(D855,products!$A$1:$A$49,products!$B$1:$B$49,0)</f>
        <v>Ara</v>
      </c>
      <c r="J855" t="str">
        <f>_xlfn.XLOOKUP('data cleaned'!D855,products!$A$1:$A$49,products!$C$1:$C$49,0)</f>
        <v>D</v>
      </c>
      <c r="K855" s="5">
        <f>_xlfn.XLOOKUP('data cleaned'!D855,products!$A$1:$A$49,products!$D$1:$D$49,0)</f>
        <v>1</v>
      </c>
      <c r="L855" s="6">
        <f>_xlfn.XLOOKUP('data cleaned'!D855,products!$A$1:$A$49,products!$E$1:$E$49,0)</f>
        <v>9.9499999999999993</v>
      </c>
      <c r="M855" s="6">
        <f>'data cleaned'!E855*'data cleaned'!L855</f>
        <v>19.899999999999999</v>
      </c>
      <c r="N855" t="str">
        <f t="shared" si="26"/>
        <v>Arabica</v>
      </c>
      <c r="O855" t="str">
        <f t="shared" si="27"/>
        <v>Dark</v>
      </c>
      <c r="P855" t="str">
        <f>_xlfn.XLOOKUP(worksheet[[#This Row],[Customer ID]],customers!$A$1:$A$1001,customers!$I$1:$I$1001,0)</f>
        <v>No</v>
      </c>
    </row>
    <row r="856" spans="1:16" x14ac:dyDescent="0.25">
      <c r="A856" s="2" t="s">
        <v>5315</v>
      </c>
      <c r="B856" s="4">
        <v>44516</v>
      </c>
      <c r="C856" s="2" t="s">
        <v>5316</v>
      </c>
      <c r="D856" t="s">
        <v>6173</v>
      </c>
      <c r="E856" s="2">
        <v>5</v>
      </c>
      <c r="F856" s="2" t="str">
        <f>_xlfn.XLOOKUP(C856,customers!$A$1:$A$1001,customers!$B$1:$B$1001,0)</f>
        <v>Skipton Morrall</v>
      </c>
      <c r="G856" s="2" t="s">
        <v>5318</v>
      </c>
      <c r="H856" s="2" t="str">
        <f>_xlfn.XLOOKUP(C856,customers!$A$1:$A$1001,customers!$G$1:$G$1001,0)</f>
        <v>United States</v>
      </c>
      <c r="I856" t="str">
        <f>_xlfn.XLOOKUP(D856,products!$A$1:$A$49,products!$B$1:$B$49,0)</f>
        <v>Rob</v>
      </c>
      <c r="J856" t="str">
        <f>_xlfn.XLOOKUP('data cleaned'!D856,products!$A$1:$A$49,products!$C$1:$C$49,0)</f>
        <v>L</v>
      </c>
      <c r="K856" s="5">
        <f>_xlfn.XLOOKUP('data cleaned'!D856,products!$A$1:$A$49,products!$D$1:$D$49,0)</f>
        <v>0.5</v>
      </c>
      <c r="L856" s="6">
        <f>_xlfn.XLOOKUP('data cleaned'!D856,products!$A$1:$A$49,products!$E$1:$E$49,0)</f>
        <v>7.169999999999999</v>
      </c>
      <c r="M856" s="6">
        <f>'data cleaned'!E856*'data cleaned'!L856</f>
        <v>35.849999999999994</v>
      </c>
      <c r="N856" t="str">
        <f t="shared" si="26"/>
        <v>Robusta</v>
      </c>
      <c r="O856" t="str">
        <f t="shared" si="27"/>
        <v>Light</v>
      </c>
      <c r="P856" t="str">
        <f>_xlfn.XLOOKUP(worksheet[[#This Row],[Customer ID]],customers!$A$1:$A$1001,customers!$I$1:$I$1001,0)</f>
        <v>Yes</v>
      </c>
    </row>
    <row r="857" spans="1:16" x14ac:dyDescent="0.25">
      <c r="A857" s="2" t="s">
        <v>5321</v>
      </c>
      <c r="B857" s="4">
        <v>43632</v>
      </c>
      <c r="C857" s="2" t="s">
        <v>5322</v>
      </c>
      <c r="D857" t="s">
        <v>6165</v>
      </c>
      <c r="E857" s="2">
        <v>3</v>
      </c>
      <c r="F857" s="2" t="str">
        <f>_xlfn.XLOOKUP(C857,customers!$A$1:$A$1001,customers!$B$1:$B$1001,0)</f>
        <v>Devan Crownshaw</v>
      </c>
      <c r="G857" s="2" t="s">
        <v>5324</v>
      </c>
      <c r="H857" s="2" t="str">
        <f>_xlfn.XLOOKUP(C857,customers!$A$1:$A$1001,customers!$G$1:$G$1001,0)</f>
        <v>United States</v>
      </c>
      <c r="I857" t="str">
        <f>_xlfn.XLOOKUP(D857,products!$A$1:$A$49,products!$B$1:$B$49,0)</f>
        <v>Lib</v>
      </c>
      <c r="J857" t="str">
        <f>_xlfn.XLOOKUP('data cleaned'!D857,products!$A$1:$A$49,products!$C$1:$C$49,0)</f>
        <v>D</v>
      </c>
      <c r="K857" s="5">
        <f>_xlfn.XLOOKUP('data cleaned'!D857,products!$A$1:$A$49,products!$D$1:$D$49,0)</f>
        <v>2.5</v>
      </c>
      <c r="L857" s="6">
        <f>_xlfn.XLOOKUP('data cleaned'!D857,products!$A$1:$A$49,products!$E$1:$E$49,0)</f>
        <v>29.784999999999997</v>
      </c>
      <c r="M857" s="6">
        <f>'data cleaned'!E857*'data cleaned'!L857</f>
        <v>89.35499999999999</v>
      </c>
      <c r="N857" t="str">
        <f t="shared" si="26"/>
        <v>Liberica</v>
      </c>
      <c r="O857" t="str">
        <f t="shared" si="27"/>
        <v>Dark</v>
      </c>
      <c r="P857" t="str">
        <f>_xlfn.XLOOKUP(worksheet[[#This Row],[Customer ID]],customers!$A$1:$A$1001,customers!$I$1:$I$1001,0)</f>
        <v>No</v>
      </c>
    </row>
    <row r="858" spans="1:16" x14ac:dyDescent="0.25">
      <c r="A858" s="2" t="s">
        <v>5327</v>
      </c>
      <c r="B858" s="4">
        <v>44031</v>
      </c>
      <c r="C858" s="2" t="s">
        <v>5188</v>
      </c>
      <c r="D858" t="s">
        <v>6159</v>
      </c>
      <c r="E858" s="2">
        <v>2</v>
      </c>
      <c r="F858" s="2" t="str">
        <f>_xlfn.XLOOKUP(C858,customers!$A$1:$A$1001,customers!$B$1:$B$1001,0)</f>
        <v>Odelia Skerme</v>
      </c>
      <c r="G858" s="2" t="s">
        <v>5190</v>
      </c>
      <c r="H858" s="2" t="str">
        <f>_xlfn.XLOOKUP(C858,customers!$A$1:$A$1001,customers!$G$1:$G$1001,0)</f>
        <v>United States</v>
      </c>
      <c r="I858" t="str">
        <f>_xlfn.XLOOKUP(D858,products!$A$1:$A$49,products!$B$1:$B$49,0)</f>
        <v>Lib</v>
      </c>
      <c r="J858" t="str">
        <f>_xlfn.XLOOKUP('data cleaned'!D858,products!$A$1:$A$49,products!$C$1:$C$49,0)</f>
        <v>M</v>
      </c>
      <c r="K858" s="5">
        <f>_xlfn.XLOOKUP('data cleaned'!D858,products!$A$1:$A$49,products!$D$1:$D$49,0)</f>
        <v>0.2</v>
      </c>
      <c r="L858" s="6">
        <f>_xlfn.XLOOKUP('data cleaned'!D858,products!$A$1:$A$49,products!$E$1:$E$49,0)</f>
        <v>4.3650000000000002</v>
      </c>
      <c r="M858" s="6">
        <f>'data cleaned'!E858*'data cleaned'!L858</f>
        <v>8.73</v>
      </c>
      <c r="N858" t="str">
        <f t="shared" si="26"/>
        <v>Liberica</v>
      </c>
      <c r="O858" t="str">
        <f t="shared" si="27"/>
        <v>Medium</v>
      </c>
      <c r="P858" t="str">
        <f>_xlfn.XLOOKUP(worksheet[[#This Row],[Customer ID]],customers!$A$1:$A$1001,customers!$I$1:$I$1001,0)</f>
        <v>Yes</v>
      </c>
    </row>
    <row r="859" spans="1:16" x14ac:dyDescent="0.25">
      <c r="A859" s="2" t="s">
        <v>5333</v>
      </c>
      <c r="B859" s="4">
        <v>43889</v>
      </c>
      <c r="C859" s="2" t="s">
        <v>5334</v>
      </c>
      <c r="D859" t="s">
        <v>6142</v>
      </c>
      <c r="E859" s="2">
        <v>5</v>
      </c>
      <c r="F859" s="2" t="str">
        <f>_xlfn.XLOOKUP(C859,customers!$A$1:$A$1001,customers!$B$1:$B$1001,0)</f>
        <v>Joceline Reddoch</v>
      </c>
      <c r="G859" s="2" t="s">
        <v>5336</v>
      </c>
      <c r="H859" s="2" t="str">
        <f>_xlfn.XLOOKUP(C859,customers!$A$1:$A$1001,customers!$G$1:$G$1001,0)</f>
        <v>United States</v>
      </c>
      <c r="I859" t="str">
        <f>_xlfn.XLOOKUP(D859,products!$A$1:$A$49,products!$B$1:$B$49,0)</f>
        <v>Rob</v>
      </c>
      <c r="J859" t="str">
        <f>_xlfn.XLOOKUP('data cleaned'!D859,products!$A$1:$A$49,products!$C$1:$C$49,0)</f>
        <v>L</v>
      </c>
      <c r="K859" s="5">
        <f>_xlfn.XLOOKUP('data cleaned'!D859,products!$A$1:$A$49,products!$D$1:$D$49,0)</f>
        <v>2.5</v>
      </c>
      <c r="L859" s="6">
        <f>_xlfn.XLOOKUP('data cleaned'!D859,products!$A$1:$A$49,products!$E$1:$E$49,0)</f>
        <v>27.484999999999996</v>
      </c>
      <c r="M859" s="6">
        <f>'data cleaned'!E859*'data cleaned'!L859</f>
        <v>137.42499999999998</v>
      </c>
      <c r="N859" t="str">
        <f t="shared" si="26"/>
        <v>Robusta</v>
      </c>
      <c r="O859" t="str">
        <f t="shared" si="27"/>
        <v>Light</v>
      </c>
      <c r="P859" t="str">
        <f>_xlfn.XLOOKUP(worksheet[[#This Row],[Customer ID]],customers!$A$1:$A$1001,customers!$I$1:$I$1001,0)</f>
        <v>No</v>
      </c>
    </row>
    <row r="860" spans="1:16" x14ac:dyDescent="0.25">
      <c r="A860" s="2" t="s">
        <v>5339</v>
      </c>
      <c r="B860" s="4">
        <v>43638</v>
      </c>
      <c r="C860" s="2" t="s">
        <v>5340</v>
      </c>
      <c r="D860" t="s">
        <v>6160</v>
      </c>
      <c r="E860" s="2">
        <v>4</v>
      </c>
      <c r="F860" s="2" t="str">
        <f>_xlfn.XLOOKUP(C860,customers!$A$1:$A$1001,customers!$B$1:$B$1001,0)</f>
        <v>Shelley Titley</v>
      </c>
      <c r="G860" s="2" t="s">
        <v>5342</v>
      </c>
      <c r="H860" s="2" t="str">
        <f>_xlfn.XLOOKUP(C860,customers!$A$1:$A$1001,customers!$G$1:$G$1001,0)</f>
        <v>United States</v>
      </c>
      <c r="I860" t="str">
        <f>_xlfn.XLOOKUP(D860,products!$A$1:$A$49,products!$B$1:$B$49,0)</f>
        <v>Lib</v>
      </c>
      <c r="J860" t="str">
        <f>_xlfn.XLOOKUP('data cleaned'!D860,products!$A$1:$A$49,products!$C$1:$C$49,0)</f>
        <v>M</v>
      </c>
      <c r="K860" s="5">
        <f>_xlfn.XLOOKUP('data cleaned'!D860,products!$A$1:$A$49,products!$D$1:$D$49,0)</f>
        <v>0.5</v>
      </c>
      <c r="L860" s="6">
        <f>_xlfn.XLOOKUP('data cleaned'!D860,products!$A$1:$A$49,products!$E$1:$E$49,0)</f>
        <v>8.73</v>
      </c>
      <c r="M860" s="6">
        <f>'data cleaned'!E860*'data cleaned'!L860</f>
        <v>34.92</v>
      </c>
      <c r="N860" t="str">
        <f t="shared" si="26"/>
        <v>Liberica</v>
      </c>
      <c r="O860" t="str">
        <f t="shared" si="27"/>
        <v>Medium</v>
      </c>
      <c r="P860" t="str">
        <f>_xlfn.XLOOKUP(worksheet[[#This Row],[Customer ID]],customers!$A$1:$A$1001,customers!$I$1:$I$1001,0)</f>
        <v>No</v>
      </c>
    </row>
    <row r="861" spans="1:16" x14ac:dyDescent="0.25">
      <c r="A861" s="2" t="s">
        <v>5345</v>
      </c>
      <c r="B861" s="4">
        <v>43716</v>
      </c>
      <c r="C861" s="2" t="s">
        <v>5346</v>
      </c>
      <c r="D861" t="s">
        <v>6182</v>
      </c>
      <c r="E861" s="2">
        <v>6</v>
      </c>
      <c r="F861" s="2" t="str">
        <f>_xlfn.XLOOKUP(C861,customers!$A$1:$A$1001,customers!$B$1:$B$1001,0)</f>
        <v>Redd Simao</v>
      </c>
      <c r="G861" s="2" t="s">
        <v>5348</v>
      </c>
      <c r="H861" s="2" t="str">
        <f>_xlfn.XLOOKUP(C861,customers!$A$1:$A$1001,customers!$G$1:$G$1001,0)</f>
        <v>United States</v>
      </c>
      <c r="I861" t="str">
        <f>_xlfn.XLOOKUP(D861,products!$A$1:$A$49,products!$B$1:$B$49,0)</f>
        <v>Ara</v>
      </c>
      <c r="J861" t="str">
        <f>_xlfn.XLOOKUP('data cleaned'!D861,products!$A$1:$A$49,products!$C$1:$C$49,0)</f>
        <v>L</v>
      </c>
      <c r="K861" s="5">
        <f>_xlfn.XLOOKUP('data cleaned'!D861,products!$A$1:$A$49,products!$D$1:$D$49,0)</f>
        <v>2.5</v>
      </c>
      <c r="L861" s="6">
        <f>_xlfn.XLOOKUP('data cleaned'!D861,products!$A$1:$A$49,products!$E$1:$E$49,0)</f>
        <v>29.784999999999997</v>
      </c>
      <c r="M861" s="6">
        <f>'data cleaned'!E861*'data cleaned'!L861</f>
        <v>178.70999999999998</v>
      </c>
      <c r="N861" t="str">
        <f t="shared" si="26"/>
        <v>Arabica</v>
      </c>
      <c r="O861" t="str">
        <f t="shared" si="27"/>
        <v>Light</v>
      </c>
      <c r="P861" t="str">
        <f>_xlfn.XLOOKUP(worksheet[[#This Row],[Customer ID]],customers!$A$1:$A$1001,customers!$I$1:$I$1001,0)</f>
        <v>No</v>
      </c>
    </row>
    <row r="862" spans="1:16" x14ac:dyDescent="0.25">
      <c r="A862" s="2" t="s">
        <v>5351</v>
      </c>
      <c r="B862" s="4">
        <v>44707</v>
      </c>
      <c r="C862" s="2" t="s">
        <v>5352</v>
      </c>
      <c r="D862" t="s">
        <v>6175</v>
      </c>
      <c r="E862" s="2">
        <v>1</v>
      </c>
      <c r="F862" s="2" t="str">
        <f>_xlfn.XLOOKUP(C862,customers!$A$1:$A$1001,customers!$B$1:$B$1001,0)</f>
        <v>Cece Inker</v>
      </c>
      <c r="G862" s="2" t="s">
        <v>6222</v>
      </c>
      <c r="H862" s="2" t="str">
        <f>_xlfn.XLOOKUP(C862,customers!$A$1:$A$1001,customers!$G$1:$G$1001,0)</f>
        <v>United States</v>
      </c>
      <c r="I862" t="str">
        <f>_xlfn.XLOOKUP(D862,products!$A$1:$A$49,products!$B$1:$B$49,0)</f>
        <v>Ara</v>
      </c>
      <c r="J862" t="str">
        <f>_xlfn.XLOOKUP('data cleaned'!D862,products!$A$1:$A$49,products!$C$1:$C$49,0)</f>
        <v>M</v>
      </c>
      <c r="K862" s="5">
        <f>_xlfn.XLOOKUP('data cleaned'!D862,products!$A$1:$A$49,products!$D$1:$D$49,0)</f>
        <v>2.5</v>
      </c>
      <c r="L862" s="6">
        <f>_xlfn.XLOOKUP('data cleaned'!D862,products!$A$1:$A$49,products!$E$1:$E$49,0)</f>
        <v>25.874999999999996</v>
      </c>
      <c r="M862" s="6">
        <f>'data cleaned'!E862*'data cleaned'!L862</f>
        <v>25.874999999999996</v>
      </c>
      <c r="N862" t="str">
        <f t="shared" si="26"/>
        <v>Arabica</v>
      </c>
      <c r="O862" t="str">
        <f t="shared" si="27"/>
        <v>Medium</v>
      </c>
      <c r="P862" t="str">
        <f>_xlfn.XLOOKUP(worksheet[[#This Row],[Customer ID]],customers!$A$1:$A$1001,customers!$I$1:$I$1001,0)</f>
        <v>No</v>
      </c>
    </row>
    <row r="863" spans="1:16" x14ac:dyDescent="0.25">
      <c r="A863" s="2" t="s">
        <v>5356</v>
      </c>
      <c r="B863" s="4">
        <v>43802</v>
      </c>
      <c r="C863" s="2" t="s">
        <v>5357</v>
      </c>
      <c r="D863" t="s">
        <v>6143</v>
      </c>
      <c r="E863" s="2">
        <v>6</v>
      </c>
      <c r="F863" s="2" t="str">
        <f>_xlfn.XLOOKUP(C863,customers!$A$1:$A$1001,customers!$B$1:$B$1001,0)</f>
        <v>Noel Chisholm</v>
      </c>
      <c r="G863" s="2" t="s">
        <v>5359</v>
      </c>
      <c r="H863" s="2" t="str">
        <f>_xlfn.XLOOKUP(C863,customers!$A$1:$A$1001,customers!$G$1:$G$1001,0)</f>
        <v>United States</v>
      </c>
      <c r="I863" t="str">
        <f>_xlfn.XLOOKUP(D863,products!$A$1:$A$49,products!$B$1:$B$49,0)</f>
        <v>Lib</v>
      </c>
      <c r="J863" t="str">
        <f>_xlfn.XLOOKUP('data cleaned'!D863,products!$A$1:$A$49,products!$C$1:$C$49,0)</f>
        <v>D</v>
      </c>
      <c r="K863" s="5">
        <f>_xlfn.XLOOKUP('data cleaned'!D863,products!$A$1:$A$49,products!$D$1:$D$49,0)</f>
        <v>1</v>
      </c>
      <c r="L863" s="6">
        <f>_xlfn.XLOOKUP('data cleaned'!D863,products!$A$1:$A$49,products!$E$1:$E$49,0)</f>
        <v>12.95</v>
      </c>
      <c r="M863" s="6">
        <f>'data cleaned'!E863*'data cleaned'!L863</f>
        <v>77.699999999999989</v>
      </c>
      <c r="N863" t="str">
        <f t="shared" si="26"/>
        <v>Liberica</v>
      </c>
      <c r="O863" t="str">
        <f t="shared" si="27"/>
        <v>Dark</v>
      </c>
      <c r="P863" t="str">
        <f>_xlfn.XLOOKUP(worksheet[[#This Row],[Customer ID]],customers!$A$1:$A$1001,customers!$I$1:$I$1001,0)</f>
        <v>Yes</v>
      </c>
    </row>
    <row r="864" spans="1:16" x14ac:dyDescent="0.25">
      <c r="A864" s="2" t="s">
        <v>5362</v>
      </c>
      <c r="B864" s="4">
        <v>43725</v>
      </c>
      <c r="C864" s="2" t="s">
        <v>5363</v>
      </c>
      <c r="D864" t="s">
        <v>6138</v>
      </c>
      <c r="E864" s="2">
        <v>1</v>
      </c>
      <c r="F864" s="2" t="str">
        <f>_xlfn.XLOOKUP(C864,customers!$A$1:$A$1001,customers!$B$1:$B$1001,0)</f>
        <v>Grazia Oats</v>
      </c>
      <c r="G864" s="2" t="s">
        <v>5365</v>
      </c>
      <c r="H864" s="2" t="str">
        <f>_xlfn.XLOOKUP(C864,customers!$A$1:$A$1001,customers!$G$1:$G$1001,0)</f>
        <v>United States</v>
      </c>
      <c r="I864" t="str">
        <f>_xlfn.XLOOKUP(D864,products!$A$1:$A$49,products!$B$1:$B$49,0)</f>
        <v>Rob</v>
      </c>
      <c r="J864" t="str">
        <f>_xlfn.XLOOKUP('data cleaned'!D864,products!$A$1:$A$49,products!$C$1:$C$49,0)</f>
        <v>M</v>
      </c>
      <c r="K864" s="5">
        <f>_xlfn.XLOOKUP('data cleaned'!D864,products!$A$1:$A$49,products!$D$1:$D$49,0)</f>
        <v>1</v>
      </c>
      <c r="L864" s="6">
        <f>_xlfn.XLOOKUP('data cleaned'!D864,products!$A$1:$A$49,products!$E$1:$E$49,0)</f>
        <v>9.9499999999999993</v>
      </c>
      <c r="M864" s="6">
        <f>'data cleaned'!E864*'data cleaned'!L864</f>
        <v>9.9499999999999993</v>
      </c>
      <c r="N864" t="str">
        <f t="shared" si="26"/>
        <v>Robusta</v>
      </c>
      <c r="O864" t="str">
        <f t="shared" si="27"/>
        <v>Medium</v>
      </c>
      <c r="P864" t="str">
        <f>_xlfn.XLOOKUP(worksheet[[#This Row],[Customer ID]],customers!$A$1:$A$1001,customers!$I$1:$I$1001,0)</f>
        <v>Yes</v>
      </c>
    </row>
    <row r="865" spans="1:16" x14ac:dyDescent="0.25">
      <c r="A865" s="2" t="s">
        <v>5368</v>
      </c>
      <c r="B865" s="4">
        <v>44712</v>
      </c>
      <c r="C865" s="2" t="s">
        <v>5369</v>
      </c>
      <c r="D865" t="s">
        <v>6162</v>
      </c>
      <c r="E865" s="2">
        <v>2</v>
      </c>
      <c r="F865" s="2" t="str">
        <f>_xlfn.XLOOKUP(C865,customers!$A$1:$A$1001,customers!$B$1:$B$1001,0)</f>
        <v>Meade Birkin</v>
      </c>
      <c r="G865" s="2" t="s">
        <v>5371</v>
      </c>
      <c r="H865" s="2" t="str">
        <f>_xlfn.XLOOKUP(C865,customers!$A$1:$A$1001,customers!$G$1:$G$1001,0)</f>
        <v>United States</v>
      </c>
      <c r="I865" t="str">
        <f>_xlfn.XLOOKUP(D865,products!$A$1:$A$49,products!$B$1:$B$49,0)</f>
        <v>Lib</v>
      </c>
      <c r="J865" t="str">
        <f>_xlfn.XLOOKUP('data cleaned'!D865,products!$A$1:$A$49,products!$C$1:$C$49,0)</f>
        <v>M</v>
      </c>
      <c r="K865" s="5">
        <f>_xlfn.XLOOKUP('data cleaned'!D865,products!$A$1:$A$49,products!$D$1:$D$49,0)</f>
        <v>1</v>
      </c>
      <c r="L865" s="6">
        <f>_xlfn.XLOOKUP('data cleaned'!D865,products!$A$1:$A$49,products!$E$1:$E$49,0)</f>
        <v>14.55</v>
      </c>
      <c r="M865" s="6">
        <f>'data cleaned'!E865*'data cleaned'!L865</f>
        <v>29.1</v>
      </c>
      <c r="N865" t="str">
        <f t="shared" si="26"/>
        <v>Liberica</v>
      </c>
      <c r="O865" t="str">
        <f t="shared" si="27"/>
        <v>Medium</v>
      </c>
      <c r="P865" t="str">
        <f>_xlfn.XLOOKUP(worksheet[[#This Row],[Customer ID]],customers!$A$1:$A$1001,customers!$I$1:$I$1001,0)</f>
        <v>Yes</v>
      </c>
    </row>
    <row r="866" spans="1:16" x14ac:dyDescent="0.25">
      <c r="A866" s="2" t="s">
        <v>5374</v>
      </c>
      <c r="B866" s="4">
        <v>43759</v>
      </c>
      <c r="C866" s="2" t="s">
        <v>5375</v>
      </c>
      <c r="D866" t="s">
        <v>6178</v>
      </c>
      <c r="E866" s="2">
        <v>6</v>
      </c>
      <c r="F866" s="2" t="str">
        <f>_xlfn.XLOOKUP(C866,customers!$A$1:$A$1001,customers!$B$1:$B$1001,0)</f>
        <v>Ronda Pyson</v>
      </c>
      <c r="G866" s="2" t="s">
        <v>5377</v>
      </c>
      <c r="H866" s="2" t="str">
        <f>_xlfn.XLOOKUP(C866,customers!$A$1:$A$1001,customers!$G$1:$G$1001,0)</f>
        <v>Ireland</v>
      </c>
      <c r="I866" t="str">
        <f>_xlfn.XLOOKUP(D866,products!$A$1:$A$49,products!$B$1:$B$49,0)</f>
        <v>Rob</v>
      </c>
      <c r="J866" t="str">
        <f>_xlfn.XLOOKUP('data cleaned'!D866,products!$A$1:$A$49,products!$C$1:$C$49,0)</f>
        <v>L</v>
      </c>
      <c r="K866" s="5">
        <f>_xlfn.XLOOKUP('data cleaned'!D866,products!$A$1:$A$49,products!$D$1:$D$49,0)</f>
        <v>0.2</v>
      </c>
      <c r="L866" s="6">
        <f>_xlfn.XLOOKUP('data cleaned'!D866,products!$A$1:$A$49,products!$E$1:$E$49,0)</f>
        <v>3.5849999999999995</v>
      </c>
      <c r="M866" s="6">
        <f>'data cleaned'!E866*'data cleaned'!L866</f>
        <v>21.509999999999998</v>
      </c>
      <c r="N866" t="str">
        <f t="shared" si="26"/>
        <v>Robusta</v>
      </c>
      <c r="O866" t="str">
        <f t="shared" si="27"/>
        <v>Light</v>
      </c>
      <c r="P866" t="str">
        <f>_xlfn.XLOOKUP(worksheet[[#This Row],[Customer ID]],customers!$A$1:$A$1001,customers!$I$1:$I$1001,0)</f>
        <v>No</v>
      </c>
    </row>
    <row r="867" spans="1:16" x14ac:dyDescent="0.25">
      <c r="A867" s="2" t="s">
        <v>5380</v>
      </c>
      <c r="B867" s="4">
        <v>44675</v>
      </c>
      <c r="C867" s="2" t="s">
        <v>5428</v>
      </c>
      <c r="D867" t="s">
        <v>6157</v>
      </c>
      <c r="E867" s="2">
        <v>1</v>
      </c>
      <c r="F867" s="2" t="str">
        <f>_xlfn.XLOOKUP(C867,customers!$A$1:$A$1001,customers!$B$1:$B$1001,0)</f>
        <v>Modesty MacConnechie</v>
      </c>
      <c r="G867" s="2" t="s">
        <v>5430</v>
      </c>
      <c r="H867" s="2" t="str">
        <f>_xlfn.XLOOKUP(C867,customers!$A$1:$A$1001,customers!$G$1:$G$1001,0)</f>
        <v>United States</v>
      </c>
      <c r="I867" t="str">
        <f>_xlfn.XLOOKUP(D867,products!$A$1:$A$49,products!$B$1:$B$49,0)</f>
        <v>Ara</v>
      </c>
      <c r="J867" t="str">
        <f>_xlfn.XLOOKUP('data cleaned'!D867,products!$A$1:$A$49,products!$C$1:$C$49,0)</f>
        <v>M</v>
      </c>
      <c r="K867" s="5">
        <f>_xlfn.XLOOKUP('data cleaned'!D867,products!$A$1:$A$49,products!$D$1:$D$49,0)</f>
        <v>0.5</v>
      </c>
      <c r="L867" s="6">
        <f>_xlfn.XLOOKUP('data cleaned'!D867,products!$A$1:$A$49,products!$E$1:$E$49,0)</f>
        <v>6.75</v>
      </c>
      <c r="M867" s="6">
        <f>'data cleaned'!E867*'data cleaned'!L867</f>
        <v>6.75</v>
      </c>
      <c r="N867" t="str">
        <f t="shared" si="26"/>
        <v>Arabica</v>
      </c>
      <c r="O867" t="str">
        <f t="shared" si="27"/>
        <v>Medium</v>
      </c>
      <c r="P867" t="str">
        <f>_xlfn.XLOOKUP(worksheet[[#This Row],[Customer ID]],customers!$A$1:$A$1001,customers!$I$1:$I$1001,0)</f>
        <v>Yes</v>
      </c>
    </row>
    <row r="868" spans="1:16" x14ac:dyDescent="0.25">
      <c r="A868" s="2" t="s">
        <v>5385</v>
      </c>
      <c r="B868" s="4">
        <v>44209</v>
      </c>
      <c r="C868" s="2" t="s">
        <v>5386</v>
      </c>
      <c r="D868" t="s">
        <v>6158</v>
      </c>
      <c r="E868" s="2">
        <v>3</v>
      </c>
      <c r="F868" s="2" t="str">
        <f>_xlfn.XLOOKUP(C868,customers!$A$1:$A$1001,customers!$B$1:$B$1001,0)</f>
        <v>Rafaela Treacher</v>
      </c>
      <c r="G868" s="2" t="s">
        <v>5388</v>
      </c>
      <c r="H868" s="2" t="str">
        <f>_xlfn.XLOOKUP(C868,customers!$A$1:$A$1001,customers!$G$1:$G$1001,0)</f>
        <v>Ireland</v>
      </c>
      <c r="I868" t="str">
        <f>_xlfn.XLOOKUP(D868,products!$A$1:$A$49,products!$B$1:$B$49,0)</f>
        <v>Ara</v>
      </c>
      <c r="J868" t="str">
        <f>_xlfn.XLOOKUP('data cleaned'!D868,products!$A$1:$A$49,products!$C$1:$C$49,0)</f>
        <v>D</v>
      </c>
      <c r="K868" s="5">
        <f>_xlfn.XLOOKUP('data cleaned'!D868,products!$A$1:$A$49,products!$D$1:$D$49,0)</f>
        <v>0.5</v>
      </c>
      <c r="L868" s="6">
        <f>_xlfn.XLOOKUP('data cleaned'!D868,products!$A$1:$A$49,products!$E$1:$E$49,0)</f>
        <v>5.97</v>
      </c>
      <c r="M868" s="6">
        <f>'data cleaned'!E868*'data cleaned'!L868</f>
        <v>17.91</v>
      </c>
      <c r="N868" t="str">
        <f t="shared" si="26"/>
        <v>Arabica</v>
      </c>
      <c r="O868" t="str">
        <f t="shared" si="27"/>
        <v>Dark</v>
      </c>
      <c r="P868" t="str">
        <f>_xlfn.XLOOKUP(worksheet[[#This Row],[Customer ID]],customers!$A$1:$A$1001,customers!$I$1:$I$1001,0)</f>
        <v>No</v>
      </c>
    </row>
    <row r="869" spans="1:16" x14ac:dyDescent="0.25">
      <c r="A869" s="2" t="s">
        <v>5391</v>
      </c>
      <c r="B869" s="4">
        <v>44792</v>
      </c>
      <c r="C869" s="2" t="s">
        <v>5392</v>
      </c>
      <c r="D869" t="s">
        <v>6182</v>
      </c>
      <c r="E869" s="2">
        <v>1</v>
      </c>
      <c r="F869" s="2" t="str">
        <f>_xlfn.XLOOKUP(C869,customers!$A$1:$A$1001,customers!$B$1:$B$1001,0)</f>
        <v>Bee Fattorini</v>
      </c>
      <c r="G869" s="2" t="s">
        <v>5394</v>
      </c>
      <c r="H869" s="2" t="str">
        <f>_xlfn.XLOOKUP(C869,customers!$A$1:$A$1001,customers!$G$1:$G$1001,0)</f>
        <v>Ireland</v>
      </c>
      <c r="I869" t="str">
        <f>_xlfn.XLOOKUP(D869,products!$A$1:$A$49,products!$B$1:$B$49,0)</f>
        <v>Ara</v>
      </c>
      <c r="J869" t="str">
        <f>_xlfn.XLOOKUP('data cleaned'!D869,products!$A$1:$A$49,products!$C$1:$C$49,0)</f>
        <v>L</v>
      </c>
      <c r="K869" s="5">
        <f>_xlfn.XLOOKUP('data cleaned'!D869,products!$A$1:$A$49,products!$D$1:$D$49,0)</f>
        <v>2.5</v>
      </c>
      <c r="L869" s="6">
        <f>_xlfn.XLOOKUP('data cleaned'!D869,products!$A$1:$A$49,products!$E$1:$E$49,0)</f>
        <v>29.784999999999997</v>
      </c>
      <c r="M869" s="6">
        <f>'data cleaned'!E869*'data cleaned'!L869</f>
        <v>29.784999999999997</v>
      </c>
      <c r="N869" t="str">
        <f t="shared" si="26"/>
        <v>Arabica</v>
      </c>
      <c r="O869" t="str">
        <f t="shared" si="27"/>
        <v>Light</v>
      </c>
      <c r="P869" t="str">
        <f>_xlfn.XLOOKUP(worksheet[[#This Row],[Customer ID]],customers!$A$1:$A$1001,customers!$I$1:$I$1001,0)</f>
        <v>Yes</v>
      </c>
    </row>
    <row r="870" spans="1:16" x14ac:dyDescent="0.25">
      <c r="A870" s="2" t="s">
        <v>5396</v>
      </c>
      <c r="B870" s="4">
        <v>43526</v>
      </c>
      <c r="C870" s="2" t="s">
        <v>5397</v>
      </c>
      <c r="D870" t="s">
        <v>6139</v>
      </c>
      <c r="E870" s="2">
        <v>5</v>
      </c>
      <c r="F870" s="2" t="str">
        <f>_xlfn.XLOOKUP(C870,customers!$A$1:$A$1001,customers!$B$1:$B$1001,0)</f>
        <v>Margie Palleske</v>
      </c>
      <c r="G870" s="2" t="s">
        <v>5399</v>
      </c>
      <c r="H870" s="2" t="str">
        <f>_xlfn.XLOOKUP(C870,customers!$A$1:$A$1001,customers!$G$1:$G$1001,0)</f>
        <v>United States</v>
      </c>
      <c r="I870" t="str">
        <f>_xlfn.XLOOKUP(D870,products!$A$1:$A$49,products!$B$1:$B$49,0)</f>
        <v>Exc</v>
      </c>
      <c r="J870" t="str">
        <f>_xlfn.XLOOKUP('data cleaned'!D870,products!$A$1:$A$49,products!$C$1:$C$49,0)</f>
        <v>M</v>
      </c>
      <c r="K870" s="5">
        <f>_xlfn.XLOOKUP('data cleaned'!D870,products!$A$1:$A$49,products!$D$1:$D$49,0)</f>
        <v>0.5</v>
      </c>
      <c r="L870" s="6">
        <f>_xlfn.XLOOKUP('data cleaned'!D870,products!$A$1:$A$49,products!$E$1:$E$49,0)</f>
        <v>8.25</v>
      </c>
      <c r="M870" s="6">
        <f>'data cleaned'!E870*'data cleaned'!L870</f>
        <v>41.25</v>
      </c>
      <c r="N870" t="str">
        <f t="shared" si="26"/>
        <v>Excelsa</v>
      </c>
      <c r="O870" t="str">
        <f t="shared" si="27"/>
        <v>Medium</v>
      </c>
      <c r="P870" t="str">
        <f>_xlfn.XLOOKUP(worksheet[[#This Row],[Customer ID]],customers!$A$1:$A$1001,customers!$I$1:$I$1001,0)</f>
        <v>Yes</v>
      </c>
    </row>
    <row r="871" spans="1:16" x14ac:dyDescent="0.25">
      <c r="A871" s="2" t="s">
        <v>5402</v>
      </c>
      <c r="B871" s="4">
        <v>43851</v>
      </c>
      <c r="C871" s="2" t="s">
        <v>5403</v>
      </c>
      <c r="D871" t="s">
        <v>6146</v>
      </c>
      <c r="E871" s="2">
        <v>3</v>
      </c>
      <c r="F871" s="2" t="str">
        <f>_xlfn.XLOOKUP(C871,customers!$A$1:$A$1001,customers!$B$1:$B$1001,0)</f>
        <v>Alexina Randals</v>
      </c>
      <c r="G871" s="2" t="s">
        <v>6222</v>
      </c>
      <c r="H871" s="2" t="str">
        <f>_xlfn.XLOOKUP(C871,customers!$A$1:$A$1001,customers!$G$1:$G$1001,0)</f>
        <v>United States</v>
      </c>
      <c r="I871" t="str">
        <f>_xlfn.XLOOKUP(D871,products!$A$1:$A$49,products!$B$1:$B$49,0)</f>
        <v>Rob</v>
      </c>
      <c r="J871" t="str">
        <f>_xlfn.XLOOKUP('data cleaned'!D871,products!$A$1:$A$49,products!$C$1:$C$49,0)</f>
        <v>M</v>
      </c>
      <c r="K871" s="5">
        <f>_xlfn.XLOOKUP('data cleaned'!D871,products!$A$1:$A$49,products!$D$1:$D$49,0)</f>
        <v>0.5</v>
      </c>
      <c r="L871" s="6">
        <f>_xlfn.XLOOKUP('data cleaned'!D871,products!$A$1:$A$49,products!$E$1:$E$49,0)</f>
        <v>5.97</v>
      </c>
      <c r="M871" s="6">
        <f>'data cleaned'!E871*'data cleaned'!L871</f>
        <v>17.91</v>
      </c>
      <c r="N871" t="str">
        <f t="shared" si="26"/>
        <v>Robusta</v>
      </c>
      <c r="O871" t="str">
        <f t="shared" si="27"/>
        <v>Medium</v>
      </c>
      <c r="P871" t="str">
        <f>_xlfn.XLOOKUP(worksheet[[#This Row],[Customer ID]],customers!$A$1:$A$1001,customers!$I$1:$I$1001,0)</f>
        <v>Yes</v>
      </c>
    </row>
    <row r="872" spans="1:16" x14ac:dyDescent="0.25">
      <c r="A872" s="2" t="s">
        <v>5407</v>
      </c>
      <c r="B872" s="4">
        <v>44460</v>
      </c>
      <c r="C872" s="2" t="s">
        <v>5408</v>
      </c>
      <c r="D872" t="s">
        <v>6144</v>
      </c>
      <c r="E872" s="2">
        <v>1</v>
      </c>
      <c r="F872" s="2" t="str">
        <f>_xlfn.XLOOKUP(C872,customers!$A$1:$A$1001,customers!$B$1:$B$1001,0)</f>
        <v>Filip Antcliffe</v>
      </c>
      <c r="G872" s="2" t="s">
        <v>5410</v>
      </c>
      <c r="H872" s="2" t="str">
        <f>_xlfn.XLOOKUP(C872,customers!$A$1:$A$1001,customers!$G$1:$G$1001,0)</f>
        <v>Ireland</v>
      </c>
      <c r="I872" t="str">
        <f>_xlfn.XLOOKUP(D872,products!$A$1:$A$49,products!$B$1:$B$49,0)</f>
        <v>Exc</v>
      </c>
      <c r="J872" t="str">
        <f>_xlfn.XLOOKUP('data cleaned'!D872,products!$A$1:$A$49,products!$C$1:$C$49,0)</f>
        <v>D</v>
      </c>
      <c r="K872" s="5">
        <f>_xlfn.XLOOKUP('data cleaned'!D872,products!$A$1:$A$49,products!$D$1:$D$49,0)</f>
        <v>0.5</v>
      </c>
      <c r="L872" s="6">
        <f>_xlfn.XLOOKUP('data cleaned'!D872,products!$A$1:$A$49,products!$E$1:$E$49,0)</f>
        <v>7.29</v>
      </c>
      <c r="M872" s="6">
        <f>'data cleaned'!E872*'data cleaned'!L872</f>
        <v>7.29</v>
      </c>
      <c r="N872" t="str">
        <f t="shared" si="26"/>
        <v>Excelsa</v>
      </c>
      <c r="O872" t="str">
        <f t="shared" si="27"/>
        <v>Dark</v>
      </c>
      <c r="P872" t="str">
        <f>_xlfn.XLOOKUP(worksheet[[#This Row],[Customer ID]],customers!$A$1:$A$1001,customers!$I$1:$I$1001,0)</f>
        <v>Yes</v>
      </c>
    </row>
    <row r="873" spans="1:16" x14ac:dyDescent="0.25">
      <c r="A873" s="2" t="s">
        <v>5413</v>
      </c>
      <c r="B873" s="4">
        <v>43707</v>
      </c>
      <c r="C873" s="2" t="s">
        <v>5414</v>
      </c>
      <c r="D873" t="s">
        <v>6171</v>
      </c>
      <c r="E873" s="2">
        <v>2</v>
      </c>
      <c r="F873" s="2" t="str">
        <f>_xlfn.XLOOKUP(C873,customers!$A$1:$A$1001,customers!$B$1:$B$1001,0)</f>
        <v>Peyter Matignon</v>
      </c>
      <c r="G873" s="2" t="s">
        <v>5416</v>
      </c>
      <c r="H873" s="2" t="str">
        <f>_xlfn.XLOOKUP(C873,customers!$A$1:$A$1001,customers!$G$1:$G$1001,0)</f>
        <v>United Kingdom</v>
      </c>
      <c r="I873" t="str">
        <f>_xlfn.XLOOKUP(D873,products!$A$1:$A$49,products!$B$1:$B$49,0)</f>
        <v>Exc</v>
      </c>
      <c r="J873" t="str">
        <f>_xlfn.XLOOKUP('data cleaned'!D873,products!$A$1:$A$49,products!$C$1:$C$49,0)</f>
        <v>L</v>
      </c>
      <c r="K873" s="5">
        <f>_xlfn.XLOOKUP('data cleaned'!D873,products!$A$1:$A$49,products!$D$1:$D$49,0)</f>
        <v>1</v>
      </c>
      <c r="L873" s="6">
        <f>_xlfn.XLOOKUP('data cleaned'!D873,products!$A$1:$A$49,products!$E$1:$E$49,0)</f>
        <v>14.85</v>
      </c>
      <c r="M873" s="6">
        <f>'data cleaned'!E873*'data cleaned'!L873</f>
        <v>29.7</v>
      </c>
      <c r="N873" t="str">
        <f t="shared" si="26"/>
        <v>Excelsa</v>
      </c>
      <c r="O873" t="str">
        <f t="shared" si="27"/>
        <v>Light</v>
      </c>
      <c r="P873" t="str">
        <f>_xlfn.XLOOKUP(worksheet[[#This Row],[Customer ID]],customers!$A$1:$A$1001,customers!$I$1:$I$1001,0)</f>
        <v>Yes</v>
      </c>
    </row>
    <row r="874" spans="1:16" x14ac:dyDescent="0.25">
      <c r="A874" s="2" t="s">
        <v>5421</v>
      </c>
      <c r="B874" s="4">
        <v>43521</v>
      </c>
      <c r="C874" s="2" t="s">
        <v>5422</v>
      </c>
      <c r="D874" t="s">
        <v>6155</v>
      </c>
      <c r="E874" s="2">
        <v>2</v>
      </c>
      <c r="F874" s="2" t="str">
        <f>_xlfn.XLOOKUP(C874,customers!$A$1:$A$1001,customers!$B$1:$B$1001,0)</f>
        <v>Claudie Weond</v>
      </c>
      <c r="G874" s="2" t="s">
        <v>5424</v>
      </c>
      <c r="H874" s="2" t="str">
        <f>_xlfn.XLOOKUP(C874,customers!$A$1:$A$1001,customers!$G$1:$G$1001,0)</f>
        <v>United States</v>
      </c>
      <c r="I874" t="str">
        <f>_xlfn.XLOOKUP(D874,products!$A$1:$A$49,products!$B$1:$B$49,0)</f>
        <v>Ara</v>
      </c>
      <c r="J874" t="str">
        <f>_xlfn.XLOOKUP('data cleaned'!D874,products!$A$1:$A$49,products!$C$1:$C$49,0)</f>
        <v>M</v>
      </c>
      <c r="K874" s="5">
        <f>_xlfn.XLOOKUP('data cleaned'!D874,products!$A$1:$A$49,products!$D$1:$D$49,0)</f>
        <v>1</v>
      </c>
      <c r="L874" s="6">
        <f>_xlfn.XLOOKUP('data cleaned'!D874,products!$A$1:$A$49,products!$E$1:$E$49,0)</f>
        <v>11.25</v>
      </c>
      <c r="M874" s="6">
        <f>'data cleaned'!E874*'data cleaned'!L874</f>
        <v>22.5</v>
      </c>
      <c r="N874" t="str">
        <f t="shared" si="26"/>
        <v>Arabica</v>
      </c>
      <c r="O874" t="str">
        <f t="shared" si="27"/>
        <v>Medium</v>
      </c>
      <c r="P874" t="str">
        <f>_xlfn.XLOOKUP(worksheet[[#This Row],[Customer ID]],customers!$A$1:$A$1001,customers!$I$1:$I$1001,0)</f>
        <v>No</v>
      </c>
    </row>
    <row r="875" spans="1:16" x14ac:dyDescent="0.25">
      <c r="A875" s="2" t="s">
        <v>5427</v>
      </c>
      <c r="B875" s="4">
        <v>43725</v>
      </c>
      <c r="C875" s="2" t="s">
        <v>5428</v>
      </c>
      <c r="D875" t="s">
        <v>6174</v>
      </c>
      <c r="E875" s="2">
        <v>4</v>
      </c>
      <c r="F875" s="2" t="str">
        <f>_xlfn.XLOOKUP(C875,customers!$A$1:$A$1001,customers!$B$1:$B$1001,0)</f>
        <v>Modesty MacConnechie</v>
      </c>
      <c r="G875" s="2" t="s">
        <v>5430</v>
      </c>
      <c r="H875" s="2" t="str">
        <f>_xlfn.XLOOKUP(C875,customers!$A$1:$A$1001,customers!$G$1:$G$1001,0)</f>
        <v>United States</v>
      </c>
      <c r="I875" t="str">
        <f>_xlfn.XLOOKUP(D875,products!$A$1:$A$49,products!$B$1:$B$49,0)</f>
        <v>Rob</v>
      </c>
      <c r="J875" t="str">
        <f>_xlfn.XLOOKUP('data cleaned'!D875,products!$A$1:$A$49,products!$C$1:$C$49,0)</f>
        <v>M</v>
      </c>
      <c r="K875" s="5">
        <f>_xlfn.XLOOKUP('data cleaned'!D875,products!$A$1:$A$49,products!$D$1:$D$49,0)</f>
        <v>0.2</v>
      </c>
      <c r="L875" s="6">
        <f>_xlfn.XLOOKUP('data cleaned'!D875,products!$A$1:$A$49,products!$E$1:$E$49,0)</f>
        <v>2.9849999999999999</v>
      </c>
      <c r="M875" s="6">
        <f>'data cleaned'!E875*'data cleaned'!L875</f>
        <v>11.94</v>
      </c>
      <c r="N875" t="str">
        <f t="shared" si="26"/>
        <v>Robusta</v>
      </c>
      <c r="O875" t="str">
        <f t="shared" si="27"/>
        <v>Medium</v>
      </c>
      <c r="P875" t="str">
        <f>_xlfn.XLOOKUP(worksheet[[#This Row],[Customer ID]],customers!$A$1:$A$1001,customers!$I$1:$I$1001,0)</f>
        <v>Yes</v>
      </c>
    </row>
    <row r="876" spans="1:16" x14ac:dyDescent="0.25">
      <c r="A876" s="2" t="s">
        <v>5433</v>
      </c>
      <c r="B876" s="4">
        <v>43680</v>
      </c>
      <c r="C876" s="2" t="s">
        <v>5434</v>
      </c>
      <c r="D876" t="s">
        <v>6140</v>
      </c>
      <c r="E876" s="2">
        <v>2</v>
      </c>
      <c r="F876" s="2" t="str">
        <f>_xlfn.XLOOKUP(C876,customers!$A$1:$A$1001,customers!$B$1:$B$1001,0)</f>
        <v>Jaquenette Skentelbery</v>
      </c>
      <c r="G876" s="2" t="s">
        <v>5436</v>
      </c>
      <c r="H876" s="2" t="str">
        <f>_xlfn.XLOOKUP(C876,customers!$A$1:$A$1001,customers!$G$1:$G$1001,0)</f>
        <v>United States</v>
      </c>
      <c r="I876" t="str">
        <f>_xlfn.XLOOKUP(D876,products!$A$1:$A$49,products!$B$1:$B$49,0)</f>
        <v>Ara</v>
      </c>
      <c r="J876" t="str">
        <f>_xlfn.XLOOKUP('data cleaned'!D876,products!$A$1:$A$49,products!$C$1:$C$49,0)</f>
        <v>L</v>
      </c>
      <c r="K876" s="5">
        <f>_xlfn.XLOOKUP('data cleaned'!D876,products!$A$1:$A$49,products!$D$1:$D$49,0)</f>
        <v>1</v>
      </c>
      <c r="L876" s="6">
        <f>_xlfn.XLOOKUP('data cleaned'!D876,products!$A$1:$A$49,products!$E$1:$E$49,0)</f>
        <v>12.95</v>
      </c>
      <c r="M876" s="6">
        <f>'data cleaned'!E876*'data cleaned'!L876</f>
        <v>25.9</v>
      </c>
      <c r="N876" t="str">
        <f t="shared" si="26"/>
        <v>Arabica</v>
      </c>
      <c r="O876" t="str">
        <f t="shared" si="27"/>
        <v>Light</v>
      </c>
      <c r="P876" t="str">
        <f>_xlfn.XLOOKUP(worksheet[[#This Row],[Customer ID]],customers!$A$1:$A$1001,customers!$I$1:$I$1001,0)</f>
        <v>No</v>
      </c>
    </row>
    <row r="877" spans="1:16" x14ac:dyDescent="0.25">
      <c r="A877" s="2" t="s">
        <v>5439</v>
      </c>
      <c r="B877" s="4">
        <v>44253</v>
      </c>
      <c r="C877" s="2" t="s">
        <v>5440</v>
      </c>
      <c r="D877" t="s">
        <v>6160</v>
      </c>
      <c r="E877" s="2">
        <v>5</v>
      </c>
      <c r="F877" s="2" t="str">
        <f>_xlfn.XLOOKUP(C877,customers!$A$1:$A$1001,customers!$B$1:$B$1001,0)</f>
        <v>Orazio Comber</v>
      </c>
      <c r="G877" s="2" t="s">
        <v>5442</v>
      </c>
      <c r="H877" s="2" t="str">
        <f>_xlfn.XLOOKUP(C877,customers!$A$1:$A$1001,customers!$G$1:$G$1001,0)</f>
        <v>Ireland</v>
      </c>
      <c r="I877" t="str">
        <f>_xlfn.XLOOKUP(D877,products!$A$1:$A$49,products!$B$1:$B$49,0)</f>
        <v>Lib</v>
      </c>
      <c r="J877" t="str">
        <f>_xlfn.XLOOKUP('data cleaned'!D877,products!$A$1:$A$49,products!$C$1:$C$49,0)</f>
        <v>M</v>
      </c>
      <c r="K877" s="5">
        <f>_xlfn.XLOOKUP('data cleaned'!D877,products!$A$1:$A$49,products!$D$1:$D$49,0)</f>
        <v>0.5</v>
      </c>
      <c r="L877" s="6">
        <f>_xlfn.XLOOKUP('data cleaned'!D877,products!$A$1:$A$49,products!$E$1:$E$49,0)</f>
        <v>8.73</v>
      </c>
      <c r="M877" s="6">
        <f>'data cleaned'!E877*'data cleaned'!L877</f>
        <v>43.650000000000006</v>
      </c>
      <c r="N877" t="str">
        <f t="shared" si="26"/>
        <v>Liberica</v>
      </c>
      <c r="O877" t="str">
        <f t="shared" si="27"/>
        <v>Medium</v>
      </c>
      <c r="P877" t="str">
        <f>_xlfn.XLOOKUP(worksheet[[#This Row],[Customer ID]],customers!$A$1:$A$1001,customers!$I$1:$I$1001,0)</f>
        <v>No</v>
      </c>
    </row>
    <row r="878" spans="1:16" x14ac:dyDescent="0.25">
      <c r="A878" s="2" t="s">
        <v>5439</v>
      </c>
      <c r="B878" s="4">
        <v>44253</v>
      </c>
      <c r="C878" s="2" t="s">
        <v>5440</v>
      </c>
      <c r="D878" t="s">
        <v>6180</v>
      </c>
      <c r="E878" s="2">
        <v>6</v>
      </c>
      <c r="F878" s="2" t="str">
        <f>_xlfn.XLOOKUP(C878,customers!$A$1:$A$1001,customers!$B$1:$B$1001,0)</f>
        <v>Orazio Comber</v>
      </c>
      <c r="G878" s="2" t="s">
        <v>5442</v>
      </c>
      <c r="H878" s="2" t="str">
        <f>_xlfn.XLOOKUP(C878,customers!$A$1:$A$1001,customers!$G$1:$G$1001,0)</f>
        <v>Ireland</v>
      </c>
      <c r="I878" t="str">
        <f>_xlfn.XLOOKUP(D878,products!$A$1:$A$49,products!$B$1:$B$49,0)</f>
        <v>Ara</v>
      </c>
      <c r="J878" t="str">
        <f>_xlfn.XLOOKUP('data cleaned'!D878,products!$A$1:$A$49,products!$C$1:$C$49,0)</f>
        <v>L</v>
      </c>
      <c r="K878" s="5">
        <f>_xlfn.XLOOKUP('data cleaned'!D878,products!$A$1:$A$49,products!$D$1:$D$49,0)</f>
        <v>0.5</v>
      </c>
      <c r="L878" s="6">
        <f>_xlfn.XLOOKUP('data cleaned'!D878,products!$A$1:$A$49,products!$E$1:$E$49,0)</f>
        <v>7.77</v>
      </c>
      <c r="M878" s="6">
        <f>'data cleaned'!E878*'data cleaned'!L878</f>
        <v>46.62</v>
      </c>
      <c r="N878" t="str">
        <f t="shared" si="26"/>
        <v>Arabica</v>
      </c>
      <c r="O878" t="str">
        <f t="shared" si="27"/>
        <v>Light</v>
      </c>
      <c r="P878" t="str">
        <f>_xlfn.XLOOKUP(worksheet[[#This Row],[Customer ID]],customers!$A$1:$A$1001,customers!$I$1:$I$1001,0)</f>
        <v>No</v>
      </c>
    </row>
    <row r="879" spans="1:16" x14ac:dyDescent="0.25">
      <c r="A879" s="2" t="s">
        <v>5450</v>
      </c>
      <c r="B879" s="4">
        <v>44411</v>
      </c>
      <c r="C879" s="2" t="s">
        <v>5451</v>
      </c>
      <c r="D879" t="s">
        <v>6161</v>
      </c>
      <c r="E879" s="2">
        <v>3</v>
      </c>
      <c r="F879" s="2" t="str">
        <f>_xlfn.XLOOKUP(C879,customers!$A$1:$A$1001,customers!$B$1:$B$1001,0)</f>
        <v>Zachary Tramel</v>
      </c>
      <c r="G879" s="2" t="s">
        <v>5453</v>
      </c>
      <c r="H879" s="2" t="str">
        <f>_xlfn.XLOOKUP(C879,customers!$A$1:$A$1001,customers!$G$1:$G$1001,0)</f>
        <v>United States</v>
      </c>
      <c r="I879" t="str">
        <f>_xlfn.XLOOKUP(D879,products!$A$1:$A$49,products!$B$1:$B$49,0)</f>
        <v>Lib</v>
      </c>
      <c r="J879" t="str">
        <f>_xlfn.XLOOKUP('data cleaned'!D879,products!$A$1:$A$49,products!$C$1:$C$49,0)</f>
        <v>L</v>
      </c>
      <c r="K879" s="5">
        <f>_xlfn.XLOOKUP('data cleaned'!D879,products!$A$1:$A$49,products!$D$1:$D$49,0)</f>
        <v>0.5</v>
      </c>
      <c r="L879" s="6">
        <f>_xlfn.XLOOKUP('data cleaned'!D879,products!$A$1:$A$49,products!$E$1:$E$49,0)</f>
        <v>9.51</v>
      </c>
      <c r="M879" s="6">
        <f>'data cleaned'!E879*'data cleaned'!L879</f>
        <v>28.53</v>
      </c>
      <c r="N879" t="str">
        <f t="shared" si="26"/>
        <v>Liberica</v>
      </c>
      <c r="O879" t="str">
        <f t="shared" si="27"/>
        <v>Light</v>
      </c>
      <c r="P879" t="str">
        <f>_xlfn.XLOOKUP(worksheet[[#This Row],[Customer ID]],customers!$A$1:$A$1001,customers!$I$1:$I$1001,0)</f>
        <v>No</v>
      </c>
    </row>
    <row r="880" spans="1:16" x14ac:dyDescent="0.25">
      <c r="A880" s="2" t="s">
        <v>5456</v>
      </c>
      <c r="B880" s="4">
        <v>44323</v>
      </c>
      <c r="C880" s="2" t="s">
        <v>5457</v>
      </c>
      <c r="D880" t="s">
        <v>6142</v>
      </c>
      <c r="E880" s="2">
        <v>1</v>
      </c>
      <c r="F880" s="2" t="str">
        <f>_xlfn.XLOOKUP(C880,customers!$A$1:$A$1001,customers!$B$1:$B$1001,0)</f>
        <v>Izaak Primak</v>
      </c>
      <c r="G880" s="2" t="s">
        <v>6222</v>
      </c>
      <c r="H880" s="2" t="str">
        <f>_xlfn.XLOOKUP(C880,customers!$A$1:$A$1001,customers!$G$1:$G$1001,0)</f>
        <v>United States</v>
      </c>
      <c r="I880" t="str">
        <f>_xlfn.XLOOKUP(D880,products!$A$1:$A$49,products!$B$1:$B$49,0)</f>
        <v>Rob</v>
      </c>
      <c r="J880" t="str">
        <f>_xlfn.XLOOKUP('data cleaned'!D880,products!$A$1:$A$49,products!$C$1:$C$49,0)</f>
        <v>L</v>
      </c>
      <c r="K880" s="5">
        <f>_xlfn.XLOOKUP('data cleaned'!D880,products!$A$1:$A$49,products!$D$1:$D$49,0)</f>
        <v>2.5</v>
      </c>
      <c r="L880" s="6">
        <f>_xlfn.XLOOKUP('data cleaned'!D880,products!$A$1:$A$49,products!$E$1:$E$49,0)</f>
        <v>27.484999999999996</v>
      </c>
      <c r="M880" s="6">
        <f>'data cleaned'!E880*'data cleaned'!L880</f>
        <v>27.484999999999996</v>
      </c>
      <c r="N880" t="str">
        <f t="shared" si="26"/>
        <v>Robusta</v>
      </c>
      <c r="O880" t="str">
        <f t="shared" si="27"/>
        <v>Light</v>
      </c>
      <c r="P880" t="str">
        <f>_xlfn.XLOOKUP(worksheet[[#This Row],[Customer ID]],customers!$A$1:$A$1001,customers!$I$1:$I$1001,0)</f>
        <v>Yes</v>
      </c>
    </row>
    <row r="881" spans="1:16" x14ac:dyDescent="0.25">
      <c r="A881" s="2" t="s">
        <v>5461</v>
      </c>
      <c r="B881" s="4">
        <v>43630</v>
      </c>
      <c r="C881" s="2" t="s">
        <v>5462</v>
      </c>
      <c r="D881" t="s">
        <v>6153</v>
      </c>
      <c r="E881" s="2">
        <v>3</v>
      </c>
      <c r="F881" s="2" t="str">
        <f>_xlfn.XLOOKUP(C881,customers!$A$1:$A$1001,customers!$B$1:$B$1001,0)</f>
        <v>Brittani Thoresbie</v>
      </c>
      <c r="G881" s="2" t="s">
        <v>6222</v>
      </c>
      <c r="H881" s="2" t="str">
        <f>_xlfn.XLOOKUP(C881,customers!$A$1:$A$1001,customers!$G$1:$G$1001,0)</f>
        <v>United States</v>
      </c>
      <c r="I881" t="str">
        <f>_xlfn.XLOOKUP(D881,products!$A$1:$A$49,products!$B$1:$B$49,0)</f>
        <v>Exc</v>
      </c>
      <c r="J881" t="str">
        <f>_xlfn.XLOOKUP('data cleaned'!D881,products!$A$1:$A$49,products!$C$1:$C$49,0)</f>
        <v>D</v>
      </c>
      <c r="K881" s="5">
        <f>_xlfn.XLOOKUP('data cleaned'!D881,products!$A$1:$A$49,products!$D$1:$D$49,0)</f>
        <v>0.2</v>
      </c>
      <c r="L881" s="6">
        <f>_xlfn.XLOOKUP('data cleaned'!D881,products!$A$1:$A$49,products!$E$1:$E$49,0)</f>
        <v>3.645</v>
      </c>
      <c r="M881" s="6">
        <f>'data cleaned'!E881*'data cleaned'!L881</f>
        <v>10.935</v>
      </c>
      <c r="N881" t="str">
        <f t="shared" si="26"/>
        <v>Excelsa</v>
      </c>
      <c r="O881" t="str">
        <f t="shared" si="27"/>
        <v>Dark</v>
      </c>
      <c r="P881" t="str">
        <f>_xlfn.XLOOKUP(worksheet[[#This Row],[Customer ID]],customers!$A$1:$A$1001,customers!$I$1:$I$1001,0)</f>
        <v>No</v>
      </c>
    </row>
    <row r="882" spans="1:16" x14ac:dyDescent="0.25">
      <c r="A882" s="2" t="s">
        <v>5466</v>
      </c>
      <c r="B882" s="4">
        <v>43790</v>
      </c>
      <c r="C882" s="2" t="s">
        <v>5467</v>
      </c>
      <c r="D882" t="s">
        <v>6178</v>
      </c>
      <c r="E882" s="2">
        <v>2</v>
      </c>
      <c r="F882" s="2" t="str">
        <f>_xlfn.XLOOKUP(C882,customers!$A$1:$A$1001,customers!$B$1:$B$1001,0)</f>
        <v>Constanta Hatfull</v>
      </c>
      <c r="G882" s="2" t="s">
        <v>5469</v>
      </c>
      <c r="H882" s="2" t="str">
        <f>_xlfn.XLOOKUP(C882,customers!$A$1:$A$1001,customers!$G$1:$G$1001,0)</f>
        <v>United States</v>
      </c>
      <c r="I882" t="str">
        <f>_xlfn.XLOOKUP(D882,products!$A$1:$A$49,products!$B$1:$B$49,0)</f>
        <v>Rob</v>
      </c>
      <c r="J882" t="str">
        <f>_xlfn.XLOOKUP('data cleaned'!D882,products!$A$1:$A$49,products!$C$1:$C$49,0)</f>
        <v>L</v>
      </c>
      <c r="K882" s="5">
        <f>_xlfn.XLOOKUP('data cleaned'!D882,products!$A$1:$A$49,products!$D$1:$D$49,0)</f>
        <v>0.2</v>
      </c>
      <c r="L882" s="6">
        <f>_xlfn.XLOOKUP('data cleaned'!D882,products!$A$1:$A$49,products!$E$1:$E$49,0)</f>
        <v>3.5849999999999995</v>
      </c>
      <c r="M882" s="6">
        <f>'data cleaned'!E882*'data cleaned'!L882</f>
        <v>7.169999999999999</v>
      </c>
      <c r="N882" t="str">
        <f t="shared" si="26"/>
        <v>Robusta</v>
      </c>
      <c r="O882" t="str">
        <f t="shared" si="27"/>
        <v>Light</v>
      </c>
      <c r="P882" t="str">
        <f>_xlfn.XLOOKUP(worksheet[[#This Row],[Customer ID]],customers!$A$1:$A$1001,customers!$I$1:$I$1001,0)</f>
        <v>No</v>
      </c>
    </row>
    <row r="883" spans="1:16" x14ac:dyDescent="0.25">
      <c r="A883" s="2" t="s">
        <v>5472</v>
      </c>
      <c r="B883" s="4">
        <v>44286</v>
      </c>
      <c r="C883" s="2" t="s">
        <v>5473</v>
      </c>
      <c r="D883" t="s">
        <v>6167</v>
      </c>
      <c r="E883" s="2">
        <v>6</v>
      </c>
      <c r="F883" s="2" t="str">
        <f>_xlfn.XLOOKUP(C883,customers!$A$1:$A$1001,customers!$B$1:$B$1001,0)</f>
        <v>Bobbe Castagneto</v>
      </c>
      <c r="G883" s="2" t="s">
        <v>6222</v>
      </c>
      <c r="H883" s="2" t="str">
        <f>_xlfn.XLOOKUP(C883,customers!$A$1:$A$1001,customers!$G$1:$G$1001,0)</f>
        <v>United States</v>
      </c>
      <c r="I883" t="str">
        <f>_xlfn.XLOOKUP(D883,products!$A$1:$A$49,products!$B$1:$B$49,0)</f>
        <v>Ara</v>
      </c>
      <c r="J883" t="str">
        <f>_xlfn.XLOOKUP('data cleaned'!D883,products!$A$1:$A$49,products!$C$1:$C$49,0)</f>
        <v>L</v>
      </c>
      <c r="K883" s="5">
        <f>_xlfn.XLOOKUP('data cleaned'!D883,products!$A$1:$A$49,products!$D$1:$D$49,0)</f>
        <v>0.2</v>
      </c>
      <c r="L883" s="6">
        <f>_xlfn.XLOOKUP('data cleaned'!D883,products!$A$1:$A$49,products!$E$1:$E$49,0)</f>
        <v>3.8849999999999998</v>
      </c>
      <c r="M883" s="6">
        <f>'data cleaned'!E883*'data cleaned'!L883</f>
        <v>23.31</v>
      </c>
      <c r="N883" t="str">
        <f t="shared" si="26"/>
        <v>Arabica</v>
      </c>
      <c r="O883" t="str">
        <f t="shared" si="27"/>
        <v>Light</v>
      </c>
      <c r="P883" t="str">
        <f>_xlfn.XLOOKUP(worksheet[[#This Row],[Customer ID]],customers!$A$1:$A$1001,customers!$I$1:$I$1001,0)</f>
        <v>Yes</v>
      </c>
    </row>
    <row r="884" spans="1:16" x14ac:dyDescent="0.25">
      <c r="A884" s="2" t="s">
        <v>5477</v>
      </c>
      <c r="B884" s="4">
        <v>43647</v>
      </c>
      <c r="C884" s="2" t="s">
        <v>5526</v>
      </c>
      <c r="D884" t="s">
        <v>6168</v>
      </c>
      <c r="E884" s="2">
        <v>5</v>
      </c>
      <c r="F884" s="2" t="str">
        <f>_xlfn.XLOOKUP(C884,customers!$A$1:$A$1001,customers!$B$1:$B$1001,0)</f>
        <v>Kippie Marrison</v>
      </c>
      <c r="G884" s="2" t="s">
        <v>5528</v>
      </c>
      <c r="H884" s="2" t="str">
        <f>_xlfn.XLOOKUP(C884,customers!$A$1:$A$1001,customers!$G$1:$G$1001,0)</f>
        <v>United States</v>
      </c>
      <c r="I884" t="str">
        <f>_xlfn.XLOOKUP(D884,products!$A$1:$A$49,products!$B$1:$B$49,0)</f>
        <v>Ara</v>
      </c>
      <c r="J884" t="str">
        <f>_xlfn.XLOOKUP('data cleaned'!D884,products!$A$1:$A$49,products!$C$1:$C$49,0)</f>
        <v>D</v>
      </c>
      <c r="K884" s="5">
        <f>_xlfn.XLOOKUP('data cleaned'!D884,products!$A$1:$A$49,products!$D$1:$D$49,0)</f>
        <v>2.5</v>
      </c>
      <c r="L884" s="6">
        <f>_xlfn.XLOOKUP('data cleaned'!D884,products!$A$1:$A$49,products!$E$1:$E$49,0)</f>
        <v>22.884999999999998</v>
      </c>
      <c r="M884" s="6">
        <f>'data cleaned'!E884*'data cleaned'!L884</f>
        <v>114.42499999999998</v>
      </c>
      <c r="N884" t="str">
        <f t="shared" si="26"/>
        <v>Arabica</v>
      </c>
      <c r="O884" t="str">
        <f t="shared" si="27"/>
        <v>Dark</v>
      </c>
      <c r="P884" t="str">
        <f>_xlfn.XLOOKUP(worksheet[[#This Row],[Customer ID]],customers!$A$1:$A$1001,customers!$I$1:$I$1001,0)</f>
        <v>Yes</v>
      </c>
    </row>
    <row r="885" spans="1:16" x14ac:dyDescent="0.25">
      <c r="A885" s="2" t="s">
        <v>5483</v>
      </c>
      <c r="B885" s="4">
        <v>43956</v>
      </c>
      <c r="C885" s="2" t="s">
        <v>5484</v>
      </c>
      <c r="D885" t="s">
        <v>6175</v>
      </c>
      <c r="E885" s="2">
        <v>3</v>
      </c>
      <c r="F885" s="2" t="str">
        <f>_xlfn.XLOOKUP(C885,customers!$A$1:$A$1001,customers!$B$1:$B$1001,0)</f>
        <v>Lindon Agnolo</v>
      </c>
      <c r="G885" s="2" t="s">
        <v>5486</v>
      </c>
      <c r="H885" s="2" t="str">
        <f>_xlfn.XLOOKUP(C885,customers!$A$1:$A$1001,customers!$G$1:$G$1001,0)</f>
        <v>United States</v>
      </c>
      <c r="I885" t="str">
        <f>_xlfn.XLOOKUP(D885,products!$A$1:$A$49,products!$B$1:$B$49,0)</f>
        <v>Ara</v>
      </c>
      <c r="J885" t="str">
        <f>_xlfn.XLOOKUP('data cleaned'!D885,products!$A$1:$A$49,products!$C$1:$C$49,0)</f>
        <v>M</v>
      </c>
      <c r="K885" s="5">
        <f>_xlfn.XLOOKUP('data cleaned'!D885,products!$A$1:$A$49,products!$D$1:$D$49,0)</f>
        <v>2.5</v>
      </c>
      <c r="L885" s="6">
        <f>_xlfn.XLOOKUP('data cleaned'!D885,products!$A$1:$A$49,products!$E$1:$E$49,0)</f>
        <v>25.874999999999996</v>
      </c>
      <c r="M885" s="6">
        <f>'data cleaned'!E885*'data cleaned'!L885</f>
        <v>77.624999999999986</v>
      </c>
      <c r="N885" t="str">
        <f t="shared" si="26"/>
        <v>Arabica</v>
      </c>
      <c r="O885" t="str">
        <f t="shared" si="27"/>
        <v>Medium</v>
      </c>
      <c r="P885" t="str">
        <f>_xlfn.XLOOKUP(worksheet[[#This Row],[Customer ID]],customers!$A$1:$A$1001,customers!$I$1:$I$1001,0)</f>
        <v>Yes</v>
      </c>
    </row>
    <row r="886" spans="1:16" x14ac:dyDescent="0.25">
      <c r="A886" s="2" t="s">
        <v>5489</v>
      </c>
      <c r="B886" s="4">
        <v>43941</v>
      </c>
      <c r="C886" s="2" t="s">
        <v>5490</v>
      </c>
      <c r="D886" t="s">
        <v>6172</v>
      </c>
      <c r="E886" s="2">
        <v>1</v>
      </c>
      <c r="F886" s="2" t="str">
        <f>_xlfn.XLOOKUP(C886,customers!$A$1:$A$1001,customers!$B$1:$B$1001,0)</f>
        <v>Delainey Kiddy</v>
      </c>
      <c r="G886" s="2" t="s">
        <v>5492</v>
      </c>
      <c r="H886" s="2" t="str">
        <f>_xlfn.XLOOKUP(C886,customers!$A$1:$A$1001,customers!$G$1:$G$1001,0)</f>
        <v>United States</v>
      </c>
      <c r="I886" t="str">
        <f>_xlfn.XLOOKUP(D886,products!$A$1:$A$49,products!$B$1:$B$49,0)</f>
        <v>Rob</v>
      </c>
      <c r="J886" t="str">
        <f>_xlfn.XLOOKUP('data cleaned'!D886,products!$A$1:$A$49,products!$C$1:$C$49,0)</f>
        <v>D</v>
      </c>
      <c r="K886" s="5">
        <f>_xlfn.XLOOKUP('data cleaned'!D886,products!$A$1:$A$49,products!$D$1:$D$49,0)</f>
        <v>0.5</v>
      </c>
      <c r="L886" s="6">
        <f>_xlfn.XLOOKUP('data cleaned'!D886,products!$A$1:$A$49,products!$E$1:$E$49,0)</f>
        <v>5.3699999999999992</v>
      </c>
      <c r="M886" s="6">
        <f>'data cleaned'!E886*'data cleaned'!L886</f>
        <v>5.3699999999999992</v>
      </c>
      <c r="N886" t="str">
        <f t="shared" si="26"/>
        <v>Robusta</v>
      </c>
      <c r="O886" t="str">
        <f t="shared" si="27"/>
        <v>Dark</v>
      </c>
      <c r="P886" t="str">
        <f>_xlfn.XLOOKUP(worksheet[[#This Row],[Customer ID]],customers!$A$1:$A$1001,customers!$I$1:$I$1001,0)</f>
        <v>Yes</v>
      </c>
    </row>
    <row r="887" spans="1:16" x14ac:dyDescent="0.25">
      <c r="A887" s="2" t="s">
        <v>5495</v>
      </c>
      <c r="B887" s="4">
        <v>43664</v>
      </c>
      <c r="C887" s="2" t="s">
        <v>5496</v>
      </c>
      <c r="D887" t="s">
        <v>6149</v>
      </c>
      <c r="E887" s="2">
        <v>6</v>
      </c>
      <c r="F887" s="2" t="str">
        <f>_xlfn.XLOOKUP(C887,customers!$A$1:$A$1001,customers!$B$1:$B$1001,0)</f>
        <v>Helli Petroulis</v>
      </c>
      <c r="G887" s="2" t="s">
        <v>5498</v>
      </c>
      <c r="H887" s="2" t="str">
        <f>_xlfn.XLOOKUP(C887,customers!$A$1:$A$1001,customers!$G$1:$G$1001,0)</f>
        <v>Ireland</v>
      </c>
      <c r="I887" t="str">
        <f>_xlfn.XLOOKUP(D887,products!$A$1:$A$49,products!$B$1:$B$49,0)</f>
        <v>Rob</v>
      </c>
      <c r="J887" t="str">
        <f>_xlfn.XLOOKUP('data cleaned'!D887,products!$A$1:$A$49,products!$C$1:$C$49,0)</f>
        <v>D</v>
      </c>
      <c r="K887" s="5">
        <f>_xlfn.XLOOKUP('data cleaned'!D887,products!$A$1:$A$49,products!$D$1:$D$49,0)</f>
        <v>2.5</v>
      </c>
      <c r="L887" s="6">
        <f>_xlfn.XLOOKUP('data cleaned'!D887,products!$A$1:$A$49,products!$E$1:$E$49,0)</f>
        <v>20.584999999999997</v>
      </c>
      <c r="M887" s="6">
        <f>'data cleaned'!E887*'data cleaned'!L887</f>
        <v>123.50999999999999</v>
      </c>
      <c r="N887" t="str">
        <f t="shared" si="26"/>
        <v>Robusta</v>
      </c>
      <c r="O887" t="str">
        <f t="shared" si="27"/>
        <v>Dark</v>
      </c>
      <c r="P887" t="str">
        <f>_xlfn.XLOOKUP(worksheet[[#This Row],[Customer ID]],customers!$A$1:$A$1001,customers!$I$1:$I$1001,0)</f>
        <v>No</v>
      </c>
    </row>
    <row r="888" spans="1:16" x14ac:dyDescent="0.25">
      <c r="A888" s="2" t="s">
        <v>5501</v>
      </c>
      <c r="B888" s="4">
        <v>44518</v>
      </c>
      <c r="C888" s="2" t="s">
        <v>5502</v>
      </c>
      <c r="D888" t="s">
        <v>6160</v>
      </c>
      <c r="E888" s="2">
        <v>2</v>
      </c>
      <c r="F888" s="2" t="str">
        <f>_xlfn.XLOOKUP(C888,customers!$A$1:$A$1001,customers!$B$1:$B$1001,0)</f>
        <v>Marty Scholl</v>
      </c>
      <c r="G888" s="2" t="s">
        <v>5504</v>
      </c>
      <c r="H888" s="2" t="str">
        <f>_xlfn.XLOOKUP(C888,customers!$A$1:$A$1001,customers!$G$1:$G$1001,0)</f>
        <v>United States</v>
      </c>
      <c r="I888" t="str">
        <f>_xlfn.XLOOKUP(D888,products!$A$1:$A$49,products!$B$1:$B$49,0)</f>
        <v>Lib</v>
      </c>
      <c r="J888" t="str">
        <f>_xlfn.XLOOKUP('data cleaned'!D888,products!$A$1:$A$49,products!$C$1:$C$49,0)</f>
        <v>M</v>
      </c>
      <c r="K888" s="5">
        <f>_xlfn.XLOOKUP('data cleaned'!D888,products!$A$1:$A$49,products!$D$1:$D$49,0)</f>
        <v>0.5</v>
      </c>
      <c r="L888" s="6">
        <f>_xlfn.XLOOKUP('data cleaned'!D888,products!$A$1:$A$49,products!$E$1:$E$49,0)</f>
        <v>8.73</v>
      </c>
      <c r="M888" s="6">
        <f>'data cleaned'!E888*'data cleaned'!L888</f>
        <v>17.46</v>
      </c>
      <c r="N888" t="str">
        <f t="shared" si="26"/>
        <v>Liberica</v>
      </c>
      <c r="O888" t="str">
        <f t="shared" si="27"/>
        <v>Medium</v>
      </c>
      <c r="P888" t="str">
        <f>_xlfn.XLOOKUP(worksheet[[#This Row],[Customer ID]],customers!$A$1:$A$1001,customers!$I$1:$I$1001,0)</f>
        <v>No</v>
      </c>
    </row>
    <row r="889" spans="1:16" x14ac:dyDescent="0.25">
      <c r="A889" s="2" t="s">
        <v>5507</v>
      </c>
      <c r="B889" s="4">
        <v>44002</v>
      </c>
      <c r="C889" s="2" t="s">
        <v>5508</v>
      </c>
      <c r="D889" t="s">
        <v>6184</v>
      </c>
      <c r="E889" s="2">
        <v>3</v>
      </c>
      <c r="F889" s="2" t="str">
        <f>_xlfn.XLOOKUP(C889,customers!$A$1:$A$1001,customers!$B$1:$B$1001,0)</f>
        <v>Kienan Ferson</v>
      </c>
      <c r="G889" s="2" t="s">
        <v>5510</v>
      </c>
      <c r="H889" s="2" t="str">
        <f>_xlfn.XLOOKUP(C889,customers!$A$1:$A$1001,customers!$G$1:$G$1001,0)</f>
        <v>United States</v>
      </c>
      <c r="I889" t="str">
        <f>_xlfn.XLOOKUP(D889,products!$A$1:$A$49,products!$B$1:$B$49,0)</f>
        <v>Exc</v>
      </c>
      <c r="J889" t="str">
        <f>_xlfn.XLOOKUP('data cleaned'!D889,products!$A$1:$A$49,products!$C$1:$C$49,0)</f>
        <v>L</v>
      </c>
      <c r="K889" s="5">
        <f>_xlfn.XLOOKUP('data cleaned'!D889,products!$A$1:$A$49,products!$D$1:$D$49,0)</f>
        <v>0.2</v>
      </c>
      <c r="L889" s="6">
        <f>_xlfn.XLOOKUP('data cleaned'!D889,products!$A$1:$A$49,products!$E$1:$E$49,0)</f>
        <v>4.4550000000000001</v>
      </c>
      <c r="M889" s="6">
        <f>'data cleaned'!E889*'data cleaned'!L889</f>
        <v>13.365</v>
      </c>
      <c r="N889" t="str">
        <f t="shared" si="26"/>
        <v>Excelsa</v>
      </c>
      <c r="O889" t="str">
        <f t="shared" si="27"/>
        <v>Light</v>
      </c>
      <c r="P889" t="str">
        <f>_xlfn.XLOOKUP(worksheet[[#This Row],[Customer ID]],customers!$A$1:$A$1001,customers!$I$1:$I$1001,0)</f>
        <v>No</v>
      </c>
    </row>
    <row r="890" spans="1:16" x14ac:dyDescent="0.25">
      <c r="A890" s="2" t="s">
        <v>5513</v>
      </c>
      <c r="B890" s="4">
        <v>44292</v>
      </c>
      <c r="C890" s="2" t="s">
        <v>5514</v>
      </c>
      <c r="D890" t="s">
        <v>6167</v>
      </c>
      <c r="E890" s="2">
        <v>2</v>
      </c>
      <c r="F890" s="2" t="str">
        <f>_xlfn.XLOOKUP(C890,customers!$A$1:$A$1001,customers!$B$1:$B$1001,0)</f>
        <v>Blake Kelloway</v>
      </c>
      <c r="G890" s="2" t="s">
        <v>5516</v>
      </c>
      <c r="H890" s="2" t="str">
        <f>_xlfn.XLOOKUP(C890,customers!$A$1:$A$1001,customers!$G$1:$G$1001,0)</f>
        <v>United States</v>
      </c>
      <c r="I890" t="str">
        <f>_xlfn.XLOOKUP(D890,products!$A$1:$A$49,products!$B$1:$B$49,0)</f>
        <v>Ara</v>
      </c>
      <c r="J890" t="str">
        <f>_xlfn.XLOOKUP('data cleaned'!D890,products!$A$1:$A$49,products!$C$1:$C$49,0)</f>
        <v>L</v>
      </c>
      <c r="K890" s="5">
        <f>_xlfn.XLOOKUP('data cleaned'!D890,products!$A$1:$A$49,products!$D$1:$D$49,0)</f>
        <v>0.2</v>
      </c>
      <c r="L890" s="6">
        <f>_xlfn.XLOOKUP('data cleaned'!D890,products!$A$1:$A$49,products!$E$1:$E$49,0)</f>
        <v>3.8849999999999998</v>
      </c>
      <c r="M890" s="6">
        <f>'data cleaned'!E890*'data cleaned'!L890</f>
        <v>7.77</v>
      </c>
      <c r="N890" t="str">
        <f t="shared" si="26"/>
        <v>Arabica</v>
      </c>
      <c r="O890" t="str">
        <f t="shared" si="27"/>
        <v>Light</v>
      </c>
      <c r="P890" t="str">
        <f>_xlfn.XLOOKUP(worksheet[[#This Row],[Customer ID]],customers!$A$1:$A$1001,customers!$I$1:$I$1001,0)</f>
        <v>Yes</v>
      </c>
    </row>
    <row r="891" spans="1:16" x14ac:dyDescent="0.25">
      <c r="A891" s="2" t="s">
        <v>5519</v>
      </c>
      <c r="B891" s="4">
        <v>43633</v>
      </c>
      <c r="C891" s="2" t="s">
        <v>5520</v>
      </c>
      <c r="D891" t="s">
        <v>6163</v>
      </c>
      <c r="E891" s="2">
        <v>1</v>
      </c>
      <c r="F891" s="2" t="str">
        <f>_xlfn.XLOOKUP(C891,customers!$A$1:$A$1001,customers!$B$1:$B$1001,0)</f>
        <v>Scarlett Oliffe</v>
      </c>
      <c r="G891" s="2" t="s">
        <v>5522</v>
      </c>
      <c r="H891" s="2" t="str">
        <f>_xlfn.XLOOKUP(C891,customers!$A$1:$A$1001,customers!$G$1:$G$1001,0)</f>
        <v>United States</v>
      </c>
      <c r="I891" t="str">
        <f>_xlfn.XLOOKUP(D891,products!$A$1:$A$49,products!$B$1:$B$49,0)</f>
        <v>Rob</v>
      </c>
      <c r="J891" t="str">
        <f>_xlfn.XLOOKUP('data cleaned'!D891,products!$A$1:$A$49,products!$C$1:$C$49,0)</f>
        <v>D</v>
      </c>
      <c r="K891" s="5">
        <f>_xlfn.XLOOKUP('data cleaned'!D891,products!$A$1:$A$49,products!$D$1:$D$49,0)</f>
        <v>0.2</v>
      </c>
      <c r="L891" s="6">
        <f>_xlfn.XLOOKUP('data cleaned'!D891,products!$A$1:$A$49,products!$E$1:$E$49,0)</f>
        <v>2.6849999999999996</v>
      </c>
      <c r="M891" s="6">
        <f>'data cleaned'!E891*'data cleaned'!L891</f>
        <v>2.6849999999999996</v>
      </c>
      <c r="N891" t="str">
        <f t="shared" si="26"/>
        <v>Robusta</v>
      </c>
      <c r="O891" t="str">
        <f t="shared" si="27"/>
        <v>Dark</v>
      </c>
      <c r="P891" t="str">
        <f>_xlfn.XLOOKUP(worksheet[[#This Row],[Customer ID]],customers!$A$1:$A$1001,customers!$I$1:$I$1001,0)</f>
        <v>Yes</v>
      </c>
    </row>
    <row r="892" spans="1:16" x14ac:dyDescent="0.25">
      <c r="A892" s="2" t="s">
        <v>5525</v>
      </c>
      <c r="B892" s="4">
        <v>44646</v>
      </c>
      <c r="C892" s="2" t="s">
        <v>5526</v>
      </c>
      <c r="D892" t="s">
        <v>6149</v>
      </c>
      <c r="E892" s="2">
        <v>1</v>
      </c>
      <c r="F892" s="2" t="str">
        <f>_xlfn.XLOOKUP(C892,customers!$A$1:$A$1001,customers!$B$1:$B$1001,0)</f>
        <v>Kippie Marrison</v>
      </c>
      <c r="G892" s="2" t="s">
        <v>5528</v>
      </c>
      <c r="H892" s="2" t="str">
        <f>_xlfn.XLOOKUP(C892,customers!$A$1:$A$1001,customers!$G$1:$G$1001,0)</f>
        <v>United States</v>
      </c>
      <c r="I892" t="str">
        <f>_xlfn.XLOOKUP(D892,products!$A$1:$A$49,products!$B$1:$B$49,0)</f>
        <v>Rob</v>
      </c>
      <c r="J892" t="str">
        <f>_xlfn.XLOOKUP('data cleaned'!D892,products!$A$1:$A$49,products!$C$1:$C$49,0)</f>
        <v>D</v>
      </c>
      <c r="K892" s="5">
        <f>_xlfn.XLOOKUP('data cleaned'!D892,products!$A$1:$A$49,products!$D$1:$D$49,0)</f>
        <v>2.5</v>
      </c>
      <c r="L892" s="6">
        <f>_xlfn.XLOOKUP('data cleaned'!D892,products!$A$1:$A$49,products!$E$1:$E$49,0)</f>
        <v>20.584999999999997</v>
      </c>
      <c r="M892" s="6">
        <f>'data cleaned'!E892*'data cleaned'!L892</f>
        <v>20.584999999999997</v>
      </c>
      <c r="N892" t="str">
        <f t="shared" si="26"/>
        <v>Robusta</v>
      </c>
      <c r="O892" t="str">
        <f t="shared" si="27"/>
        <v>Dark</v>
      </c>
      <c r="P892" t="str">
        <f>_xlfn.XLOOKUP(worksheet[[#This Row],[Customer ID]],customers!$A$1:$A$1001,customers!$I$1:$I$1001,0)</f>
        <v>Yes</v>
      </c>
    </row>
    <row r="893" spans="1:16" x14ac:dyDescent="0.25">
      <c r="A893" s="2" t="s">
        <v>5531</v>
      </c>
      <c r="B893" s="4">
        <v>44469</v>
      </c>
      <c r="C893" s="2" t="s">
        <v>5532</v>
      </c>
      <c r="D893" t="s">
        <v>6168</v>
      </c>
      <c r="E893" s="2">
        <v>5</v>
      </c>
      <c r="F893" s="2" t="str">
        <f>_xlfn.XLOOKUP(C893,customers!$A$1:$A$1001,customers!$B$1:$B$1001,0)</f>
        <v>Celestia Dolohunty</v>
      </c>
      <c r="G893" s="2" t="s">
        <v>5534</v>
      </c>
      <c r="H893" s="2" t="str">
        <f>_xlfn.XLOOKUP(C893,customers!$A$1:$A$1001,customers!$G$1:$G$1001,0)</f>
        <v>United States</v>
      </c>
      <c r="I893" t="str">
        <f>_xlfn.XLOOKUP(D893,products!$A$1:$A$49,products!$B$1:$B$49,0)</f>
        <v>Ara</v>
      </c>
      <c r="J893" t="str">
        <f>_xlfn.XLOOKUP('data cleaned'!D893,products!$A$1:$A$49,products!$C$1:$C$49,0)</f>
        <v>D</v>
      </c>
      <c r="K893" s="5">
        <f>_xlfn.XLOOKUP('data cleaned'!D893,products!$A$1:$A$49,products!$D$1:$D$49,0)</f>
        <v>2.5</v>
      </c>
      <c r="L893" s="6">
        <f>_xlfn.XLOOKUP('data cleaned'!D893,products!$A$1:$A$49,products!$E$1:$E$49,0)</f>
        <v>22.884999999999998</v>
      </c>
      <c r="M893" s="6">
        <f>'data cleaned'!E893*'data cleaned'!L893</f>
        <v>114.42499999999998</v>
      </c>
      <c r="N893" t="str">
        <f t="shared" si="26"/>
        <v>Arabica</v>
      </c>
      <c r="O893" t="str">
        <f t="shared" si="27"/>
        <v>Dark</v>
      </c>
      <c r="P893" t="str">
        <f>_xlfn.XLOOKUP(worksheet[[#This Row],[Customer ID]],customers!$A$1:$A$1001,customers!$I$1:$I$1001,0)</f>
        <v>Yes</v>
      </c>
    </row>
    <row r="894" spans="1:16" x14ac:dyDescent="0.25">
      <c r="A894" s="2" t="s">
        <v>5537</v>
      </c>
      <c r="B894" s="4">
        <v>43635</v>
      </c>
      <c r="C894" s="2" t="s">
        <v>5538</v>
      </c>
      <c r="D894" t="s">
        <v>6156</v>
      </c>
      <c r="E894" s="2">
        <v>5</v>
      </c>
      <c r="F894" s="2" t="str">
        <f>_xlfn.XLOOKUP(C894,customers!$A$1:$A$1001,customers!$B$1:$B$1001,0)</f>
        <v>Patsy Vasilenko</v>
      </c>
      <c r="G894" s="2" t="s">
        <v>5540</v>
      </c>
      <c r="H894" s="2" t="str">
        <f>_xlfn.XLOOKUP(C894,customers!$A$1:$A$1001,customers!$G$1:$G$1001,0)</f>
        <v>United Kingdom</v>
      </c>
      <c r="I894" t="str">
        <f>_xlfn.XLOOKUP(D894,products!$A$1:$A$49,products!$B$1:$B$49,0)</f>
        <v>Exc</v>
      </c>
      <c r="J894" t="str">
        <f>_xlfn.XLOOKUP('data cleaned'!D894,products!$A$1:$A$49,products!$C$1:$C$49,0)</f>
        <v>M</v>
      </c>
      <c r="K894" s="5">
        <f>_xlfn.XLOOKUP('data cleaned'!D894,products!$A$1:$A$49,products!$D$1:$D$49,0)</f>
        <v>0.2</v>
      </c>
      <c r="L894" s="6">
        <f>_xlfn.XLOOKUP('data cleaned'!D894,products!$A$1:$A$49,products!$E$1:$E$49,0)</f>
        <v>4.125</v>
      </c>
      <c r="M894" s="6">
        <f>'data cleaned'!E894*'data cleaned'!L894</f>
        <v>20.625</v>
      </c>
      <c r="N894" t="str">
        <f t="shared" si="26"/>
        <v>Excelsa</v>
      </c>
      <c r="O894" t="str">
        <f t="shared" si="27"/>
        <v>Medium</v>
      </c>
      <c r="P894" t="str">
        <f>_xlfn.XLOOKUP(worksheet[[#This Row],[Customer ID]],customers!$A$1:$A$1001,customers!$I$1:$I$1001,0)</f>
        <v>No</v>
      </c>
    </row>
    <row r="895" spans="1:16" x14ac:dyDescent="0.25">
      <c r="A895" s="2" t="s">
        <v>5543</v>
      </c>
      <c r="B895" s="4">
        <v>44651</v>
      </c>
      <c r="C895" s="2" t="s">
        <v>5544</v>
      </c>
      <c r="D895" t="s">
        <v>6161</v>
      </c>
      <c r="E895" s="2">
        <v>6</v>
      </c>
      <c r="F895" s="2" t="str">
        <f>_xlfn.XLOOKUP(C895,customers!$A$1:$A$1001,customers!$B$1:$B$1001,0)</f>
        <v>Raphaela Schankelborg</v>
      </c>
      <c r="G895" s="2" t="s">
        <v>5546</v>
      </c>
      <c r="H895" s="2" t="str">
        <f>_xlfn.XLOOKUP(C895,customers!$A$1:$A$1001,customers!$G$1:$G$1001,0)</f>
        <v>United States</v>
      </c>
      <c r="I895" t="str">
        <f>_xlfn.XLOOKUP(D895,products!$A$1:$A$49,products!$B$1:$B$49,0)</f>
        <v>Lib</v>
      </c>
      <c r="J895" t="str">
        <f>_xlfn.XLOOKUP('data cleaned'!D895,products!$A$1:$A$49,products!$C$1:$C$49,0)</f>
        <v>L</v>
      </c>
      <c r="K895" s="5">
        <f>_xlfn.XLOOKUP('data cleaned'!D895,products!$A$1:$A$49,products!$D$1:$D$49,0)</f>
        <v>0.5</v>
      </c>
      <c r="L895" s="6">
        <f>_xlfn.XLOOKUP('data cleaned'!D895,products!$A$1:$A$49,products!$E$1:$E$49,0)</f>
        <v>9.51</v>
      </c>
      <c r="M895" s="6">
        <f>'data cleaned'!E895*'data cleaned'!L895</f>
        <v>57.06</v>
      </c>
      <c r="N895" t="str">
        <f t="shared" si="26"/>
        <v>Liberica</v>
      </c>
      <c r="O895" t="str">
        <f t="shared" si="27"/>
        <v>Light</v>
      </c>
      <c r="P895" t="str">
        <f>_xlfn.XLOOKUP(worksheet[[#This Row],[Customer ID]],customers!$A$1:$A$1001,customers!$I$1:$I$1001,0)</f>
        <v>Yes</v>
      </c>
    </row>
    <row r="896" spans="1:16" x14ac:dyDescent="0.25">
      <c r="A896" s="2" t="s">
        <v>5548</v>
      </c>
      <c r="B896" s="4">
        <v>44016</v>
      </c>
      <c r="C896" s="2" t="s">
        <v>5549</v>
      </c>
      <c r="D896" t="s">
        <v>6149</v>
      </c>
      <c r="E896" s="2">
        <v>4</v>
      </c>
      <c r="F896" s="2" t="str">
        <f>_xlfn.XLOOKUP(C896,customers!$A$1:$A$1001,customers!$B$1:$B$1001,0)</f>
        <v>Sharity Wickens</v>
      </c>
      <c r="G896" s="2" t="s">
        <v>6222</v>
      </c>
      <c r="H896" s="2" t="str">
        <f>_xlfn.XLOOKUP(C896,customers!$A$1:$A$1001,customers!$G$1:$G$1001,0)</f>
        <v>Ireland</v>
      </c>
      <c r="I896" t="str">
        <f>_xlfn.XLOOKUP(D896,products!$A$1:$A$49,products!$B$1:$B$49,0)</f>
        <v>Rob</v>
      </c>
      <c r="J896" t="str">
        <f>_xlfn.XLOOKUP('data cleaned'!D896,products!$A$1:$A$49,products!$C$1:$C$49,0)</f>
        <v>D</v>
      </c>
      <c r="K896" s="5">
        <f>_xlfn.XLOOKUP('data cleaned'!D896,products!$A$1:$A$49,products!$D$1:$D$49,0)</f>
        <v>2.5</v>
      </c>
      <c r="L896" s="6">
        <f>_xlfn.XLOOKUP('data cleaned'!D896,products!$A$1:$A$49,products!$E$1:$E$49,0)</f>
        <v>20.584999999999997</v>
      </c>
      <c r="M896" s="6">
        <f>'data cleaned'!E896*'data cleaned'!L896</f>
        <v>82.339999999999989</v>
      </c>
      <c r="N896" t="str">
        <f t="shared" si="26"/>
        <v>Robusta</v>
      </c>
      <c r="O896" t="str">
        <f t="shared" si="27"/>
        <v>Dark</v>
      </c>
      <c r="P896" t="str">
        <f>_xlfn.XLOOKUP(worksheet[[#This Row],[Customer ID]],customers!$A$1:$A$1001,customers!$I$1:$I$1001,0)</f>
        <v>Yes</v>
      </c>
    </row>
    <row r="897" spans="1:16" x14ac:dyDescent="0.25">
      <c r="A897" s="2" t="s">
        <v>5553</v>
      </c>
      <c r="B897" s="4">
        <v>44521</v>
      </c>
      <c r="C897" s="2" t="s">
        <v>5554</v>
      </c>
      <c r="D897" t="s">
        <v>6166</v>
      </c>
      <c r="E897" s="2">
        <v>5</v>
      </c>
      <c r="F897" s="2" t="str">
        <f>_xlfn.XLOOKUP(C897,customers!$A$1:$A$1001,customers!$B$1:$B$1001,0)</f>
        <v>Derick Snow</v>
      </c>
      <c r="G897" s="2" t="s">
        <v>6222</v>
      </c>
      <c r="H897" s="2" t="str">
        <f>_xlfn.XLOOKUP(C897,customers!$A$1:$A$1001,customers!$G$1:$G$1001,0)</f>
        <v>United States</v>
      </c>
      <c r="I897" t="str">
        <f>_xlfn.XLOOKUP(D897,products!$A$1:$A$49,products!$B$1:$B$49,0)</f>
        <v>Exc</v>
      </c>
      <c r="J897" t="str">
        <f>_xlfn.XLOOKUP('data cleaned'!D897,products!$A$1:$A$49,products!$C$1:$C$49,0)</f>
        <v>M</v>
      </c>
      <c r="K897" s="5">
        <f>_xlfn.XLOOKUP('data cleaned'!D897,products!$A$1:$A$49,products!$D$1:$D$49,0)</f>
        <v>2.5</v>
      </c>
      <c r="L897" s="6">
        <f>_xlfn.XLOOKUP('data cleaned'!D897,products!$A$1:$A$49,products!$E$1:$E$49,0)</f>
        <v>31.624999999999996</v>
      </c>
      <c r="M897" s="6">
        <f>'data cleaned'!E897*'data cleaned'!L897</f>
        <v>158.12499999999997</v>
      </c>
      <c r="N897" t="str">
        <f t="shared" si="26"/>
        <v>Excelsa</v>
      </c>
      <c r="O897" t="str">
        <f t="shared" si="27"/>
        <v>Medium</v>
      </c>
      <c r="P897" t="str">
        <f>_xlfn.XLOOKUP(worksheet[[#This Row],[Customer ID]],customers!$A$1:$A$1001,customers!$I$1:$I$1001,0)</f>
        <v>No</v>
      </c>
    </row>
    <row r="898" spans="1:16" x14ac:dyDescent="0.25">
      <c r="A898" s="2" t="s">
        <v>5558</v>
      </c>
      <c r="B898" s="4">
        <v>44347</v>
      </c>
      <c r="C898" s="2" t="s">
        <v>5559</v>
      </c>
      <c r="D898" t="s">
        <v>6172</v>
      </c>
      <c r="E898" s="2">
        <v>6</v>
      </c>
      <c r="F898" s="2" t="str">
        <f>_xlfn.XLOOKUP(C898,customers!$A$1:$A$1001,customers!$B$1:$B$1001,0)</f>
        <v>Baxy Cargen</v>
      </c>
      <c r="G898" s="2" t="s">
        <v>5561</v>
      </c>
      <c r="H898" s="2" t="str">
        <f>_xlfn.XLOOKUP(C898,customers!$A$1:$A$1001,customers!$G$1:$G$1001,0)</f>
        <v>United States</v>
      </c>
      <c r="I898" t="str">
        <f>_xlfn.XLOOKUP(D898,products!$A$1:$A$49,products!$B$1:$B$49,0)</f>
        <v>Rob</v>
      </c>
      <c r="J898" t="str">
        <f>_xlfn.XLOOKUP('data cleaned'!D898,products!$A$1:$A$49,products!$C$1:$C$49,0)</f>
        <v>D</v>
      </c>
      <c r="K898" s="5">
        <f>_xlfn.XLOOKUP('data cleaned'!D898,products!$A$1:$A$49,products!$D$1:$D$49,0)</f>
        <v>0.5</v>
      </c>
      <c r="L898" s="6">
        <f>_xlfn.XLOOKUP('data cleaned'!D898,products!$A$1:$A$49,products!$E$1:$E$49,0)</f>
        <v>5.3699999999999992</v>
      </c>
      <c r="M898" s="6">
        <f>'data cleaned'!E898*'data cleaned'!L898</f>
        <v>32.22</v>
      </c>
      <c r="N898" t="str">
        <f t="shared" si="26"/>
        <v>Robusta</v>
      </c>
      <c r="O898" t="str">
        <f t="shared" si="27"/>
        <v>Dark</v>
      </c>
      <c r="P898" t="str">
        <f>_xlfn.XLOOKUP(worksheet[[#This Row],[Customer ID]],customers!$A$1:$A$1001,customers!$I$1:$I$1001,0)</f>
        <v>Yes</v>
      </c>
    </row>
    <row r="899" spans="1:16" x14ac:dyDescent="0.25">
      <c r="A899" s="2" t="s">
        <v>5564</v>
      </c>
      <c r="B899" s="4">
        <v>43932</v>
      </c>
      <c r="C899" s="2" t="s">
        <v>5565</v>
      </c>
      <c r="D899" t="s">
        <v>6183</v>
      </c>
      <c r="E899" s="2">
        <v>2</v>
      </c>
      <c r="F899" s="2" t="str">
        <f>_xlfn.XLOOKUP(C899,customers!$A$1:$A$1001,customers!$B$1:$B$1001,0)</f>
        <v>Ryann Stickler</v>
      </c>
      <c r="G899" s="2" t="s">
        <v>5567</v>
      </c>
      <c r="H899" s="2" t="str">
        <f>_xlfn.XLOOKUP(C899,customers!$A$1:$A$1001,customers!$G$1:$G$1001,0)</f>
        <v>United Kingdom</v>
      </c>
      <c r="I899" t="str">
        <f>_xlfn.XLOOKUP(D899,products!$A$1:$A$49,products!$B$1:$B$49,0)</f>
        <v>Exc</v>
      </c>
      <c r="J899" t="str">
        <f>_xlfn.XLOOKUP('data cleaned'!D899,products!$A$1:$A$49,products!$C$1:$C$49,0)</f>
        <v>D</v>
      </c>
      <c r="K899" s="5">
        <f>_xlfn.XLOOKUP('data cleaned'!D899,products!$A$1:$A$49,products!$D$1:$D$49,0)</f>
        <v>1</v>
      </c>
      <c r="L899" s="6">
        <f>_xlfn.XLOOKUP('data cleaned'!D899,products!$A$1:$A$49,products!$E$1:$E$49,0)</f>
        <v>12.15</v>
      </c>
      <c r="M899" s="6">
        <f>'data cleaned'!E899*'data cleaned'!L899</f>
        <v>24.3</v>
      </c>
      <c r="N899" t="str">
        <f t="shared" ref="N899:N962" si="28">IF(I899="Rob","Robusta",IF(I899="Exc","Excelsa",IF(I899="Ara","Arabica",IF(I899="Lib","Liberica",""))))</f>
        <v>Excelsa</v>
      </c>
      <c r="O899" t="str">
        <f t="shared" ref="O899:O962" si="29">IF(J899="M","Medium",IF(J899="L","Light",IF(J899="D","Dark","")))</f>
        <v>Dark</v>
      </c>
      <c r="P899" t="str">
        <f>_xlfn.XLOOKUP(worksheet[[#This Row],[Customer ID]],customers!$A$1:$A$1001,customers!$I$1:$I$1001,0)</f>
        <v>No</v>
      </c>
    </row>
    <row r="900" spans="1:16" x14ac:dyDescent="0.25">
      <c r="A900" s="2" t="s">
        <v>5570</v>
      </c>
      <c r="B900" s="4">
        <v>44089</v>
      </c>
      <c r="C900" s="2" t="s">
        <v>5571</v>
      </c>
      <c r="D900" t="s">
        <v>6173</v>
      </c>
      <c r="E900" s="2">
        <v>5</v>
      </c>
      <c r="F900" s="2" t="str">
        <f>_xlfn.XLOOKUP(C900,customers!$A$1:$A$1001,customers!$B$1:$B$1001,0)</f>
        <v>Daryn Cassius</v>
      </c>
      <c r="G900" s="2" t="s">
        <v>6222</v>
      </c>
      <c r="H900" s="2" t="str">
        <f>_xlfn.XLOOKUP(C900,customers!$A$1:$A$1001,customers!$G$1:$G$1001,0)</f>
        <v>United States</v>
      </c>
      <c r="I900" t="str">
        <f>_xlfn.XLOOKUP(D900,products!$A$1:$A$49,products!$B$1:$B$49,0)</f>
        <v>Rob</v>
      </c>
      <c r="J900" t="str">
        <f>_xlfn.XLOOKUP('data cleaned'!D900,products!$A$1:$A$49,products!$C$1:$C$49,0)</f>
        <v>L</v>
      </c>
      <c r="K900" s="5">
        <f>_xlfn.XLOOKUP('data cleaned'!D900,products!$A$1:$A$49,products!$D$1:$D$49,0)</f>
        <v>0.5</v>
      </c>
      <c r="L900" s="6">
        <f>_xlfn.XLOOKUP('data cleaned'!D900,products!$A$1:$A$49,products!$E$1:$E$49,0)</f>
        <v>7.169999999999999</v>
      </c>
      <c r="M900" s="6">
        <f>'data cleaned'!E900*'data cleaned'!L900</f>
        <v>35.849999999999994</v>
      </c>
      <c r="N900" t="str">
        <f t="shared" si="28"/>
        <v>Robusta</v>
      </c>
      <c r="O900" t="str">
        <f t="shared" si="29"/>
        <v>Light</v>
      </c>
      <c r="P900" t="str">
        <f>_xlfn.XLOOKUP(worksheet[[#This Row],[Customer ID]],customers!$A$1:$A$1001,customers!$I$1:$I$1001,0)</f>
        <v>No</v>
      </c>
    </row>
    <row r="901" spans="1:16" x14ac:dyDescent="0.25">
      <c r="A901" s="2" t="s">
        <v>5575</v>
      </c>
      <c r="B901" s="4">
        <v>44523</v>
      </c>
      <c r="C901" s="2" t="s">
        <v>5554</v>
      </c>
      <c r="D901" t="s">
        <v>6162</v>
      </c>
      <c r="E901" s="2">
        <v>5</v>
      </c>
      <c r="F901" s="2" t="str">
        <f>_xlfn.XLOOKUP(C901,customers!$A$1:$A$1001,customers!$B$1:$B$1001,0)</f>
        <v>Derick Snow</v>
      </c>
      <c r="G901" s="2" t="s">
        <v>6222</v>
      </c>
      <c r="H901" s="2" t="str">
        <f>_xlfn.XLOOKUP(C901,customers!$A$1:$A$1001,customers!$G$1:$G$1001,0)</f>
        <v>United States</v>
      </c>
      <c r="I901" t="str">
        <f>_xlfn.XLOOKUP(D901,products!$A$1:$A$49,products!$B$1:$B$49,0)</f>
        <v>Lib</v>
      </c>
      <c r="J901" t="str">
        <f>_xlfn.XLOOKUP('data cleaned'!D901,products!$A$1:$A$49,products!$C$1:$C$49,0)</f>
        <v>M</v>
      </c>
      <c r="K901" s="5">
        <f>_xlfn.XLOOKUP('data cleaned'!D901,products!$A$1:$A$49,products!$D$1:$D$49,0)</f>
        <v>1</v>
      </c>
      <c r="L901" s="6">
        <f>_xlfn.XLOOKUP('data cleaned'!D901,products!$A$1:$A$49,products!$E$1:$E$49,0)</f>
        <v>14.55</v>
      </c>
      <c r="M901" s="6">
        <f>'data cleaned'!E901*'data cleaned'!L901</f>
        <v>72.75</v>
      </c>
      <c r="N901" t="str">
        <f t="shared" si="28"/>
        <v>Liberica</v>
      </c>
      <c r="O901" t="str">
        <f t="shared" si="29"/>
        <v>Medium</v>
      </c>
      <c r="P901" t="str">
        <f>_xlfn.XLOOKUP(worksheet[[#This Row],[Customer ID]],customers!$A$1:$A$1001,customers!$I$1:$I$1001,0)</f>
        <v>No</v>
      </c>
    </row>
    <row r="902" spans="1:16" x14ac:dyDescent="0.25">
      <c r="A902" s="2" t="s">
        <v>5580</v>
      </c>
      <c r="B902" s="4">
        <v>44584</v>
      </c>
      <c r="C902" s="2" t="s">
        <v>5581</v>
      </c>
      <c r="D902" t="s">
        <v>6170</v>
      </c>
      <c r="E902" s="2">
        <v>3</v>
      </c>
      <c r="F902" s="2" t="str">
        <f>_xlfn.XLOOKUP(C902,customers!$A$1:$A$1001,customers!$B$1:$B$1001,0)</f>
        <v>Skelly Dolohunty</v>
      </c>
      <c r="G902" s="2" t="s">
        <v>6222</v>
      </c>
      <c r="H902" s="2" t="str">
        <f>_xlfn.XLOOKUP(C902,customers!$A$1:$A$1001,customers!$G$1:$G$1001,0)</f>
        <v>Ireland</v>
      </c>
      <c r="I902" t="str">
        <f>_xlfn.XLOOKUP(D902,products!$A$1:$A$49,products!$B$1:$B$49,0)</f>
        <v>Lib</v>
      </c>
      <c r="J902" t="str">
        <f>_xlfn.XLOOKUP('data cleaned'!D902,products!$A$1:$A$49,products!$C$1:$C$49,0)</f>
        <v>L</v>
      </c>
      <c r="K902" s="5">
        <f>_xlfn.XLOOKUP('data cleaned'!D902,products!$A$1:$A$49,products!$D$1:$D$49,0)</f>
        <v>1</v>
      </c>
      <c r="L902" s="6">
        <f>_xlfn.XLOOKUP('data cleaned'!D902,products!$A$1:$A$49,products!$E$1:$E$49,0)</f>
        <v>15.85</v>
      </c>
      <c r="M902" s="6">
        <f>'data cleaned'!E902*'data cleaned'!L902</f>
        <v>47.55</v>
      </c>
      <c r="N902" t="str">
        <f t="shared" si="28"/>
        <v>Liberica</v>
      </c>
      <c r="O902" t="str">
        <f t="shared" si="29"/>
        <v>Light</v>
      </c>
      <c r="P902" t="str">
        <f>_xlfn.XLOOKUP(worksheet[[#This Row],[Customer ID]],customers!$A$1:$A$1001,customers!$I$1:$I$1001,0)</f>
        <v>No</v>
      </c>
    </row>
    <row r="903" spans="1:16" x14ac:dyDescent="0.25">
      <c r="A903" s="2" t="s">
        <v>5585</v>
      </c>
      <c r="B903" s="4">
        <v>44223</v>
      </c>
      <c r="C903" s="2" t="s">
        <v>5586</v>
      </c>
      <c r="D903" t="s">
        <v>6178</v>
      </c>
      <c r="E903" s="2">
        <v>1</v>
      </c>
      <c r="F903" s="2" t="str">
        <f>_xlfn.XLOOKUP(C903,customers!$A$1:$A$1001,customers!$B$1:$B$1001,0)</f>
        <v>Drake Jevon</v>
      </c>
      <c r="G903" s="2" t="s">
        <v>5588</v>
      </c>
      <c r="H903" s="2" t="str">
        <f>_xlfn.XLOOKUP(C903,customers!$A$1:$A$1001,customers!$G$1:$G$1001,0)</f>
        <v>United States</v>
      </c>
      <c r="I903" t="str">
        <f>_xlfn.XLOOKUP(D903,products!$A$1:$A$49,products!$B$1:$B$49,0)</f>
        <v>Rob</v>
      </c>
      <c r="J903" t="str">
        <f>_xlfn.XLOOKUP('data cleaned'!D903,products!$A$1:$A$49,products!$C$1:$C$49,0)</f>
        <v>L</v>
      </c>
      <c r="K903" s="5">
        <f>_xlfn.XLOOKUP('data cleaned'!D903,products!$A$1:$A$49,products!$D$1:$D$49,0)</f>
        <v>0.2</v>
      </c>
      <c r="L903" s="6">
        <f>_xlfn.XLOOKUP('data cleaned'!D903,products!$A$1:$A$49,products!$E$1:$E$49,0)</f>
        <v>3.5849999999999995</v>
      </c>
      <c r="M903" s="6">
        <f>'data cleaned'!E903*'data cleaned'!L903</f>
        <v>3.5849999999999995</v>
      </c>
      <c r="N903" t="str">
        <f t="shared" si="28"/>
        <v>Robusta</v>
      </c>
      <c r="O903" t="str">
        <f t="shared" si="29"/>
        <v>Light</v>
      </c>
      <c r="P903" t="str">
        <f>_xlfn.XLOOKUP(worksheet[[#This Row],[Customer ID]],customers!$A$1:$A$1001,customers!$I$1:$I$1001,0)</f>
        <v>Yes</v>
      </c>
    </row>
    <row r="904" spans="1:16" x14ac:dyDescent="0.25">
      <c r="A904" s="2" t="s">
        <v>5591</v>
      </c>
      <c r="B904" s="4">
        <v>43640</v>
      </c>
      <c r="C904" s="2" t="s">
        <v>5592</v>
      </c>
      <c r="D904" t="s">
        <v>6166</v>
      </c>
      <c r="E904" s="2">
        <v>5</v>
      </c>
      <c r="F904" s="2" t="str">
        <f>_xlfn.XLOOKUP(C904,customers!$A$1:$A$1001,customers!$B$1:$B$1001,0)</f>
        <v>Hall Ranner</v>
      </c>
      <c r="G904" s="2" t="s">
        <v>5594</v>
      </c>
      <c r="H904" s="2" t="str">
        <f>_xlfn.XLOOKUP(C904,customers!$A$1:$A$1001,customers!$G$1:$G$1001,0)</f>
        <v>United States</v>
      </c>
      <c r="I904" t="str">
        <f>_xlfn.XLOOKUP(D904,products!$A$1:$A$49,products!$B$1:$B$49,0)</f>
        <v>Exc</v>
      </c>
      <c r="J904" t="str">
        <f>_xlfn.XLOOKUP('data cleaned'!D904,products!$A$1:$A$49,products!$C$1:$C$49,0)</f>
        <v>M</v>
      </c>
      <c r="K904" s="5">
        <f>_xlfn.XLOOKUP('data cleaned'!D904,products!$A$1:$A$49,products!$D$1:$D$49,0)</f>
        <v>2.5</v>
      </c>
      <c r="L904" s="6">
        <f>_xlfn.XLOOKUP('data cleaned'!D904,products!$A$1:$A$49,products!$E$1:$E$49,0)</f>
        <v>31.624999999999996</v>
      </c>
      <c r="M904" s="6">
        <f>'data cleaned'!E904*'data cleaned'!L904</f>
        <v>158.12499999999997</v>
      </c>
      <c r="N904" t="str">
        <f t="shared" si="28"/>
        <v>Excelsa</v>
      </c>
      <c r="O904" t="str">
        <f t="shared" si="29"/>
        <v>Medium</v>
      </c>
      <c r="P904" t="str">
        <f>_xlfn.XLOOKUP(worksheet[[#This Row],[Customer ID]],customers!$A$1:$A$1001,customers!$I$1:$I$1001,0)</f>
        <v>No</v>
      </c>
    </row>
    <row r="905" spans="1:16" x14ac:dyDescent="0.25">
      <c r="A905" s="2" t="s">
        <v>5597</v>
      </c>
      <c r="B905" s="4">
        <v>43905</v>
      </c>
      <c r="C905" s="2" t="s">
        <v>5598</v>
      </c>
      <c r="D905" t="s">
        <v>6160</v>
      </c>
      <c r="E905" s="2">
        <v>2</v>
      </c>
      <c r="F905" s="2" t="str">
        <f>_xlfn.XLOOKUP(C905,customers!$A$1:$A$1001,customers!$B$1:$B$1001,0)</f>
        <v>Berkly Imrie</v>
      </c>
      <c r="G905" s="2" t="s">
        <v>5600</v>
      </c>
      <c r="H905" s="2" t="str">
        <f>_xlfn.XLOOKUP(C905,customers!$A$1:$A$1001,customers!$G$1:$G$1001,0)</f>
        <v>United States</v>
      </c>
      <c r="I905" t="str">
        <f>_xlfn.XLOOKUP(D905,products!$A$1:$A$49,products!$B$1:$B$49,0)</f>
        <v>Lib</v>
      </c>
      <c r="J905" t="str">
        <f>_xlfn.XLOOKUP('data cleaned'!D905,products!$A$1:$A$49,products!$C$1:$C$49,0)</f>
        <v>M</v>
      </c>
      <c r="K905" s="5">
        <f>_xlfn.XLOOKUP('data cleaned'!D905,products!$A$1:$A$49,products!$D$1:$D$49,0)</f>
        <v>0.5</v>
      </c>
      <c r="L905" s="6">
        <f>_xlfn.XLOOKUP('data cleaned'!D905,products!$A$1:$A$49,products!$E$1:$E$49,0)</f>
        <v>8.73</v>
      </c>
      <c r="M905" s="6">
        <f>'data cleaned'!E905*'data cleaned'!L905</f>
        <v>17.46</v>
      </c>
      <c r="N905" t="str">
        <f t="shared" si="28"/>
        <v>Liberica</v>
      </c>
      <c r="O905" t="str">
        <f t="shared" si="29"/>
        <v>Medium</v>
      </c>
      <c r="P905" t="str">
        <f>_xlfn.XLOOKUP(worksheet[[#This Row],[Customer ID]],customers!$A$1:$A$1001,customers!$I$1:$I$1001,0)</f>
        <v>No</v>
      </c>
    </row>
    <row r="906" spans="1:16" x14ac:dyDescent="0.25">
      <c r="A906" s="2" t="s">
        <v>5603</v>
      </c>
      <c r="B906" s="4">
        <v>44463</v>
      </c>
      <c r="C906" s="2" t="s">
        <v>5604</v>
      </c>
      <c r="D906" t="s">
        <v>6182</v>
      </c>
      <c r="E906" s="2">
        <v>5</v>
      </c>
      <c r="F906" s="2" t="str">
        <f>_xlfn.XLOOKUP(C906,customers!$A$1:$A$1001,customers!$B$1:$B$1001,0)</f>
        <v>Dorey Sopper</v>
      </c>
      <c r="G906" s="2" t="s">
        <v>5606</v>
      </c>
      <c r="H906" s="2" t="str">
        <f>_xlfn.XLOOKUP(C906,customers!$A$1:$A$1001,customers!$G$1:$G$1001,0)</f>
        <v>United States</v>
      </c>
      <c r="I906" t="str">
        <f>_xlfn.XLOOKUP(D906,products!$A$1:$A$49,products!$B$1:$B$49,0)</f>
        <v>Ara</v>
      </c>
      <c r="J906" t="str">
        <f>_xlfn.XLOOKUP('data cleaned'!D906,products!$A$1:$A$49,products!$C$1:$C$49,0)</f>
        <v>L</v>
      </c>
      <c r="K906" s="5">
        <f>_xlfn.XLOOKUP('data cleaned'!D906,products!$A$1:$A$49,products!$D$1:$D$49,0)</f>
        <v>2.5</v>
      </c>
      <c r="L906" s="6">
        <f>_xlfn.XLOOKUP('data cleaned'!D906,products!$A$1:$A$49,products!$E$1:$E$49,0)</f>
        <v>29.784999999999997</v>
      </c>
      <c r="M906" s="6">
        <f>'data cleaned'!E906*'data cleaned'!L906</f>
        <v>148.92499999999998</v>
      </c>
      <c r="N906" t="str">
        <f t="shared" si="28"/>
        <v>Arabica</v>
      </c>
      <c r="O906" t="str">
        <f t="shared" si="29"/>
        <v>Light</v>
      </c>
      <c r="P906" t="str">
        <f>_xlfn.XLOOKUP(worksheet[[#This Row],[Customer ID]],customers!$A$1:$A$1001,customers!$I$1:$I$1001,0)</f>
        <v>No</v>
      </c>
    </row>
    <row r="907" spans="1:16" x14ac:dyDescent="0.25">
      <c r="A907" s="2" t="s">
        <v>5609</v>
      </c>
      <c r="B907" s="4">
        <v>43560</v>
      </c>
      <c r="C907" s="2" t="s">
        <v>5610</v>
      </c>
      <c r="D907" t="s">
        <v>6157</v>
      </c>
      <c r="E907" s="2">
        <v>6</v>
      </c>
      <c r="F907" s="2" t="str">
        <f>_xlfn.XLOOKUP(C907,customers!$A$1:$A$1001,customers!$B$1:$B$1001,0)</f>
        <v>Darcy Lochran</v>
      </c>
      <c r="G907" s="2" t="s">
        <v>6222</v>
      </c>
      <c r="H907" s="2" t="str">
        <f>_xlfn.XLOOKUP(C907,customers!$A$1:$A$1001,customers!$G$1:$G$1001,0)</f>
        <v>United States</v>
      </c>
      <c r="I907" t="str">
        <f>_xlfn.XLOOKUP(D907,products!$A$1:$A$49,products!$B$1:$B$49,0)</f>
        <v>Ara</v>
      </c>
      <c r="J907" t="str">
        <f>_xlfn.XLOOKUP('data cleaned'!D907,products!$A$1:$A$49,products!$C$1:$C$49,0)</f>
        <v>M</v>
      </c>
      <c r="K907" s="5">
        <f>_xlfn.XLOOKUP('data cleaned'!D907,products!$A$1:$A$49,products!$D$1:$D$49,0)</f>
        <v>0.5</v>
      </c>
      <c r="L907" s="6">
        <f>_xlfn.XLOOKUP('data cleaned'!D907,products!$A$1:$A$49,products!$E$1:$E$49,0)</f>
        <v>6.75</v>
      </c>
      <c r="M907" s="6">
        <f>'data cleaned'!E907*'data cleaned'!L907</f>
        <v>40.5</v>
      </c>
      <c r="N907" t="str">
        <f t="shared" si="28"/>
        <v>Arabica</v>
      </c>
      <c r="O907" t="str">
        <f t="shared" si="29"/>
        <v>Medium</v>
      </c>
      <c r="P907" t="str">
        <f>_xlfn.XLOOKUP(worksheet[[#This Row],[Customer ID]],customers!$A$1:$A$1001,customers!$I$1:$I$1001,0)</f>
        <v>Yes</v>
      </c>
    </row>
    <row r="908" spans="1:16" x14ac:dyDescent="0.25">
      <c r="A908" s="2" t="s">
        <v>5614</v>
      </c>
      <c r="B908" s="4">
        <v>44588</v>
      </c>
      <c r="C908" s="2" t="s">
        <v>5615</v>
      </c>
      <c r="D908" t="s">
        <v>6157</v>
      </c>
      <c r="E908" s="2">
        <v>4</v>
      </c>
      <c r="F908" s="2" t="str">
        <f>_xlfn.XLOOKUP(C908,customers!$A$1:$A$1001,customers!$B$1:$B$1001,0)</f>
        <v>Lauritz Ledgley</v>
      </c>
      <c r="G908" s="2" t="s">
        <v>5617</v>
      </c>
      <c r="H908" s="2" t="str">
        <f>_xlfn.XLOOKUP(C908,customers!$A$1:$A$1001,customers!$G$1:$G$1001,0)</f>
        <v>United States</v>
      </c>
      <c r="I908" t="str">
        <f>_xlfn.XLOOKUP(D908,products!$A$1:$A$49,products!$B$1:$B$49,0)</f>
        <v>Ara</v>
      </c>
      <c r="J908" t="str">
        <f>_xlfn.XLOOKUP('data cleaned'!D908,products!$A$1:$A$49,products!$C$1:$C$49,0)</f>
        <v>M</v>
      </c>
      <c r="K908" s="5">
        <f>_xlfn.XLOOKUP('data cleaned'!D908,products!$A$1:$A$49,products!$D$1:$D$49,0)</f>
        <v>0.5</v>
      </c>
      <c r="L908" s="6">
        <f>_xlfn.XLOOKUP('data cleaned'!D908,products!$A$1:$A$49,products!$E$1:$E$49,0)</f>
        <v>6.75</v>
      </c>
      <c r="M908" s="6">
        <f>'data cleaned'!E908*'data cleaned'!L908</f>
        <v>27</v>
      </c>
      <c r="N908" t="str">
        <f t="shared" si="28"/>
        <v>Arabica</v>
      </c>
      <c r="O908" t="str">
        <f t="shared" si="29"/>
        <v>Medium</v>
      </c>
      <c r="P908" t="str">
        <f>_xlfn.XLOOKUP(worksheet[[#This Row],[Customer ID]],customers!$A$1:$A$1001,customers!$I$1:$I$1001,0)</f>
        <v>Yes</v>
      </c>
    </row>
    <row r="909" spans="1:16" x14ac:dyDescent="0.25">
      <c r="A909" s="2" t="s">
        <v>5620</v>
      </c>
      <c r="B909" s="4">
        <v>44449</v>
      </c>
      <c r="C909" s="2" t="s">
        <v>5621</v>
      </c>
      <c r="D909" t="s">
        <v>6143</v>
      </c>
      <c r="E909" s="2">
        <v>3</v>
      </c>
      <c r="F909" s="2" t="str">
        <f>_xlfn.XLOOKUP(C909,customers!$A$1:$A$1001,customers!$B$1:$B$1001,0)</f>
        <v>Tawnya Menary</v>
      </c>
      <c r="G909" s="2" t="s">
        <v>5623</v>
      </c>
      <c r="H909" s="2" t="str">
        <f>_xlfn.XLOOKUP(C909,customers!$A$1:$A$1001,customers!$G$1:$G$1001,0)</f>
        <v>United States</v>
      </c>
      <c r="I909" t="str">
        <f>_xlfn.XLOOKUP(D909,products!$A$1:$A$49,products!$B$1:$B$49,0)</f>
        <v>Lib</v>
      </c>
      <c r="J909" t="str">
        <f>_xlfn.XLOOKUP('data cleaned'!D909,products!$A$1:$A$49,products!$C$1:$C$49,0)</f>
        <v>D</v>
      </c>
      <c r="K909" s="5">
        <f>_xlfn.XLOOKUP('data cleaned'!D909,products!$A$1:$A$49,products!$D$1:$D$49,0)</f>
        <v>1</v>
      </c>
      <c r="L909" s="6">
        <f>_xlfn.XLOOKUP('data cleaned'!D909,products!$A$1:$A$49,products!$E$1:$E$49,0)</f>
        <v>12.95</v>
      </c>
      <c r="M909" s="6">
        <f>'data cleaned'!E909*'data cleaned'!L909</f>
        <v>38.849999999999994</v>
      </c>
      <c r="N909" t="str">
        <f t="shared" si="28"/>
        <v>Liberica</v>
      </c>
      <c r="O909" t="str">
        <f t="shared" si="29"/>
        <v>Dark</v>
      </c>
      <c r="P909" t="str">
        <f>_xlfn.XLOOKUP(worksheet[[#This Row],[Customer ID]],customers!$A$1:$A$1001,customers!$I$1:$I$1001,0)</f>
        <v>No</v>
      </c>
    </row>
    <row r="910" spans="1:16" x14ac:dyDescent="0.25">
      <c r="A910" s="2" t="s">
        <v>5626</v>
      </c>
      <c r="B910" s="4">
        <v>43836</v>
      </c>
      <c r="C910" s="2" t="s">
        <v>5627</v>
      </c>
      <c r="D910" t="s">
        <v>6179</v>
      </c>
      <c r="E910" s="2">
        <v>5</v>
      </c>
      <c r="F910" s="2" t="str">
        <f>_xlfn.XLOOKUP(C910,customers!$A$1:$A$1001,customers!$B$1:$B$1001,0)</f>
        <v>Gustaf Ciccotti</v>
      </c>
      <c r="G910" s="2" t="s">
        <v>5629</v>
      </c>
      <c r="H910" s="2" t="str">
        <f>_xlfn.XLOOKUP(C910,customers!$A$1:$A$1001,customers!$G$1:$G$1001,0)</f>
        <v>United States</v>
      </c>
      <c r="I910" t="str">
        <f>_xlfn.XLOOKUP(D910,products!$A$1:$A$49,products!$B$1:$B$49,0)</f>
        <v>Rob</v>
      </c>
      <c r="J910" t="str">
        <f>_xlfn.XLOOKUP('data cleaned'!D910,products!$A$1:$A$49,products!$C$1:$C$49,0)</f>
        <v>L</v>
      </c>
      <c r="K910" s="5">
        <f>_xlfn.XLOOKUP('data cleaned'!D910,products!$A$1:$A$49,products!$D$1:$D$49,0)</f>
        <v>1</v>
      </c>
      <c r="L910" s="6">
        <f>_xlfn.XLOOKUP('data cleaned'!D910,products!$A$1:$A$49,products!$E$1:$E$49,0)</f>
        <v>11.95</v>
      </c>
      <c r="M910" s="6">
        <f>'data cleaned'!E910*'data cleaned'!L910</f>
        <v>59.75</v>
      </c>
      <c r="N910" t="str">
        <f t="shared" si="28"/>
        <v>Robusta</v>
      </c>
      <c r="O910" t="str">
        <f t="shared" si="29"/>
        <v>Light</v>
      </c>
      <c r="P910" t="str">
        <f>_xlfn.XLOOKUP(worksheet[[#This Row],[Customer ID]],customers!$A$1:$A$1001,customers!$I$1:$I$1001,0)</f>
        <v>No</v>
      </c>
    </row>
    <row r="911" spans="1:16" x14ac:dyDescent="0.25">
      <c r="A911" s="2" t="s">
        <v>5632</v>
      </c>
      <c r="B911" s="4">
        <v>44635</v>
      </c>
      <c r="C911" s="2" t="s">
        <v>5633</v>
      </c>
      <c r="D911" t="s">
        <v>6178</v>
      </c>
      <c r="E911" s="2">
        <v>3</v>
      </c>
      <c r="F911" s="2" t="str">
        <f>_xlfn.XLOOKUP(C911,customers!$A$1:$A$1001,customers!$B$1:$B$1001,0)</f>
        <v>Bobbe Renner</v>
      </c>
      <c r="G911" s="2" t="s">
        <v>6222</v>
      </c>
      <c r="H911" s="2" t="str">
        <f>_xlfn.XLOOKUP(C911,customers!$A$1:$A$1001,customers!$G$1:$G$1001,0)</f>
        <v>United States</v>
      </c>
      <c r="I911" t="str">
        <f>_xlfn.XLOOKUP(D911,products!$A$1:$A$49,products!$B$1:$B$49,0)</f>
        <v>Rob</v>
      </c>
      <c r="J911" t="str">
        <f>_xlfn.XLOOKUP('data cleaned'!D911,products!$A$1:$A$49,products!$C$1:$C$49,0)</f>
        <v>L</v>
      </c>
      <c r="K911" s="5">
        <f>_xlfn.XLOOKUP('data cleaned'!D911,products!$A$1:$A$49,products!$D$1:$D$49,0)</f>
        <v>0.2</v>
      </c>
      <c r="L911" s="6">
        <f>_xlfn.XLOOKUP('data cleaned'!D911,products!$A$1:$A$49,products!$E$1:$E$49,0)</f>
        <v>3.5849999999999995</v>
      </c>
      <c r="M911" s="6">
        <f>'data cleaned'!E911*'data cleaned'!L911</f>
        <v>10.754999999999999</v>
      </c>
      <c r="N911" t="str">
        <f t="shared" si="28"/>
        <v>Robusta</v>
      </c>
      <c r="O911" t="str">
        <f t="shared" si="29"/>
        <v>Light</v>
      </c>
      <c r="P911" t="str">
        <f>_xlfn.XLOOKUP(worksheet[[#This Row],[Customer ID]],customers!$A$1:$A$1001,customers!$I$1:$I$1001,0)</f>
        <v>No</v>
      </c>
    </row>
    <row r="912" spans="1:16" x14ac:dyDescent="0.25">
      <c r="A912" s="2" t="s">
        <v>5637</v>
      </c>
      <c r="B912" s="4">
        <v>44447</v>
      </c>
      <c r="C912" s="2" t="s">
        <v>5638</v>
      </c>
      <c r="D912" t="s">
        <v>6168</v>
      </c>
      <c r="E912" s="2">
        <v>4</v>
      </c>
      <c r="F912" s="2" t="str">
        <f>_xlfn.XLOOKUP(C912,customers!$A$1:$A$1001,customers!$B$1:$B$1001,0)</f>
        <v>Wilton Jallin</v>
      </c>
      <c r="G912" s="2" t="s">
        <v>5640</v>
      </c>
      <c r="H912" s="2" t="str">
        <f>_xlfn.XLOOKUP(C912,customers!$A$1:$A$1001,customers!$G$1:$G$1001,0)</f>
        <v>United States</v>
      </c>
      <c r="I912" t="str">
        <f>_xlfn.XLOOKUP(D912,products!$A$1:$A$49,products!$B$1:$B$49,0)</f>
        <v>Ara</v>
      </c>
      <c r="J912" t="str">
        <f>_xlfn.XLOOKUP('data cleaned'!D912,products!$A$1:$A$49,products!$C$1:$C$49,0)</f>
        <v>D</v>
      </c>
      <c r="K912" s="5">
        <f>_xlfn.XLOOKUP('data cleaned'!D912,products!$A$1:$A$49,products!$D$1:$D$49,0)</f>
        <v>2.5</v>
      </c>
      <c r="L912" s="6">
        <f>_xlfn.XLOOKUP('data cleaned'!D912,products!$A$1:$A$49,products!$E$1:$E$49,0)</f>
        <v>22.884999999999998</v>
      </c>
      <c r="M912" s="6">
        <f>'data cleaned'!E912*'data cleaned'!L912</f>
        <v>91.539999999999992</v>
      </c>
      <c r="N912" t="str">
        <f t="shared" si="28"/>
        <v>Arabica</v>
      </c>
      <c r="O912" t="str">
        <f t="shared" si="29"/>
        <v>Dark</v>
      </c>
      <c r="P912" t="str">
        <f>_xlfn.XLOOKUP(worksheet[[#This Row],[Customer ID]],customers!$A$1:$A$1001,customers!$I$1:$I$1001,0)</f>
        <v>No</v>
      </c>
    </row>
    <row r="913" spans="1:16" x14ac:dyDescent="0.25">
      <c r="A913" s="2" t="s">
        <v>5643</v>
      </c>
      <c r="B913" s="4">
        <v>44511</v>
      </c>
      <c r="C913" s="2" t="s">
        <v>5644</v>
      </c>
      <c r="D913" t="s">
        <v>6155</v>
      </c>
      <c r="E913" s="2">
        <v>4</v>
      </c>
      <c r="F913" s="2" t="str">
        <f>_xlfn.XLOOKUP(C913,customers!$A$1:$A$1001,customers!$B$1:$B$1001,0)</f>
        <v>Mindy Bogey</v>
      </c>
      <c r="G913" s="2" t="s">
        <v>5646</v>
      </c>
      <c r="H913" s="2" t="str">
        <f>_xlfn.XLOOKUP(C913,customers!$A$1:$A$1001,customers!$G$1:$G$1001,0)</f>
        <v>United States</v>
      </c>
      <c r="I913" t="str">
        <f>_xlfn.XLOOKUP(D913,products!$A$1:$A$49,products!$B$1:$B$49,0)</f>
        <v>Ara</v>
      </c>
      <c r="J913" t="str">
        <f>_xlfn.XLOOKUP('data cleaned'!D913,products!$A$1:$A$49,products!$C$1:$C$49,0)</f>
        <v>M</v>
      </c>
      <c r="K913" s="5">
        <f>_xlfn.XLOOKUP('data cleaned'!D913,products!$A$1:$A$49,products!$D$1:$D$49,0)</f>
        <v>1</v>
      </c>
      <c r="L913" s="6">
        <f>_xlfn.XLOOKUP('data cleaned'!D913,products!$A$1:$A$49,products!$E$1:$E$49,0)</f>
        <v>11.25</v>
      </c>
      <c r="M913" s="6">
        <f>'data cleaned'!E913*'data cleaned'!L913</f>
        <v>45</v>
      </c>
      <c r="N913" t="str">
        <f t="shared" si="28"/>
        <v>Arabica</v>
      </c>
      <c r="O913" t="str">
        <f t="shared" si="29"/>
        <v>Medium</v>
      </c>
      <c r="P913" t="str">
        <f>_xlfn.XLOOKUP(worksheet[[#This Row],[Customer ID]],customers!$A$1:$A$1001,customers!$I$1:$I$1001,0)</f>
        <v>Yes</v>
      </c>
    </row>
    <row r="914" spans="1:16" x14ac:dyDescent="0.25">
      <c r="A914" s="2" t="s">
        <v>5649</v>
      </c>
      <c r="B914" s="4">
        <v>43726</v>
      </c>
      <c r="C914" s="2" t="s">
        <v>5650</v>
      </c>
      <c r="D914" t="s">
        <v>6151</v>
      </c>
      <c r="E914" s="2">
        <v>6</v>
      </c>
      <c r="F914" s="2" t="str">
        <f>_xlfn.XLOOKUP(C914,customers!$A$1:$A$1001,customers!$B$1:$B$1001,0)</f>
        <v>Paulie Fonzone</v>
      </c>
      <c r="G914" s="2" t="s">
        <v>6222</v>
      </c>
      <c r="H914" s="2" t="str">
        <f>_xlfn.XLOOKUP(C914,customers!$A$1:$A$1001,customers!$G$1:$G$1001,0)</f>
        <v>United States</v>
      </c>
      <c r="I914" t="str">
        <f>_xlfn.XLOOKUP(D914,products!$A$1:$A$49,products!$B$1:$B$49,0)</f>
        <v>Rob</v>
      </c>
      <c r="J914" t="str">
        <f>_xlfn.XLOOKUP('data cleaned'!D914,products!$A$1:$A$49,products!$C$1:$C$49,0)</f>
        <v>M</v>
      </c>
      <c r="K914" s="5">
        <f>_xlfn.XLOOKUP('data cleaned'!D914,products!$A$1:$A$49,products!$D$1:$D$49,0)</f>
        <v>2.5</v>
      </c>
      <c r="L914" s="6">
        <f>_xlfn.XLOOKUP('data cleaned'!D914,products!$A$1:$A$49,products!$E$1:$E$49,0)</f>
        <v>22.884999999999998</v>
      </c>
      <c r="M914" s="6">
        <f>'data cleaned'!E914*'data cleaned'!L914</f>
        <v>137.31</v>
      </c>
      <c r="N914" t="str">
        <f t="shared" si="28"/>
        <v>Robusta</v>
      </c>
      <c r="O914" t="str">
        <f t="shared" si="29"/>
        <v>Medium</v>
      </c>
      <c r="P914" t="str">
        <f>_xlfn.XLOOKUP(worksheet[[#This Row],[Customer ID]],customers!$A$1:$A$1001,customers!$I$1:$I$1001,0)</f>
        <v>Yes</v>
      </c>
    </row>
    <row r="915" spans="1:16" x14ac:dyDescent="0.25">
      <c r="A915" s="2" t="s">
        <v>5654</v>
      </c>
      <c r="B915" s="4">
        <v>44406</v>
      </c>
      <c r="C915" s="2" t="s">
        <v>5655</v>
      </c>
      <c r="D915" t="s">
        <v>6157</v>
      </c>
      <c r="E915" s="2">
        <v>1</v>
      </c>
      <c r="F915" s="2" t="str">
        <f>_xlfn.XLOOKUP(C915,customers!$A$1:$A$1001,customers!$B$1:$B$1001,0)</f>
        <v>Merrile Cobbledick</v>
      </c>
      <c r="G915" s="2" t="s">
        <v>5657</v>
      </c>
      <c r="H915" s="2" t="str">
        <f>_xlfn.XLOOKUP(C915,customers!$A$1:$A$1001,customers!$G$1:$G$1001,0)</f>
        <v>United States</v>
      </c>
      <c r="I915" t="str">
        <f>_xlfn.XLOOKUP(D915,products!$A$1:$A$49,products!$B$1:$B$49,0)</f>
        <v>Ara</v>
      </c>
      <c r="J915" t="str">
        <f>_xlfn.XLOOKUP('data cleaned'!D915,products!$A$1:$A$49,products!$C$1:$C$49,0)</f>
        <v>M</v>
      </c>
      <c r="K915" s="5">
        <f>_xlfn.XLOOKUP('data cleaned'!D915,products!$A$1:$A$49,products!$D$1:$D$49,0)</f>
        <v>0.5</v>
      </c>
      <c r="L915" s="6">
        <f>_xlfn.XLOOKUP('data cleaned'!D915,products!$A$1:$A$49,products!$E$1:$E$49,0)</f>
        <v>6.75</v>
      </c>
      <c r="M915" s="6">
        <f>'data cleaned'!E915*'data cleaned'!L915</f>
        <v>6.75</v>
      </c>
      <c r="N915" t="str">
        <f t="shared" si="28"/>
        <v>Arabica</v>
      </c>
      <c r="O915" t="str">
        <f t="shared" si="29"/>
        <v>Medium</v>
      </c>
      <c r="P915" t="str">
        <f>_xlfn.XLOOKUP(worksheet[[#This Row],[Customer ID]],customers!$A$1:$A$1001,customers!$I$1:$I$1001,0)</f>
        <v>No</v>
      </c>
    </row>
    <row r="916" spans="1:16" x14ac:dyDescent="0.25">
      <c r="A916" s="2" t="s">
        <v>5660</v>
      </c>
      <c r="B916" s="4">
        <v>44640</v>
      </c>
      <c r="C916" s="2" t="s">
        <v>5661</v>
      </c>
      <c r="D916" t="s">
        <v>6155</v>
      </c>
      <c r="E916" s="2">
        <v>4</v>
      </c>
      <c r="F916" s="2" t="str">
        <f>_xlfn.XLOOKUP(C916,customers!$A$1:$A$1001,customers!$B$1:$B$1001,0)</f>
        <v>Antonius Lewry</v>
      </c>
      <c r="G916" s="2" t="s">
        <v>5663</v>
      </c>
      <c r="H916" s="2" t="str">
        <f>_xlfn.XLOOKUP(C916,customers!$A$1:$A$1001,customers!$G$1:$G$1001,0)</f>
        <v>United States</v>
      </c>
      <c r="I916" t="str">
        <f>_xlfn.XLOOKUP(D916,products!$A$1:$A$49,products!$B$1:$B$49,0)</f>
        <v>Ara</v>
      </c>
      <c r="J916" t="str">
        <f>_xlfn.XLOOKUP('data cleaned'!D916,products!$A$1:$A$49,products!$C$1:$C$49,0)</f>
        <v>M</v>
      </c>
      <c r="K916" s="5">
        <f>_xlfn.XLOOKUP('data cleaned'!D916,products!$A$1:$A$49,products!$D$1:$D$49,0)</f>
        <v>1</v>
      </c>
      <c r="L916" s="6">
        <f>_xlfn.XLOOKUP('data cleaned'!D916,products!$A$1:$A$49,products!$E$1:$E$49,0)</f>
        <v>11.25</v>
      </c>
      <c r="M916" s="6">
        <f>'data cleaned'!E916*'data cleaned'!L916</f>
        <v>45</v>
      </c>
      <c r="N916" t="str">
        <f t="shared" si="28"/>
        <v>Arabica</v>
      </c>
      <c r="O916" t="str">
        <f t="shared" si="29"/>
        <v>Medium</v>
      </c>
      <c r="P916" t="str">
        <f>_xlfn.XLOOKUP(worksheet[[#This Row],[Customer ID]],customers!$A$1:$A$1001,customers!$I$1:$I$1001,0)</f>
        <v>No</v>
      </c>
    </row>
    <row r="917" spans="1:16" x14ac:dyDescent="0.25">
      <c r="A917" s="2" t="s">
        <v>5666</v>
      </c>
      <c r="B917" s="4">
        <v>43955</v>
      </c>
      <c r="C917" s="2" t="s">
        <v>5667</v>
      </c>
      <c r="D917" t="s">
        <v>6185</v>
      </c>
      <c r="E917" s="2">
        <v>3</v>
      </c>
      <c r="F917" s="2" t="str">
        <f>_xlfn.XLOOKUP(C917,customers!$A$1:$A$1001,customers!$B$1:$B$1001,0)</f>
        <v>Isis Hessel</v>
      </c>
      <c r="G917" s="2" t="s">
        <v>5669</v>
      </c>
      <c r="H917" s="2" t="str">
        <f>_xlfn.XLOOKUP(C917,customers!$A$1:$A$1001,customers!$G$1:$G$1001,0)</f>
        <v>United States</v>
      </c>
      <c r="I917" t="str">
        <f>_xlfn.XLOOKUP(D917,products!$A$1:$A$49,products!$B$1:$B$49,0)</f>
        <v>Exc</v>
      </c>
      <c r="J917" t="str">
        <f>_xlfn.XLOOKUP('data cleaned'!D917,products!$A$1:$A$49,products!$C$1:$C$49,0)</f>
        <v>D</v>
      </c>
      <c r="K917" s="5">
        <f>_xlfn.XLOOKUP('data cleaned'!D917,products!$A$1:$A$49,products!$D$1:$D$49,0)</f>
        <v>2.5</v>
      </c>
      <c r="L917" s="6">
        <f>_xlfn.XLOOKUP('data cleaned'!D917,products!$A$1:$A$49,products!$E$1:$E$49,0)</f>
        <v>27.945</v>
      </c>
      <c r="M917" s="6">
        <f>'data cleaned'!E917*'data cleaned'!L917</f>
        <v>83.835000000000008</v>
      </c>
      <c r="N917" t="str">
        <f t="shared" si="28"/>
        <v>Excelsa</v>
      </c>
      <c r="O917" t="str">
        <f t="shared" si="29"/>
        <v>Dark</v>
      </c>
      <c r="P917" t="str">
        <f>_xlfn.XLOOKUP(worksheet[[#This Row],[Customer ID]],customers!$A$1:$A$1001,customers!$I$1:$I$1001,0)</f>
        <v>Yes</v>
      </c>
    </row>
    <row r="918" spans="1:16" x14ac:dyDescent="0.25">
      <c r="A918" s="2" t="s">
        <v>5672</v>
      </c>
      <c r="B918" s="4">
        <v>44291</v>
      </c>
      <c r="C918" s="2" t="s">
        <v>5673</v>
      </c>
      <c r="D918" t="s">
        <v>6153</v>
      </c>
      <c r="E918" s="2">
        <v>1</v>
      </c>
      <c r="F918" s="2" t="str">
        <f>_xlfn.XLOOKUP(C918,customers!$A$1:$A$1001,customers!$B$1:$B$1001,0)</f>
        <v>Harland Trematick</v>
      </c>
      <c r="G918" s="2" t="s">
        <v>6222</v>
      </c>
      <c r="H918" s="2" t="str">
        <f>_xlfn.XLOOKUP(C918,customers!$A$1:$A$1001,customers!$G$1:$G$1001,0)</f>
        <v>Ireland</v>
      </c>
      <c r="I918" t="str">
        <f>_xlfn.XLOOKUP(D918,products!$A$1:$A$49,products!$B$1:$B$49,0)</f>
        <v>Exc</v>
      </c>
      <c r="J918" t="str">
        <f>_xlfn.XLOOKUP('data cleaned'!D918,products!$A$1:$A$49,products!$C$1:$C$49,0)</f>
        <v>D</v>
      </c>
      <c r="K918" s="5">
        <f>_xlfn.XLOOKUP('data cleaned'!D918,products!$A$1:$A$49,products!$D$1:$D$49,0)</f>
        <v>0.2</v>
      </c>
      <c r="L918" s="6">
        <f>_xlfn.XLOOKUP('data cleaned'!D918,products!$A$1:$A$49,products!$E$1:$E$49,0)</f>
        <v>3.645</v>
      </c>
      <c r="M918" s="6">
        <f>'data cleaned'!E918*'data cleaned'!L918</f>
        <v>3.645</v>
      </c>
      <c r="N918" t="str">
        <f t="shared" si="28"/>
        <v>Excelsa</v>
      </c>
      <c r="O918" t="str">
        <f t="shared" si="29"/>
        <v>Dark</v>
      </c>
      <c r="P918" t="str">
        <f>_xlfn.XLOOKUP(worksheet[[#This Row],[Customer ID]],customers!$A$1:$A$1001,customers!$I$1:$I$1001,0)</f>
        <v>Yes</v>
      </c>
    </row>
    <row r="919" spans="1:16" x14ac:dyDescent="0.25">
      <c r="A919" s="2" t="s">
        <v>5676</v>
      </c>
      <c r="B919" s="4">
        <v>44573</v>
      </c>
      <c r="C919" s="2" t="s">
        <v>5677</v>
      </c>
      <c r="D919" t="s">
        <v>6157</v>
      </c>
      <c r="E919" s="2">
        <v>1</v>
      </c>
      <c r="F919" s="2" t="str">
        <f>_xlfn.XLOOKUP(C919,customers!$A$1:$A$1001,customers!$B$1:$B$1001,0)</f>
        <v>Chloris Sorrell</v>
      </c>
      <c r="G919" s="2" t="s">
        <v>5679</v>
      </c>
      <c r="H919" s="2" t="str">
        <f>_xlfn.XLOOKUP(C919,customers!$A$1:$A$1001,customers!$G$1:$G$1001,0)</f>
        <v>United Kingdom</v>
      </c>
      <c r="I919" t="str">
        <f>_xlfn.XLOOKUP(D919,products!$A$1:$A$49,products!$B$1:$B$49,0)</f>
        <v>Ara</v>
      </c>
      <c r="J919" t="str">
        <f>_xlfn.XLOOKUP('data cleaned'!D919,products!$A$1:$A$49,products!$C$1:$C$49,0)</f>
        <v>M</v>
      </c>
      <c r="K919" s="5">
        <f>_xlfn.XLOOKUP('data cleaned'!D919,products!$A$1:$A$49,products!$D$1:$D$49,0)</f>
        <v>0.5</v>
      </c>
      <c r="L919" s="6">
        <f>_xlfn.XLOOKUP('data cleaned'!D919,products!$A$1:$A$49,products!$E$1:$E$49,0)</f>
        <v>6.75</v>
      </c>
      <c r="M919" s="6">
        <f>'data cleaned'!E919*'data cleaned'!L919</f>
        <v>6.75</v>
      </c>
      <c r="N919" t="str">
        <f t="shared" si="28"/>
        <v>Arabica</v>
      </c>
      <c r="O919" t="str">
        <f t="shared" si="29"/>
        <v>Medium</v>
      </c>
      <c r="P919" t="str">
        <f>_xlfn.XLOOKUP(worksheet[[#This Row],[Customer ID]],customers!$A$1:$A$1001,customers!$I$1:$I$1001,0)</f>
        <v>No</v>
      </c>
    </row>
    <row r="920" spans="1:16" x14ac:dyDescent="0.25">
      <c r="A920" s="2" t="s">
        <v>5676</v>
      </c>
      <c r="B920" s="4">
        <v>44573</v>
      </c>
      <c r="C920" s="2" t="s">
        <v>5677</v>
      </c>
      <c r="D920" t="s">
        <v>6144</v>
      </c>
      <c r="E920" s="2">
        <v>3</v>
      </c>
      <c r="F920" s="2" t="str">
        <f>_xlfn.XLOOKUP(C920,customers!$A$1:$A$1001,customers!$B$1:$B$1001,0)</f>
        <v>Chloris Sorrell</v>
      </c>
      <c r="G920" s="2" t="s">
        <v>5679</v>
      </c>
      <c r="H920" s="2" t="str">
        <f>_xlfn.XLOOKUP(C920,customers!$A$1:$A$1001,customers!$G$1:$G$1001,0)</f>
        <v>United Kingdom</v>
      </c>
      <c r="I920" t="str">
        <f>_xlfn.XLOOKUP(D920,products!$A$1:$A$49,products!$B$1:$B$49,0)</f>
        <v>Exc</v>
      </c>
      <c r="J920" t="str">
        <f>_xlfn.XLOOKUP('data cleaned'!D920,products!$A$1:$A$49,products!$C$1:$C$49,0)</f>
        <v>D</v>
      </c>
      <c r="K920" s="5">
        <f>_xlfn.XLOOKUP('data cleaned'!D920,products!$A$1:$A$49,products!$D$1:$D$49,0)</f>
        <v>0.5</v>
      </c>
      <c r="L920" s="6">
        <f>_xlfn.XLOOKUP('data cleaned'!D920,products!$A$1:$A$49,products!$E$1:$E$49,0)</f>
        <v>7.29</v>
      </c>
      <c r="M920" s="6">
        <f>'data cleaned'!E920*'data cleaned'!L920</f>
        <v>21.87</v>
      </c>
      <c r="N920" t="str">
        <f t="shared" si="28"/>
        <v>Excelsa</v>
      </c>
      <c r="O920" t="str">
        <f t="shared" si="29"/>
        <v>Dark</v>
      </c>
      <c r="P920" t="str">
        <f>_xlfn.XLOOKUP(worksheet[[#This Row],[Customer ID]],customers!$A$1:$A$1001,customers!$I$1:$I$1001,0)</f>
        <v>No</v>
      </c>
    </row>
    <row r="921" spans="1:16" x14ac:dyDescent="0.25">
      <c r="A921" s="2" t="s">
        <v>5687</v>
      </c>
      <c r="B921" s="4">
        <v>44181</v>
      </c>
      <c r="C921" s="2" t="s">
        <v>5688</v>
      </c>
      <c r="D921" t="s">
        <v>6163</v>
      </c>
      <c r="E921" s="2">
        <v>5</v>
      </c>
      <c r="F921" s="2" t="str">
        <f>_xlfn.XLOOKUP(C921,customers!$A$1:$A$1001,customers!$B$1:$B$1001,0)</f>
        <v>Quintina Heavyside</v>
      </c>
      <c r="G921" s="2" t="s">
        <v>5690</v>
      </c>
      <c r="H921" s="2" t="str">
        <f>_xlfn.XLOOKUP(C921,customers!$A$1:$A$1001,customers!$G$1:$G$1001,0)</f>
        <v>United States</v>
      </c>
      <c r="I921" t="str">
        <f>_xlfn.XLOOKUP(D921,products!$A$1:$A$49,products!$B$1:$B$49,0)</f>
        <v>Rob</v>
      </c>
      <c r="J921" t="str">
        <f>_xlfn.XLOOKUP('data cleaned'!D921,products!$A$1:$A$49,products!$C$1:$C$49,0)</f>
        <v>D</v>
      </c>
      <c r="K921" s="5">
        <f>_xlfn.XLOOKUP('data cleaned'!D921,products!$A$1:$A$49,products!$D$1:$D$49,0)</f>
        <v>0.2</v>
      </c>
      <c r="L921" s="6">
        <f>_xlfn.XLOOKUP('data cleaned'!D921,products!$A$1:$A$49,products!$E$1:$E$49,0)</f>
        <v>2.6849999999999996</v>
      </c>
      <c r="M921" s="6">
        <f>'data cleaned'!E921*'data cleaned'!L921</f>
        <v>13.424999999999997</v>
      </c>
      <c r="N921" t="str">
        <f t="shared" si="28"/>
        <v>Robusta</v>
      </c>
      <c r="O921" t="str">
        <f t="shared" si="29"/>
        <v>Dark</v>
      </c>
      <c r="P921" t="str">
        <f>_xlfn.XLOOKUP(worksheet[[#This Row],[Customer ID]],customers!$A$1:$A$1001,customers!$I$1:$I$1001,0)</f>
        <v>Yes</v>
      </c>
    </row>
    <row r="922" spans="1:16" x14ac:dyDescent="0.25">
      <c r="A922" s="2" t="s">
        <v>5693</v>
      </c>
      <c r="B922" s="4">
        <v>44711</v>
      </c>
      <c r="C922" s="2" t="s">
        <v>5694</v>
      </c>
      <c r="D922" t="s">
        <v>6149</v>
      </c>
      <c r="E922" s="2">
        <v>6</v>
      </c>
      <c r="F922" s="2" t="str">
        <f>_xlfn.XLOOKUP(C922,customers!$A$1:$A$1001,customers!$B$1:$B$1001,0)</f>
        <v>Hadley Reuven</v>
      </c>
      <c r="G922" s="2" t="s">
        <v>5696</v>
      </c>
      <c r="H922" s="2" t="str">
        <f>_xlfn.XLOOKUP(C922,customers!$A$1:$A$1001,customers!$G$1:$G$1001,0)</f>
        <v>United States</v>
      </c>
      <c r="I922" t="str">
        <f>_xlfn.XLOOKUP(D922,products!$A$1:$A$49,products!$B$1:$B$49,0)</f>
        <v>Rob</v>
      </c>
      <c r="J922" t="str">
        <f>_xlfn.XLOOKUP('data cleaned'!D922,products!$A$1:$A$49,products!$C$1:$C$49,0)</f>
        <v>D</v>
      </c>
      <c r="K922" s="5">
        <f>_xlfn.XLOOKUP('data cleaned'!D922,products!$A$1:$A$49,products!$D$1:$D$49,0)</f>
        <v>2.5</v>
      </c>
      <c r="L922" s="6">
        <f>_xlfn.XLOOKUP('data cleaned'!D922,products!$A$1:$A$49,products!$E$1:$E$49,0)</f>
        <v>20.584999999999997</v>
      </c>
      <c r="M922" s="6">
        <f>'data cleaned'!E922*'data cleaned'!L922</f>
        <v>123.50999999999999</v>
      </c>
      <c r="N922" t="str">
        <f t="shared" si="28"/>
        <v>Robusta</v>
      </c>
      <c r="O922" t="str">
        <f t="shared" si="29"/>
        <v>Dark</v>
      </c>
      <c r="P922" t="str">
        <f>_xlfn.XLOOKUP(worksheet[[#This Row],[Customer ID]],customers!$A$1:$A$1001,customers!$I$1:$I$1001,0)</f>
        <v>No</v>
      </c>
    </row>
    <row r="923" spans="1:16" x14ac:dyDescent="0.25">
      <c r="A923" s="2" t="s">
        <v>5699</v>
      </c>
      <c r="B923" s="4">
        <v>44509</v>
      </c>
      <c r="C923" s="2" t="s">
        <v>5700</v>
      </c>
      <c r="D923" t="s">
        <v>6150</v>
      </c>
      <c r="E923" s="2">
        <v>2</v>
      </c>
      <c r="F923" s="2" t="str">
        <f>_xlfn.XLOOKUP(C923,customers!$A$1:$A$1001,customers!$B$1:$B$1001,0)</f>
        <v>Mitch Attwool</v>
      </c>
      <c r="G923" s="2" t="s">
        <v>5702</v>
      </c>
      <c r="H923" s="2" t="str">
        <f>_xlfn.XLOOKUP(C923,customers!$A$1:$A$1001,customers!$G$1:$G$1001,0)</f>
        <v>United States</v>
      </c>
      <c r="I923" t="str">
        <f>_xlfn.XLOOKUP(D923,products!$A$1:$A$49,products!$B$1:$B$49,0)</f>
        <v>Lib</v>
      </c>
      <c r="J923" t="str">
        <f>_xlfn.XLOOKUP('data cleaned'!D923,products!$A$1:$A$49,products!$C$1:$C$49,0)</f>
        <v>D</v>
      </c>
      <c r="K923" s="5">
        <f>_xlfn.XLOOKUP('data cleaned'!D923,products!$A$1:$A$49,products!$D$1:$D$49,0)</f>
        <v>0.2</v>
      </c>
      <c r="L923" s="6">
        <f>_xlfn.XLOOKUP('data cleaned'!D923,products!$A$1:$A$49,products!$E$1:$E$49,0)</f>
        <v>3.8849999999999998</v>
      </c>
      <c r="M923" s="6">
        <f>'data cleaned'!E923*'data cleaned'!L923</f>
        <v>7.77</v>
      </c>
      <c r="N923" t="str">
        <f t="shared" si="28"/>
        <v>Liberica</v>
      </c>
      <c r="O923" t="str">
        <f t="shared" si="29"/>
        <v>Dark</v>
      </c>
      <c r="P923" t="str">
        <f>_xlfn.XLOOKUP(worksheet[[#This Row],[Customer ID]],customers!$A$1:$A$1001,customers!$I$1:$I$1001,0)</f>
        <v>No</v>
      </c>
    </row>
    <row r="924" spans="1:16" x14ac:dyDescent="0.25">
      <c r="A924" s="2" t="s">
        <v>5705</v>
      </c>
      <c r="B924" s="4">
        <v>44659</v>
      </c>
      <c r="C924" s="2" t="s">
        <v>5706</v>
      </c>
      <c r="D924" t="s">
        <v>6155</v>
      </c>
      <c r="E924" s="2">
        <v>6</v>
      </c>
      <c r="F924" s="2" t="str">
        <f>_xlfn.XLOOKUP(C924,customers!$A$1:$A$1001,customers!$B$1:$B$1001,0)</f>
        <v>Charin Maplethorp</v>
      </c>
      <c r="G924" s="2" t="s">
        <v>6222</v>
      </c>
      <c r="H924" s="2" t="str">
        <f>_xlfn.XLOOKUP(C924,customers!$A$1:$A$1001,customers!$G$1:$G$1001,0)</f>
        <v>United States</v>
      </c>
      <c r="I924" t="str">
        <f>_xlfn.XLOOKUP(D924,products!$A$1:$A$49,products!$B$1:$B$49,0)</f>
        <v>Ara</v>
      </c>
      <c r="J924" t="str">
        <f>_xlfn.XLOOKUP('data cleaned'!D924,products!$A$1:$A$49,products!$C$1:$C$49,0)</f>
        <v>M</v>
      </c>
      <c r="K924" s="5">
        <f>_xlfn.XLOOKUP('data cleaned'!D924,products!$A$1:$A$49,products!$D$1:$D$49,0)</f>
        <v>1</v>
      </c>
      <c r="L924" s="6">
        <f>_xlfn.XLOOKUP('data cleaned'!D924,products!$A$1:$A$49,products!$E$1:$E$49,0)</f>
        <v>11.25</v>
      </c>
      <c r="M924" s="6">
        <f>'data cleaned'!E924*'data cleaned'!L924</f>
        <v>67.5</v>
      </c>
      <c r="N924" t="str">
        <f t="shared" si="28"/>
        <v>Arabica</v>
      </c>
      <c r="O924" t="str">
        <f t="shared" si="29"/>
        <v>Medium</v>
      </c>
      <c r="P924" t="str">
        <f>_xlfn.XLOOKUP(worksheet[[#This Row],[Customer ID]],customers!$A$1:$A$1001,customers!$I$1:$I$1001,0)</f>
        <v>Yes</v>
      </c>
    </row>
    <row r="925" spans="1:16" x14ac:dyDescent="0.25">
      <c r="A925" s="2" t="s">
        <v>5709</v>
      </c>
      <c r="B925" s="4">
        <v>43746</v>
      </c>
      <c r="C925" s="2" t="s">
        <v>5710</v>
      </c>
      <c r="D925" t="s">
        <v>6185</v>
      </c>
      <c r="E925" s="2">
        <v>1</v>
      </c>
      <c r="F925" s="2" t="str">
        <f>_xlfn.XLOOKUP(C925,customers!$A$1:$A$1001,customers!$B$1:$B$1001,0)</f>
        <v>Goldie Wynes</v>
      </c>
      <c r="G925" s="2" t="s">
        <v>5712</v>
      </c>
      <c r="H925" s="2" t="str">
        <f>_xlfn.XLOOKUP(C925,customers!$A$1:$A$1001,customers!$G$1:$G$1001,0)</f>
        <v>United States</v>
      </c>
      <c r="I925" t="str">
        <f>_xlfn.XLOOKUP(D925,products!$A$1:$A$49,products!$B$1:$B$49,0)</f>
        <v>Exc</v>
      </c>
      <c r="J925" t="str">
        <f>_xlfn.XLOOKUP('data cleaned'!D925,products!$A$1:$A$49,products!$C$1:$C$49,0)</f>
        <v>D</v>
      </c>
      <c r="K925" s="5">
        <f>_xlfn.XLOOKUP('data cleaned'!D925,products!$A$1:$A$49,products!$D$1:$D$49,0)</f>
        <v>2.5</v>
      </c>
      <c r="L925" s="6">
        <f>_xlfn.XLOOKUP('data cleaned'!D925,products!$A$1:$A$49,products!$E$1:$E$49,0)</f>
        <v>27.945</v>
      </c>
      <c r="M925" s="6">
        <f>'data cleaned'!E925*'data cleaned'!L925</f>
        <v>27.945</v>
      </c>
      <c r="N925" t="str">
        <f t="shared" si="28"/>
        <v>Excelsa</v>
      </c>
      <c r="O925" t="str">
        <f t="shared" si="29"/>
        <v>Dark</v>
      </c>
      <c r="P925" t="str">
        <f>_xlfn.XLOOKUP(worksheet[[#This Row],[Customer ID]],customers!$A$1:$A$1001,customers!$I$1:$I$1001,0)</f>
        <v>No</v>
      </c>
    </row>
    <row r="926" spans="1:16" x14ac:dyDescent="0.25">
      <c r="A926" s="2" t="s">
        <v>5715</v>
      </c>
      <c r="B926" s="4">
        <v>44451</v>
      </c>
      <c r="C926" s="2" t="s">
        <v>5716</v>
      </c>
      <c r="D926" t="s">
        <v>6182</v>
      </c>
      <c r="E926" s="2">
        <v>3</v>
      </c>
      <c r="F926" s="2" t="str">
        <f>_xlfn.XLOOKUP(C926,customers!$A$1:$A$1001,customers!$B$1:$B$1001,0)</f>
        <v>Celie MacCourt</v>
      </c>
      <c r="G926" s="2" t="s">
        <v>5718</v>
      </c>
      <c r="H926" s="2" t="str">
        <f>_xlfn.XLOOKUP(C926,customers!$A$1:$A$1001,customers!$G$1:$G$1001,0)</f>
        <v>United States</v>
      </c>
      <c r="I926" t="str">
        <f>_xlfn.XLOOKUP(D926,products!$A$1:$A$49,products!$B$1:$B$49,0)</f>
        <v>Ara</v>
      </c>
      <c r="J926" t="str">
        <f>_xlfn.XLOOKUP('data cleaned'!D926,products!$A$1:$A$49,products!$C$1:$C$49,0)</f>
        <v>L</v>
      </c>
      <c r="K926" s="5">
        <f>_xlfn.XLOOKUP('data cleaned'!D926,products!$A$1:$A$49,products!$D$1:$D$49,0)</f>
        <v>2.5</v>
      </c>
      <c r="L926" s="6">
        <f>_xlfn.XLOOKUP('data cleaned'!D926,products!$A$1:$A$49,products!$E$1:$E$49,0)</f>
        <v>29.784999999999997</v>
      </c>
      <c r="M926" s="6">
        <f>'data cleaned'!E926*'data cleaned'!L926</f>
        <v>89.35499999999999</v>
      </c>
      <c r="N926" t="str">
        <f t="shared" si="28"/>
        <v>Arabica</v>
      </c>
      <c r="O926" t="str">
        <f t="shared" si="29"/>
        <v>Light</v>
      </c>
      <c r="P926" t="str">
        <f>_xlfn.XLOOKUP(worksheet[[#This Row],[Customer ID]],customers!$A$1:$A$1001,customers!$I$1:$I$1001,0)</f>
        <v>No</v>
      </c>
    </row>
    <row r="927" spans="1:16" x14ac:dyDescent="0.25">
      <c r="A927" s="2" t="s">
        <v>5720</v>
      </c>
      <c r="B927" s="4">
        <v>44770</v>
      </c>
      <c r="C927" s="2" t="s">
        <v>5554</v>
      </c>
      <c r="D927" t="s">
        <v>6157</v>
      </c>
      <c r="E927" s="2">
        <v>3</v>
      </c>
      <c r="F927" s="2" t="str">
        <f>_xlfn.XLOOKUP(C927,customers!$A$1:$A$1001,customers!$B$1:$B$1001,0)</f>
        <v>Derick Snow</v>
      </c>
      <c r="G927" s="2" t="s">
        <v>6222</v>
      </c>
      <c r="H927" s="2" t="str">
        <f>_xlfn.XLOOKUP(C927,customers!$A$1:$A$1001,customers!$G$1:$G$1001,0)</f>
        <v>United States</v>
      </c>
      <c r="I927" t="str">
        <f>_xlfn.XLOOKUP(D927,products!$A$1:$A$49,products!$B$1:$B$49,0)</f>
        <v>Ara</v>
      </c>
      <c r="J927" t="str">
        <f>_xlfn.XLOOKUP('data cleaned'!D927,products!$A$1:$A$49,products!$C$1:$C$49,0)</f>
        <v>M</v>
      </c>
      <c r="K927" s="5">
        <f>_xlfn.XLOOKUP('data cleaned'!D927,products!$A$1:$A$49,products!$D$1:$D$49,0)</f>
        <v>0.5</v>
      </c>
      <c r="L927" s="6">
        <f>_xlfn.XLOOKUP('data cleaned'!D927,products!$A$1:$A$49,products!$E$1:$E$49,0)</f>
        <v>6.75</v>
      </c>
      <c r="M927" s="6">
        <f>'data cleaned'!E927*'data cleaned'!L927</f>
        <v>20.25</v>
      </c>
      <c r="N927" t="str">
        <f t="shared" si="28"/>
        <v>Arabica</v>
      </c>
      <c r="O927" t="str">
        <f t="shared" si="29"/>
        <v>Medium</v>
      </c>
      <c r="P927" t="str">
        <f>_xlfn.XLOOKUP(worksheet[[#This Row],[Customer ID]],customers!$A$1:$A$1001,customers!$I$1:$I$1001,0)</f>
        <v>No</v>
      </c>
    </row>
    <row r="928" spans="1:16" x14ac:dyDescent="0.25">
      <c r="A928" s="2" t="s">
        <v>5725</v>
      </c>
      <c r="B928" s="4">
        <v>44012</v>
      </c>
      <c r="C928" s="2" t="s">
        <v>5726</v>
      </c>
      <c r="D928" t="s">
        <v>6157</v>
      </c>
      <c r="E928" s="2">
        <v>5</v>
      </c>
      <c r="F928" s="2" t="str">
        <f>_xlfn.XLOOKUP(C928,customers!$A$1:$A$1001,customers!$B$1:$B$1001,0)</f>
        <v>Evy Wilsone</v>
      </c>
      <c r="G928" s="2" t="s">
        <v>5728</v>
      </c>
      <c r="H928" s="2" t="str">
        <f>_xlfn.XLOOKUP(C928,customers!$A$1:$A$1001,customers!$G$1:$G$1001,0)</f>
        <v>United States</v>
      </c>
      <c r="I928" t="str">
        <f>_xlfn.XLOOKUP(D928,products!$A$1:$A$49,products!$B$1:$B$49,0)</f>
        <v>Ara</v>
      </c>
      <c r="J928" t="str">
        <f>_xlfn.XLOOKUP('data cleaned'!D928,products!$A$1:$A$49,products!$C$1:$C$49,0)</f>
        <v>M</v>
      </c>
      <c r="K928" s="5">
        <f>_xlfn.XLOOKUP('data cleaned'!D928,products!$A$1:$A$49,products!$D$1:$D$49,0)</f>
        <v>0.5</v>
      </c>
      <c r="L928" s="6">
        <f>_xlfn.XLOOKUP('data cleaned'!D928,products!$A$1:$A$49,products!$E$1:$E$49,0)</f>
        <v>6.75</v>
      </c>
      <c r="M928" s="6">
        <f>'data cleaned'!E928*'data cleaned'!L928</f>
        <v>33.75</v>
      </c>
      <c r="N928" t="str">
        <f t="shared" si="28"/>
        <v>Arabica</v>
      </c>
      <c r="O928" t="str">
        <f t="shared" si="29"/>
        <v>Medium</v>
      </c>
      <c r="P928" t="str">
        <f>_xlfn.XLOOKUP(worksheet[[#This Row],[Customer ID]],customers!$A$1:$A$1001,customers!$I$1:$I$1001,0)</f>
        <v>Yes</v>
      </c>
    </row>
    <row r="929" spans="1:16" x14ac:dyDescent="0.25">
      <c r="A929" s="2" t="s">
        <v>5731</v>
      </c>
      <c r="B929" s="4">
        <v>43474</v>
      </c>
      <c r="C929" s="2" t="s">
        <v>5732</v>
      </c>
      <c r="D929" t="s">
        <v>6185</v>
      </c>
      <c r="E929" s="2">
        <v>4</v>
      </c>
      <c r="F929" s="2" t="str">
        <f>_xlfn.XLOOKUP(C929,customers!$A$1:$A$1001,customers!$B$1:$B$1001,0)</f>
        <v>Dolores Duffie</v>
      </c>
      <c r="G929" s="2" t="s">
        <v>5734</v>
      </c>
      <c r="H929" s="2" t="str">
        <f>_xlfn.XLOOKUP(C929,customers!$A$1:$A$1001,customers!$G$1:$G$1001,0)</f>
        <v>United States</v>
      </c>
      <c r="I929" t="str">
        <f>_xlfn.XLOOKUP(D929,products!$A$1:$A$49,products!$B$1:$B$49,0)</f>
        <v>Exc</v>
      </c>
      <c r="J929" t="str">
        <f>_xlfn.XLOOKUP('data cleaned'!D929,products!$A$1:$A$49,products!$C$1:$C$49,0)</f>
        <v>D</v>
      </c>
      <c r="K929" s="5">
        <f>_xlfn.XLOOKUP('data cleaned'!D929,products!$A$1:$A$49,products!$D$1:$D$49,0)</f>
        <v>2.5</v>
      </c>
      <c r="L929" s="6">
        <f>_xlfn.XLOOKUP('data cleaned'!D929,products!$A$1:$A$49,products!$E$1:$E$49,0)</f>
        <v>27.945</v>
      </c>
      <c r="M929" s="6">
        <f>'data cleaned'!E929*'data cleaned'!L929</f>
        <v>111.78</v>
      </c>
      <c r="N929" t="str">
        <f t="shared" si="28"/>
        <v>Excelsa</v>
      </c>
      <c r="O929" t="str">
        <f t="shared" si="29"/>
        <v>Dark</v>
      </c>
      <c r="P929" t="str">
        <f>_xlfn.XLOOKUP(worksheet[[#This Row],[Customer ID]],customers!$A$1:$A$1001,customers!$I$1:$I$1001,0)</f>
        <v>No</v>
      </c>
    </row>
    <row r="930" spans="1:16" x14ac:dyDescent="0.25">
      <c r="A930" s="2" t="s">
        <v>5737</v>
      </c>
      <c r="B930" s="4">
        <v>44754</v>
      </c>
      <c r="C930" s="2" t="s">
        <v>5738</v>
      </c>
      <c r="D930" t="s">
        <v>6166</v>
      </c>
      <c r="E930" s="2">
        <v>2</v>
      </c>
      <c r="F930" s="2" t="str">
        <f>_xlfn.XLOOKUP(C930,customers!$A$1:$A$1001,customers!$B$1:$B$1001,0)</f>
        <v>Mathilda Matiasek</v>
      </c>
      <c r="G930" s="2" t="s">
        <v>5740</v>
      </c>
      <c r="H930" s="2" t="str">
        <f>_xlfn.XLOOKUP(C930,customers!$A$1:$A$1001,customers!$G$1:$G$1001,0)</f>
        <v>United States</v>
      </c>
      <c r="I930" t="str">
        <f>_xlfn.XLOOKUP(D930,products!$A$1:$A$49,products!$B$1:$B$49,0)</f>
        <v>Exc</v>
      </c>
      <c r="J930" t="str">
        <f>_xlfn.XLOOKUP('data cleaned'!D930,products!$A$1:$A$49,products!$C$1:$C$49,0)</f>
        <v>M</v>
      </c>
      <c r="K930" s="5">
        <f>_xlfn.XLOOKUP('data cleaned'!D930,products!$A$1:$A$49,products!$D$1:$D$49,0)</f>
        <v>2.5</v>
      </c>
      <c r="L930" s="6">
        <f>_xlfn.XLOOKUP('data cleaned'!D930,products!$A$1:$A$49,products!$E$1:$E$49,0)</f>
        <v>31.624999999999996</v>
      </c>
      <c r="M930" s="6">
        <f>'data cleaned'!E930*'data cleaned'!L930</f>
        <v>63.249999999999993</v>
      </c>
      <c r="N930" t="str">
        <f t="shared" si="28"/>
        <v>Excelsa</v>
      </c>
      <c r="O930" t="str">
        <f t="shared" si="29"/>
        <v>Medium</v>
      </c>
      <c r="P930" t="str">
        <f>_xlfn.XLOOKUP(worksheet[[#This Row],[Customer ID]],customers!$A$1:$A$1001,customers!$I$1:$I$1001,0)</f>
        <v>Yes</v>
      </c>
    </row>
    <row r="931" spans="1:16" x14ac:dyDescent="0.25">
      <c r="A931" s="2" t="s">
        <v>5742</v>
      </c>
      <c r="B931" s="4">
        <v>44165</v>
      </c>
      <c r="C931" s="2" t="s">
        <v>5743</v>
      </c>
      <c r="D931" t="s">
        <v>6184</v>
      </c>
      <c r="E931" s="2">
        <v>2</v>
      </c>
      <c r="F931" s="2" t="str">
        <f>_xlfn.XLOOKUP(C931,customers!$A$1:$A$1001,customers!$B$1:$B$1001,0)</f>
        <v>Jarred Camillo</v>
      </c>
      <c r="G931" s="2" t="s">
        <v>5745</v>
      </c>
      <c r="H931" s="2" t="str">
        <f>_xlfn.XLOOKUP(C931,customers!$A$1:$A$1001,customers!$G$1:$G$1001,0)</f>
        <v>United States</v>
      </c>
      <c r="I931" t="str">
        <f>_xlfn.XLOOKUP(D931,products!$A$1:$A$49,products!$B$1:$B$49,0)</f>
        <v>Exc</v>
      </c>
      <c r="J931" t="str">
        <f>_xlfn.XLOOKUP('data cleaned'!D931,products!$A$1:$A$49,products!$C$1:$C$49,0)</f>
        <v>L</v>
      </c>
      <c r="K931" s="5">
        <f>_xlfn.XLOOKUP('data cleaned'!D931,products!$A$1:$A$49,products!$D$1:$D$49,0)</f>
        <v>0.2</v>
      </c>
      <c r="L931" s="6">
        <f>_xlfn.XLOOKUP('data cleaned'!D931,products!$A$1:$A$49,products!$E$1:$E$49,0)</f>
        <v>4.4550000000000001</v>
      </c>
      <c r="M931" s="6">
        <f>'data cleaned'!E931*'data cleaned'!L931</f>
        <v>8.91</v>
      </c>
      <c r="N931" t="str">
        <f t="shared" si="28"/>
        <v>Excelsa</v>
      </c>
      <c r="O931" t="str">
        <f t="shared" si="29"/>
        <v>Light</v>
      </c>
      <c r="P931" t="str">
        <f>_xlfn.XLOOKUP(worksheet[[#This Row],[Customer ID]],customers!$A$1:$A$1001,customers!$I$1:$I$1001,0)</f>
        <v>Yes</v>
      </c>
    </row>
    <row r="932" spans="1:16" x14ac:dyDescent="0.25">
      <c r="A932" s="2" t="s">
        <v>5748</v>
      </c>
      <c r="B932" s="4">
        <v>43546</v>
      </c>
      <c r="C932" s="2" t="s">
        <v>5749</v>
      </c>
      <c r="D932" t="s">
        <v>6183</v>
      </c>
      <c r="E932" s="2">
        <v>1</v>
      </c>
      <c r="F932" s="2" t="str">
        <f>_xlfn.XLOOKUP(C932,customers!$A$1:$A$1001,customers!$B$1:$B$1001,0)</f>
        <v>Kameko Philbrick</v>
      </c>
      <c r="G932" s="2" t="s">
        <v>5751</v>
      </c>
      <c r="H932" s="2" t="str">
        <f>_xlfn.XLOOKUP(C932,customers!$A$1:$A$1001,customers!$G$1:$G$1001,0)</f>
        <v>United States</v>
      </c>
      <c r="I932" t="str">
        <f>_xlfn.XLOOKUP(D932,products!$A$1:$A$49,products!$B$1:$B$49,0)</f>
        <v>Exc</v>
      </c>
      <c r="J932" t="str">
        <f>_xlfn.XLOOKUP('data cleaned'!D932,products!$A$1:$A$49,products!$C$1:$C$49,0)</f>
        <v>D</v>
      </c>
      <c r="K932" s="5">
        <f>_xlfn.XLOOKUP('data cleaned'!D932,products!$A$1:$A$49,products!$D$1:$D$49,0)</f>
        <v>1</v>
      </c>
      <c r="L932" s="6">
        <f>_xlfn.XLOOKUP('data cleaned'!D932,products!$A$1:$A$49,products!$E$1:$E$49,0)</f>
        <v>12.15</v>
      </c>
      <c r="M932" s="6">
        <f>'data cleaned'!E932*'data cleaned'!L932</f>
        <v>12.15</v>
      </c>
      <c r="N932" t="str">
        <f t="shared" si="28"/>
        <v>Excelsa</v>
      </c>
      <c r="O932" t="str">
        <f t="shared" si="29"/>
        <v>Dark</v>
      </c>
      <c r="P932" t="str">
        <f>_xlfn.XLOOKUP(worksheet[[#This Row],[Customer ID]],customers!$A$1:$A$1001,customers!$I$1:$I$1001,0)</f>
        <v>Yes</v>
      </c>
    </row>
    <row r="933" spans="1:16" x14ac:dyDescent="0.25">
      <c r="A933" s="2" t="s">
        <v>5753</v>
      </c>
      <c r="B933" s="4">
        <v>44607</v>
      </c>
      <c r="C933" s="2" t="s">
        <v>5754</v>
      </c>
      <c r="D933" t="s">
        <v>6158</v>
      </c>
      <c r="E933" s="2">
        <v>4</v>
      </c>
      <c r="F933" s="2" t="str">
        <f>_xlfn.XLOOKUP(C933,customers!$A$1:$A$1001,customers!$B$1:$B$1001,0)</f>
        <v>Mallory Shrimpling</v>
      </c>
      <c r="G933" s="2" t="s">
        <v>6222</v>
      </c>
      <c r="H933" s="2" t="str">
        <f>_xlfn.XLOOKUP(C933,customers!$A$1:$A$1001,customers!$G$1:$G$1001,0)</f>
        <v>United States</v>
      </c>
      <c r="I933" t="str">
        <f>_xlfn.XLOOKUP(D933,products!$A$1:$A$49,products!$B$1:$B$49,0)</f>
        <v>Ara</v>
      </c>
      <c r="J933" t="str">
        <f>_xlfn.XLOOKUP('data cleaned'!D933,products!$A$1:$A$49,products!$C$1:$C$49,0)</f>
        <v>D</v>
      </c>
      <c r="K933" s="5">
        <f>_xlfn.XLOOKUP('data cleaned'!D933,products!$A$1:$A$49,products!$D$1:$D$49,0)</f>
        <v>0.5</v>
      </c>
      <c r="L933" s="6">
        <f>_xlfn.XLOOKUP('data cleaned'!D933,products!$A$1:$A$49,products!$E$1:$E$49,0)</f>
        <v>5.97</v>
      </c>
      <c r="M933" s="6">
        <f>'data cleaned'!E933*'data cleaned'!L933</f>
        <v>23.88</v>
      </c>
      <c r="N933" t="str">
        <f t="shared" si="28"/>
        <v>Arabica</v>
      </c>
      <c r="O933" t="str">
        <f t="shared" si="29"/>
        <v>Dark</v>
      </c>
      <c r="P933" t="str">
        <f>_xlfn.XLOOKUP(worksheet[[#This Row],[Customer ID]],customers!$A$1:$A$1001,customers!$I$1:$I$1001,0)</f>
        <v>Yes</v>
      </c>
    </row>
    <row r="934" spans="1:16" x14ac:dyDescent="0.25">
      <c r="A934" s="2" t="s">
        <v>5757</v>
      </c>
      <c r="B934" s="4">
        <v>44117</v>
      </c>
      <c r="C934" s="2" t="s">
        <v>5758</v>
      </c>
      <c r="D934" t="s">
        <v>6141</v>
      </c>
      <c r="E934" s="2">
        <v>4</v>
      </c>
      <c r="F934" s="2" t="str">
        <f>_xlfn.XLOOKUP(C934,customers!$A$1:$A$1001,customers!$B$1:$B$1001,0)</f>
        <v>Barnett Sillis</v>
      </c>
      <c r="G934" s="2" t="s">
        <v>5760</v>
      </c>
      <c r="H934" s="2" t="str">
        <f>_xlfn.XLOOKUP(C934,customers!$A$1:$A$1001,customers!$G$1:$G$1001,0)</f>
        <v>United States</v>
      </c>
      <c r="I934" t="str">
        <f>_xlfn.XLOOKUP(D934,products!$A$1:$A$49,products!$B$1:$B$49,0)</f>
        <v>Exc</v>
      </c>
      <c r="J934" t="str">
        <f>_xlfn.XLOOKUP('data cleaned'!D934,products!$A$1:$A$49,products!$C$1:$C$49,0)</f>
        <v>M</v>
      </c>
      <c r="K934" s="5">
        <f>_xlfn.XLOOKUP('data cleaned'!D934,products!$A$1:$A$49,products!$D$1:$D$49,0)</f>
        <v>1</v>
      </c>
      <c r="L934" s="6">
        <f>_xlfn.XLOOKUP('data cleaned'!D934,products!$A$1:$A$49,products!$E$1:$E$49,0)</f>
        <v>13.75</v>
      </c>
      <c r="M934" s="6">
        <f>'data cleaned'!E934*'data cleaned'!L934</f>
        <v>55</v>
      </c>
      <c r="N934" t="str">
        <f t="shared" si="28"/>
        <v>Excelsa</v>
      </c>
      <c r="O934" t="str">
        <f t="shared" si="29"/>
        <v>Medium</v>
      </c>
      <c r="P934" t="str">
        <f>_xlfn.XLOOKUP(worksheet[[#This Row],[Customer ID]],customers!$A$1:$A$1001,customers!$I$1:$I$1001,0)</f>
        <v>No</v>
      </c>
    </row>
    <row r="935" spans="1:16" x14ac:dyDescent="0.25">
      <c r="A935" s="2" t="s">
        <v>5763</v>
      </c>
      <c r="B935" s="4">
        <v>44557</v>
      </c>
      <c r="C935" s="2" t="s">
        <v>5764</v>
      </c>
      <c r="D935" t="s">
        <v>6177</v>
      </c>
      <c r="E935" s="2">
        <v>3</v>
      </c>
      <c r="F935" s="2" t="str">
        <f>_xlfn.XLOOKUP(C935,customers!$A$1:$A$1001,customers!$B$1:$B$1001,0)</f>
        <v>Brenn Dundredge</v>
      </c>
      <c r="G935" s="2" t="s">
        <v>6222</v>
      </c>
      <c r="H935" s="2" t="str">
        <f>_xlfn.XLOOKUP(C935,customers!$A$1:$A$1001,customers!$G$1:$G$1001,0)</f>
        <v>United States</v>
      </c>
      <c r="I935" t="str">
        <f>_xlfn.XLOOKUP(D935,products!$A$1:$A$49,products!$B$1:$B$49,0)</f>
        <v>Rob</v>
      </c>
      <c r="J935" t="str">
        <f>_xlfn.XLOOKUP('data cleaned'!D935,products!$A$1:$A$49,products!$C$1:$C$49,0)</f>
        <v>D</v>
      </c>
      <c r="K935" s="5">
        <f>_xlfn.XLOOKUP('data cleaned'!D935,products!$A$1:$A$49,products!$D$1:$D$49,0)</f>
        <v>1</v>
      </c>
      <c r="L935" s="6">
        <f>_xlfn.XLOOKUP('data cleaned'!D935,products!$A$1:$A$49,products!$E$1:$E$49,0)</f>
        <v>8.9499999999999993</v>
      </c>
      <c r="M935" s="6">
        <f>'data cleaned'!E935*'data cleaned'!L935</f>
        <v>26.849999999999998</v>
      </c>
      <c r="N935" t="str">
        <f t="shared" si="28"/>
        <v>Robusta</v>
      </c>
      <c r="O935" t="str">
        <f t="shared" si="29"/>
        <v>Dark</v>
      </c>
      <c r="P935" t="str">
        <f>_xlfn.XLOOKUP(worksheet[[#This Row],[Customer ID]],customers!$A$1:$A$1001,customers!$I$1:$I$1001,0)</f>
        <v>Yes</v>
      </c>
    </row>
    <row r="936" spans="1:16" x14ac:dyDescent="0.25">
      <c r="A936" s="2" t="s">
        <v>5768</v>
      </c>
      <c r="B936" s="4">
        <v>44409</v>
      </c>
      <c r="C936" s="2" t="s">
        <v>5769</v>
      </c>
      <c r="D936" t="s">
        <v>6151</v>
      </c>
      <c r="E936" s="2">
        <v>5</v>
      </c>
      <c r="F936" s="2" t="str">
        <f>_xlfn.XLOOKUP(C936,customers!$A$1:$A$1001,customers!$B$1:$B$1001,0)</f>
        <v>Read Cutts</v>
      </c>
      <c r="G936" s="2" t="s">
        <v>5771</v>
      </c>
      <c r="H936" s="2" t="str">
        <f>_xlfn.XLOOKUP(C936,customers!$A$1:$A$1001,customers!$G$1:$G$1001,0)</f>
        <v>United States</v>
      </c>
      <c r="I936" t="str">
        <f>_xlfn.XLOOKUP(D936,products!$A$1:$A$49,products!$B$1:$B$49,0)</f>
        <v>Rob</v>
      </c>
      <c r="J936" t="str">
        <f>_xlfn.XLOOKUP('data cleaned'!D936,products!$A$1:$A$49,products!$C$1:$C$49,0)</f>
        <v>M</v>
      </c>
      <c r="K936" s="5">
        <f>_xlfn.XLOOKUP('data cleaned'!D936,products!$A$1:$A$49,products!$D$1:$D$49,0)</f>
        <v>2.5</v>
      </c>
      <c r="L936" s="6">
        <f>_xlfn.XLOOKUP('data cleaned'!D936,products!$A$1:$A$49,products!$E$1:$E$49,0)</f>
        <v>22.884999999999998</v>
      </c>
      <c r="M936" s="6">
        <f>'data cleaned'!E936*'data cleaned'!L936</f>
        <v>114.42499999999998</v>
      </c>
      <c r="N936" t="str">
        <f t="shared" si="28"/>
        <v>Robusta</v>
      </c>
      <c r="O936" t="str">
        <f t="shared" si="29"/>
        <v>Medium</v>
      </c>
      <c r="P936" t="str">
        <f>_xlfn.XLOOKUP(worksheet[[#This Row],[Customer ID]],customers!$A$1:$A$1001,customers!$I$1:$I$1001,0)</f>
        <v>No</v>
      </c>
    </row>
    <row r="937" spans="1:16" x14ac:dyDescent="0.25">
      <c r="A937" s="2" t="s">
        <v>5774</v>
      </c>
      <c r="B937" s="4">
        <v>44153</v>
      </c>
      <c r="C937" s="2" t="s">
        <v>5775</v>
      </c>
      <c r="D937" t="s">
        <v>6175</v>
      </c>
      <c r="E937" s="2">
        <v>6</v>
      </c>
      <c r="F937" s="2" t="str">
        <f>_xlfn.XLOOKUP(C937,customers!$A$1:$A$1001,customers!$B$1:$B$1001,0)</f>
        <v>Michale Delves</v>
      </c>
      <c r="G937" s="2" t="s">
        <v>5777</v>
      </c>
      <c r="H937" s="2" t="str">
        <f>_xlfn.XLOOKUP(C937,customers!$A$1:$A$1001,customers!$G$1:$G$1001,0)</f>
        <v>United States</v>
      </c>
      <c r="I937" t="str">
        <f>_xlfn.XLOOKUP(D937,products!$A$1:$A$49,products!$B$1:$B$49,0)</f>
        <v>Ara</v>
      </c>
      <c r="J937" t="str">
        <f>_xlfn.XLOOKUP('data cleaned'!D937,products!$A$1:$A$49,products!$C$1:$C$49,0)</f>
        <v>M</v>
      </c>
      <c r="K937" s="5">
        <f>_xlfn.XLOOKUP('data cleaned'!D937,products!$A$1:$A$49,products!$D$1:$D$49,0)</f>
        <v>2.5</v>
      </c>
      <c r="L937" s="6">
        <f>_xlfn.XLOOKUP('data cleaned'!D937,products!$A$1:$A$49,products!$E$1:$E$49,0)</f>
        <v>25.874999999999996</v>
      </c>
      <c r="M937" s="6">
        <f>'data cleaned'!E937*'data cleaned'!L937</f>
        <v>155.24999999999997</v>
      </c>
      <c r="N937" t="str">
        <f t="shared" si="28"/>
        <v>Arabica</v>
      </c>
      <c r="O937" t="str">
        <f t="shared" si="29"/>
        <v>Medium</v>
      </c>
      <c r="P937" t="str">
        <f>_xlfn.XLOOKUP(worksheet[[#This Row],[Customer ID]],customers!$A$1:$A$1001,customers!$I$1:$I$1001,0)</f>
        <v>Yes</v>
      </c>
    </row>
    <row r="938" spans="1:16" x14ac:dyDescent="0.25">
      <c r="A938" s="2" t="s">
        <v>5780</v>
      </c>
      <c r="B938" s="4">
        <v>44493</v>
      </c>
      <c r="C938" s="2" t="s">
        <v>5781</v>
      </c>
      <c r="D938" t="s">
        <v>6169</v>
      </c>
      <c r="E938" s="2">
        <v>3</v>
      </c>
      <c r="F938" s="2" t="str">
        <f>_xlfn.XLOOKUP(C938,customers!$A$1:$A$1001,customers!$B$1:$B$1001,0)</f>
        <v>Devland Gritton</v>
      </c>
      <c r="G938" s="2" t="s">
        <v>5783</v>
      </c>
      <c r="H938" s="2" t="str">
        <f>_xlfn.XLOOKUP(C938,customers!$A$1:$A$1001,customers!$G$1:$G$1001,0)</f>
        <v>United States</v>
      </c>
      <c r="I938" t="str">
        <f>_xlfn.XLOOKUP(D938,products!$A$1:$A$49,products!$B$1:$B$49,0)</f>
        <v>Lib</v>
      </c>
      <c r="J938" t="str">
        <f>_xlfn.XLOOKUP('data cleaned'!D938,products!$A$1:$A$49,products!$C$1:$C$49,0)</f>
        <v>D</v>
      </c>
      <c r="K938" s="5">
        <f>_xlfn.XLOOKUP('data cleaned'!D938,products!$A$1:$A$49,products!$D$1:$D$49,0)</f>
        <v>0.5</v>
      </c>
      <c r="L938" s="6">
        <f>_xlfn.XLOOKUP('data cleaned'!D938,products!$A$1:$A$49,products!$E$1:$E$49,0)</f>
        <v>7.77</v>
      </c>
      <c r="M938" s="6">
        <f>'data cleaned'!E938*'data cleaned'!L938</f>
        <v>23.31</v>
      </c>
      <c r="N938" t="str">
        <f t="shared" si="28"/>
        <v>Liberica</v>
      </c>
      <c r="O938" t="str">
        <f t="shared" si="29"/>
        <v>Dark</v>
      </c>
      <c r="P938" t="str">
        <f>_xlfn.XLOOKUP(worksheet[[#This Row],[Customer ID]],customers!$A$1:$A$1001,customers!$I$1:$I$1001,0)</f>
        <v>Yes</v>
      </c>
    </row>
    <row r="939" spans="1:16" x14ac:dyDescent="0.25">
      <c r="A939" s="2" t="s">
        <v>5780</v>
      </c>
      <c r="B939" s="4">
        <v>44493</v>
      </c>
      <c r="C939" s="2" t="s">
        <v>5781</v>
      </c>
      <c r="D939" t="s">
        <v>6151</v>
      </c>
      <c r="E939" s="2">
        <v>4</v>
      </c>
      <c r="F939" s="2" t="str">
        <f>_xlfn.XLOOKUP(C939,customers!$A$1:$A$1001,customers!$B$1:$B$1001,0)</f>
        <v>Devland Gritton</v>
      </c>
      <c r="G939" s="2" t="s">
        <v>5783</v>
      </c>
      <c r="H939" s="2" t="str">
        <f>_xlfn.XLOOKUP(C939,customers!$A$1:$A$1001,customers!$G$1:$G$1001,0)</f>
        <v>United States</v>
      </c>
      <c r="I939" t="str">
        <f>_xlfn.XLOOKUP(D939,products!$A$1:$A$49,products!$B$1:$B$49,0)</f>
        <v>Rob</v>
      </c>
      <c r="J939" t="str">
        <f>_xlfn.XLOOKUP('data cleaned'!D939,products!$A$1:$A$49,products!$C$1:$C$49,0)</f>
        <v>M</v>
      </c>
      <c r="K939" s="5">
        <f>_xlfn.XLOOKUP('data cleaned'!D939,products!$A$1:$A$49,products!$D$1:$D$49,0)</f>
        <v>2.5</v>
      </c>
      <c r="L939" s="6">
        <f>_xlfn.XLOOKUP('data cleaned'!D939,products!$A$1:$A$49,products!$E$1:$E$49,0)</f>
        <v>22.884999999999998</v>
      </c>
      <c r="M939" s="6">
        <f>'data cleaned'!E939*'data cleaned'!L939</f>
        <v>91.539999999999992</v>
      </c>
      <c r="N939" t="str">
        <f t="shared" si="28"/>
        <v>Robusta</v>
      </c>
      <c r="O939" t="str">
        <f t="shared" si="29"/>
        <v>Medium</v>
      </c>
      <c r="P939" t="str">
        <f>_xlfn.XLOOKUP(worksheet[[#This Row],[Customer ID]],customers!$A$1:$A$1001,customers!$I$1:$I$1001,0)</f>
        <v>Yes</v>
      </c>
    </row>
    <row r="940" spans="1:16" x14ac:dyDescent="0.25">
      <c r="A940" s="2" t="s">
        <v>5791</v>
      </c>
      <c r="B940" s="4">
        <v>43829</v>
      </c>
      <c r="C940" s="2" t="s">
        <v>5792</v>
      </c>
      <c r="D940" t="s">
        <v>6171</v>
      </c>
      <c r="E940" s="2">
        <v>5</v>
      </c>
      <c r="F940" s="2" t="str">
        <f>_xlfn.XLOOKUP(C940,customers!$A$1:$A$1001,customers!$B$1:$B$1001,0)</f>
        <v>Dell Gut</v>
      </c>
      <c r="G940" s="2" t="s">
        <v>5794</v>
      </c>
      <c r="H940" s="2" t="str">
        <f>_xlfn.XLOOKUP(C940,customers!$A$1:$A$1001,customers!$G$1:$G$1001,0)</f>
        <v>United States</v>
      </c>
      <c r="I940" t="str">
        <f>_xlfn.XLOOKUP(D940,products!$A$1:$A$49,products!$B$1:$B$49,0)</f>
        <v>Exc</v>
      </c>
      <c r="J940" t="str">
        <f>_xlfn.XLOOKUP('data cleaned'!D940,products!$A$1:$A$49,products!$C$1:$C$49,0)</f>
        <v>L</v>
      </c>
      <c r="K940" s="5">
        <f>_xlfn.XLOOKUP('data cleaned'!D940,products!$A$1:$A$49,products!$D$1:$D$49,0)</f>
        <v>1</v>
      </c>
      <c r="L940" s="6">
        <f>_xlfn.XLOOKUP('data cleaned'!D940,products!$A$1:$A$49,products!$E$1:$E$49,0)</f>
        <v>14.85</v>
      </c>
      <c r="M940" s="6">
        <f>'data cleaned'!E940*'data cleaned'!L940</f>
        <v>74.25</v>
      </c>
      <c r="N940" t="str">
        <f t="shared" si="28"/>
        <v>Excelsa</v>
      </c>
      <c r="O940" t="str">
        <f t="shared" si="29"/>
        <v>Light</v>
      </c>
      <c r="P940" t="str">
        <f>_xlfn.XLOOKUP(worksheet[[#This Row],[Customer ID]],customers!$A$1:$A$1001,customers!$I$1:$I$1001,0)</f>
        <v>Yes</v>
      </c>
    </row>
    <row r="941" spans="1:16" x14ac:dyDescent="0.25">
      <c r="A941" s="2" t="s">
        <v>5797</v>
      </c>
      <c r="B941" s="4">
        <v>44229</v>
      </c>
      <c r="C941" s="2" t="s">
        <v>5798</v>
      </c>
      <c r="D941" t="s">
        <v>6145</v>
      </c>
      <c r="E941" s="2">
        <v>6</v>
      </c>
      <c r="F941" s="2" t="str">
        <f>_xlfn.XLOOKUP(C941,customers!$A$1:$A$1001,customers!$B$1:$B$1001,0)</f>
        <v>Willy Pummery</v>
      </c>
      <c r="G941" s="2" t="s">
        <v>5800</v>
      </c>
      <c r="H941" s="2" t="str">
        <f>_xlfn.XLOOKUP(C941,customers!$A$1:$A$1001,customers!$G$1:$G$1001,0)</f>
        <v>United States</v>
      </c>
      <c r="I941" t="str">
        <f>_xlfn.XLOOKUP(D941,products!$A$1:$A$49,products!$B$1:$B$49,0)</f>
        <v>Lib</v>
      </c>
      <c r="J941" t="str">
        <f>_xlfn.XLOOKUP('data cleaned'!D941,products!$A$1:$A$49,products!$C$1:$C$49,0)</f>
        <v>L</v>
      </c>
      <c r="K941" s="5">
        <f>_xlfn.XLOOKUP('data cleaned'!D941,products!$A$1:$A$49,products!$D$1:$D$49,0)</f>
        <v>0.2</v>
      </c>
      <c r="L941" s="6">
        <f>_xlfn.XLOOKUP('data cleaned'!D941,products!$A$1:$A$49,products!$E$1:$E$49,0)</f>
        <v>4.7549999999999999</v>
      </c>
      <c r="M941" s="6">
        <f>'data cleaned'!E941*'data cleaned'!L941</f>
        <v>28.53</v>
      </c>
      <c r="N941" t="str">
        <f t="shared" si="28"/>
        <v>Liberica</v>
      </c>
      <c r="O941" t="str">
        <f t="shared" si="29"/>
        <v>Light</v>
      </c>
      <c r="P941" t="str">
        <f>_xlfn.XLOOKUP(worksheet[[#This Row],[Customer ID]],customers!$A$1:$A$1001,customers!$I$1:$I$1001,0)</f>
        <v>No</v>
      </c>
    </row>
    <row r="942" spans="1:16" x14ac:dyDescent="0.25">
      <c r="A942" s="2" t="s">
        <v>5803</v>
      </c>
      <c r="B942" s="4">
        <v>44332</v>
      </c>
      <c r="C942" s="2" t="s">
        <v>5804</v>
      </c>
      <c r="D942" t="s">
        <v>6173</v>
      </c>
      <c r="E942" s="2">
        <v>2</v>
      </c>
      <c r="F942" s="2" t="str">
        <f>_xlfn.XLOOKUP(C942,customers!$A$1:$A$1001,customers!$B$1:$B$1001,0)</f>
        <v>Geoffrey Siuda</v>
      </c>
      <c r="G942" s="2" t="s">
        <v>5806</v>
      </c>
      <c r="H942" s="2" t="str">
        <f>_xlfn.XLOOKUP(C942,customers!$A$1:$A$1001,customers!$G$1:$G$1001,0)</f>
        <v>United States</v>
      </c>
      <c r="I942" t="str">
        <f>_xlfn.XLOOKUP(D942,products!$A$1:$A$49,products!$B$1:$B$49,0)</f>
        <v>Rob</v>
      </c>
      <c r="J942" t="str">
        <f>_xlfn.XLOOKUP('data cleaned'!D942,products!$A$1:$A$49,products!$C$1:$C$49,0)</f>
        <v>L</v>
      </c>
      <c r="K942" s="5">
        <f>_xlfn.XLOOKUP('data cleaned'!D942,products!$A$1:$A$49,products!$D$1:$D$49,0)</f>
        <v>0.5</v>
      </c>
      <c r="L942" s="6">
        <f>_xlfn.XLOOKUP('data cleaned'!D942,products!$A$1:$A$49,products!$E$1:$E$49,0)</f>
        <v>7.169999999999999</v>
      </c>
      <c r="M942" s="6">
        <f>'data cleaned'!E942*'data cleaned'!L942</f>
        <v>14.339999999999998</v>
      </c>
      <c r="N942" t="str">
        <f t="shared" si="28"/>
        <v>Robusta</v>
      </c>
      <c r="O942" t="str">
        <f t="shared" si="29"/>
        <v>Light</v>
      </c>
      <c r="P942" t="str">
        <f>_xlfn.XLOOKUP(worksheet[[#This Row],[Customer ID]],customers!$A$1:$A$1001,customers!$I$1:$I$1001,0)</f>
        <v>Yes</v>
      </c>
    </row>
    <row r="943" spans="1:16" x14ac:dyDescent="0.25">
      <c r="A943" s="2" t="s">
        <v>5809</v>
      </c>
      <c r="B943" s="4">
        <v>44674</v>
      </c>
      <c r="C943" s="2" t="s">
        <v>5810</v>
      </c>
      <c r="D943" t="s">
        <v>6180</v>
      </c>
      <c r="E943" s="2">
        <v>2</v>
      </c>
      <c r="F943" s="2" t="str">
        <f>_xlfn.XLOOKUP(C943,customers!$A$1:$A$1001,customers!$B$1:$B$1001,0)</f>
        <v>Henderson Crowne</v>
      </c>
      <c r="G943" s="2" t="s">
        <v>5812</v>
      </c>
      <c r="H943" s="2" t="str">
        <f>_xlfn.XLOOKUP(C943,customers!$A$1:$A$1001,customers!$G$1:$G$1001,0)</f>
        <v>Ireland</v>
      </c>
      <c r="I943" t="str">
        <f>_xlfn.XLOOKUP(D943,products!$A$1:$A$49,products!$B$1:$B$49,0)</f>
        <v>Ara</v>
      </c>
      <c r="J943" t="str">
        <f>_xlfn.XLOOKUP('data cleaned'!D943,products!$A$1:$A$49,products!$C$1:$C$49,0)</f>
        <v>L</v>
      </c>
      <c r="K943" s="5">
        <f>_xlfn.XLOOKUP('data cleaned'!D943,products!$A$1:$A$49,products!$D$1:$D$49,0)</f>
        <v>0.5</v>
      </c>
      <c r="L943" s="6">
        <f>_xlfn.XLOOKUP('data cleaned'!D943,products!$A$1:$A$49,products!$E$1:$E$49,0)</f>
        <v>7.77</v>
      </c>
      <c r="M943" s="6">
        <f>'data cleaned'!E943*'data cleaned'!L943</f>
        <v>15.54</v>
      </c>
      <c r="N943" t="str">
        <f t="shared" si="28"/>
        <v>Arabica</v>
      </c>
      <c r="O943" t="str">
        <f t="shared" si="29"/>
        <v>Light</v>
      </c>
      <c r="P943" t="str">
        <f>_xlfn.XLOOKUP(worksheet[[#This Row],[Customer ID]],customers!$A$1:$A$1001,customers!$I$1:$I$1001,0)</f>
        <v>Yes</v>
      </c>
    </row>
    <row r="944" spans="1:16" x14ac:dyDescent="0.25">
      <c r="A944" s="2" t="s">
        <v>5816</v>
      </c>
      <c r="B944" s="4">
        <v>44464</v>
      </c>
      <c r="C944" s="2" t="s">
        <v>5817</v>
      </c>
      <c r="D944" t="s">
        <v>6179</v>
      </c>
      <c r="E944" s="2">
        <v>3</v>
      </c>
      <c r="F944" s="2" t="str">
        <f>_xlfn.XLOOKUP(C944,customers!$A$1:$A$1001,customers!$B$1:$B$1001,0)</f>
        <v>Vernor Pawsey</v>
      </c>
      <c r="G944" s="2" t="s">
        <v>5819</v>
      </c>
      <c r="H944" s="2" t="str">
        <f>_xlfn.XLOOKUP(C944,customers!$A$1:$A$1001,customers!$G$1:$G$1001,0)</f>
        <v>United States</v>
      </c>
      <c r="I944" t="str">
        <f>_xlfn.XLOOKUP(D944,products!$A$1:$A$49,products!$B$1:$B$49,0)</f>
        <v>Rob</v>
      </c>
      <c r="J944" t="str">
        <f>_xlfn.XLOOKUP('data cleaned'!D944,products!$A$1:$A$49,products!$C$1:$C$49,0)</f>
        <v>L</v>
      </c>
      <c r="K944" s="5">
        <f>_xlfn.XLOOKUP('data cleaned'!D944,products!$A$1:$A$49,products!$D$1:$D$49,0)</f>
        <v>1</v>
      </c>
      <c r="L944" s="6">
        <f>_xlfn.XLOOKUP('data cleaned'!D944,products!$A$1:$A$49,products!$E$1:$E$49,0)</f>
        <v>11.95</v>
      </c>
      <c r="M944" s="6">
        <f>'data cleaned'!E944*'data cleaned'!L944</f>
        <v>35.849999999999994</v>
      </c>
      <c r="N944" t="str">
        <f t="shared" si="28"/>
        <v>Robusta</v>
      </c>
      <c r="O944" t="str">
        <f t="shared" si="29"/>
        <v>Light</v>
      </c>
      <c r="P944" t="str">
        <f>_xlfn.XLOOKUP(worksheet[[#This Row],[Customer ID]],customers!$A$1:$A$1001,customers!$I$1:$I$1001,0)</f>
        <v>No</v>
      </c>
    </row>
    <row r="945" spans="1:16" x14ac:dyDescent="0.25">
      <c r="A945" s="2" t="s">
        <v>5822</v>
      </c>
      <c r="B945" s="4">
        <v>44719</v>
      </c>
      <c r="C945" s="2" t="s">
        <v>5823</v>
      </c>
      <c r="D945" t="s">
        <v>6180</v>
      </c>
      <c r="E945" s="2">
        <v>6</v>
      </c>
      <c r="F945" s="2" t="str">
        <f>_xlfn.XLOOKUP(C945,customers!$A$1:$A$1001,customers!$B$1:$B$1001,0)</f>
        <v>Augustin Waterhouse</v>
      </c>
      <c r="G945" s="2" t="s">
        <v>5825</v>
      </c>
      <c r="H945" s="2" t="str">
        <f>_xlfn.XLOOKUP(C945,customers!$A$1:$A$1001,customers!$G$1:$G$1001,0)</f>
        <v>United States</v>
      </c>
      <c r="I945" t="str">
        <f>_xlfn.XLOOKUP(D945,products!$A$1:$A$49,products!$B$1:$B$49,0)</f>
        <v>Ara</v>
      </c>
      <c r="J945" t="str">
        <f>_xlfn.XLOOKUP('data cleaned'!D945,products!$A$1:$A$49,products!$C$1:$C$49,0)</f>
        <v>L</v>
      </c>
      <c r="K945" s="5">
        <f>_xlfn.XLOOKUP('data cleaned'!D945,products!$A$1:$A$49,products!$D$1:$D$49,0)</f>
        <v>0.5</v>
      </c>
      <c r="L945" s="6">
        <f>_xlfn.XLOOKUP('data cleaned'!D945,products!$A$1:$A$49,products!$E$1:$E$49,0)</f>
        <v>7.77</v>
      </c>
      <c r="M945" s="6">
        <f>'data cleaned'!E945*'data cleaned'!L945</f>
        <v>46.62</v>
      </c>
      <c r="N945" t="str">
        <f t="shared" si="28"/>
        <v>Arabica</v>
      </c>
      <c r="O945" t="str">
        <f t="shared" si="29"/>
        <v>Light</v>
      </c>
      <c r="P945" t="str">
        <f>_xlfn.XLOOKUP(worksheet[[#This Row],[Customer ID]],customers!$A$1:$A$1001,customers!$I$1:$I$1001,0)</f>
        <v>No</v>
      </c>
    </row>
    <row r="946" spans="1:16" x14ac:dyDescent="0.25">
      <c r="A946" s="2" t="s">
        <v>5828</v>
      </c>
      <c r="B946" s="4">
        <v>44054</v>
      </c>
      <c r="C946" s="2" t="s">
        <v>5829</v>
      </c>
      <c r="D946" t="s">
        <v>6173</v>
      </c>
      <c r="E946" s="2">
        <v>5</v>
      </c>
      <c r="F946" s="2" t="str">
        <f>_xlfn.XLOOKUP(C946,customers!$A$1:$A$1001,customers!$B$1:$B$1001,0)</f>
        <v>Fanchon Haughian</v>
      </c>
      <c r="G946" s="2" t="s">
        <v>5831</v>
      </c>
      <c r="H946" s="2" t="str">
        <f>_xlfn.XLOOKUP(C946,customers!$A$1:$A$1001,customers!$G$1:$G$1001,0)</f>
        <v>United States</v>
      </c>
      <c r="I946" t="str">
        <f>_xlfn.XLOOKUP(D946,products!$A$1:$A$49,products!$B$1:$B$49,0)</f>
        <v>Rob</v>
      </c>
      <c r="J946" t="str">
        <f>_xlfn.XLOOKUP('data cleaned'!D946,products!$A$1:$A$49,products!$C$1:$C$49,0)</f>
        <v>L</v>
      </c>
      <c r="K946" s="5">
        <f>_xlfn.XLOOKUP('data cleaned'!D946,products!$A$1:$A$49,products!$D$1:$D$49,0)</f>
        <v>0.5</v>
      </c>
      <c r="L946" s="6">
        <f>_xlfn.XLOOKUP('data cleaned'!D946,products!$A$1:$A$49,products!$E$1:$E$49,0)</f>
        <v>7.169999999999999</v>
      </c>
      <c r="M946" s="6">
        <f>'data cleaned'!E946*'data cleaned'!L946</f>
        <v>35.849999999999994</v>
      </c>
      <c r="N946" t="str">
        <f t="shared" si="28"/>
        <v>Robusta</v>
      </c>
      <c r="O946" t="str">
        <f t="shared" si="29"/>
        <v>Light</v>
      </c>
      <c r="P946" t="str">
        <f>_xlfn.XLOOKUP(worksheet[[#This Row],[Customer ID]],customers!$A$1:$A$1001,customers!$I$1:$I$1001,0)</f>
        <v>No</v>
      </c>
    </row>
    <row r="947" spans="1:16" x14ac:dyDescent="0.25">
      <c r="A947" s="2" t="s">
        <v>5834</v>
      </c>
      <c r="B947" s="4">
        <v>43524</v>
      </c>
      <c r="C947" s="2" t="s">
        <v>5835</v>
      </c>
      <c r="D947" t="s">
        <v>6165</v>
      </c>
      <c r="E947" s="2">
        <v>4</v>
      </c>
      <c r="F947" s="2" t="str">
        <f>_xlfn.XLOOKUP(C947,customers!$A$1:$A$1001,customers!$B$1:$B$1001,0)</f>
        <v>Jaimie Hatz</v>
      </c>
      <c r="G947" s="2" t="s">
        <v>6222</v>
      </c>
      <c r="H947" s="2" t="str">
        <f>_xlfn.XLOOKUP(C947,customers!$A$1:$A$1001,customers!$G$1:$G$1001,0)</f>
        <v>United States</v>
      </c>
      <c r="I947" t="str">
        <f>_xlfn.XLOOKUP(D947,products!$A$1:$A$49,products!$B$1:$B$49,0)</f>
        <v>Lib</v>
      </c>
      <c r="J947" t="str">
        <f>_xlfn.XLOOKUP('data cleaned'!D947,products!$A$1:$A$49,products!$C$1:$C$49,0)</f>
        <v>D</v>
      </c>
      <c r="K947" s="5">
        <f>_xlfn.XLOOKUP('data cleaned'!D947,products!$A$1:$A$49,products!$D$1:$D$49,0)</f>
        <v>2.5</v>
      </c>
      <c r="L947" s="6">
        <f>_xlfn.XLOOKUP('data cleaned'!D947,products!$A$1:$A$49,products!$E$1:$E$49,0)</f>
        <v>29.784999999999997</v>
      </c>
      <c r="M947" s="6">
        <f>'data cleaned'!E947*'data cleaned'!L947</f>
        <v>119.13999999999999</v>
      </c>
      <c r="N947" t="str">
        <f t="shared" si="28"/>
        <v>Liberica</v>
      </c>
      <c r="O947" t="str">
        <f t="shared" si="29"/>
        <v>Dark</v>
      </c>
      <c r="P947" t="str">
        <f>_xlfn.XLOOKUP(worksheet[[#This Row],[Customer ID]],customers!$A$1:$A$1001,customers!$I$1:$I$1001,0)</f>
        <v>No</v>
      </c>
    </row>
    <row r="948" spans="1:16" x14ac:dyDescent="0.25">
      <c r="A948" s="2" t="s">
        <v>5839</v>
      </c>
      <c r="B948" s="4">
        <v>43719</v>
      </c>
      <c r="C948" s="2" t="s">
        <v>5840</v>
      </c>
      <c r="D948" t="s">
        <v>6169</v>
      </c>
      <c r="E948" s="2">
        <v>3</v>
      </c>
      <c r="F948" s="2" t="str">
        <f>_xlfn.XLOOKUP(C948,customers!$A$1:$A$1001,customers!$B$1:$B$1001,0)</f>
        <v>Edeline Edney</v>
      </c>
      <c r="G948" s="2" t="s">
        <v>6222</v>
      </c>
      <c r="H948" s="2" t="str">
        <f>_xlfn.XLOOKUP(C948,customers!$A$1:$A$1001,customers!$G$1:$G$1001,0)</f>
        <v>United States</v>
      </c>
      <c r="I948" t="str">
        <f>_xlfn.XLOOKUP(D948,products!$A$1:$A$49,products!$B$1:$B$49,0)</f>
        <v>Lib</v>
      </c>
      <c r="J948" t="str">
        <f>_xlfn.XLOOKUP('data cleaned'!D948,products!$A$1:$A$49,products!$C$1:$C$49,0)</f>
        <v>D</v>
      </c>
      <c r="K948" s="5">
        <f>_xlfn.XLOOKUP('data cleaned'!D948,products!$A$1:$A$49,products!$D$1:$D$49,0)</f>
        <v>0.5</v>
      </c>
      <c r="L948" s="6">
        <f>_xlfn.XLOOKUP('data cleaned'!D948,products!$A$1:$A$49,products!$E$1:$E$49,0)</f>
        <v>7.77</v>
      </c>
      <c r="M948" s="6">
        <f>'data cleaned'!E948*'data cleaned'!L948</f>
        <v>23.31</v>
      </c>
      <c r="N948" t="str">
        <f t="shared" si="28"/>
        <v>Liberica</v>
      </c>
      <c r="O948" t="str">
        <f t="shared" si="29"/>
        <v>Dark</v>
      </c>
      <c r="P948" t="str">
        <f>_xlfn.XLOOKUP(worksheet[[#This Row],[Customer ID]],customers!$A$1:$A$1001,customers!$I$1:$I$1001,0)</f>
        <v>No</v>
      </c>
    </row>
    <row r="949" spans="1:16" x14ac:dyDescent="0.25">
      <c r="A949" s="2" t="s">
        <v>5844</v>
      </c>
      <c r="B949" s="4">
        <v>44294</v>
      </c>
      <c r="C949" s="2" t="s">
        <v>5845</v>
      </c>
      <c r="D949" t="s">
        <v>6155</v>
      </c>
      <c r="E949" s="2">
        <v>1</v>
      </c>
      <c r="F949" s="2" t="str">
        <f>_xlfn.XLOOKUP(C949,customers!$A$1:$A$1001,customers!$B$1:$B$1001,0)</f>
        <v>Rickie Faltin</v>
      </c>
      <c r="G949" s="2" t="s">
        <v>5847</v>
      </c>
      <c r="H949" s="2" t="str">
        <f>_xlfn.XLOOKUP(C949,customers!$A$1:$A$1001,customers!$G$1:$G$1001,0)</f>
        <v>Ireland</v>
      </c>
      <c r="I949" t="str">
        <f>_xlfn.XLOOKUP(D949,products!$A$1:$A$49,products!$B$1:$B$49,0)</f>
        <v>Ara</v>
      </c>
      <c r="J949" t="str">
        <f>_xlfn.XLOOKUP('data cleaned'!D949,products!$A$1:$A$49,products!$C$1:$C$49,0)</f>
        <v>M</v>
      </c>
      <c r="K949" s="5">
        <f>_xlfn.XLOOKUP('data cleaned'!D949,products!$A$1:$A$49,products!$D$1:$D$49,0)</f>
        <v>1</v>
      </c>
      <c r="L949" s="6">
        <f>_xlfn.XLOOKUP('data cleaned'!D949,products!$A$1:$A$49,products!$E$1:$E$49,0)</f>
        <v>11.25</v>
      </c>
      <c r="M949" s="6">
        <f>'data cleaned'!E949*'data cleaned'!L949</f>
        <v>11.25</v>
      </c>
      <c r="N949" t="str">
        <f t="shared" si="28"/>
        <v>Arabica</v>
      </c>
      <c r="O949" t="str">
        <f t="shared" si="29"/>
        <v>Medium</v>
      </c>
      <c r="P949" t="str">
        <f>_xlfn.XLOOKUP(worksheet[[#This Row],[Customer ID]],customers!$A$1:$A$1001,customers!$I$1:$I$1001,0)</f>
        <v>No</v>
      </c>
    </row>
    <row r="950" spans="1:16" x14ac:dyDescent="0.25">
      <c r="A950" s="2" t="s">
        <v>5849</v>
      </c>
      <c r="B950" s="4">
        <v>44445</v>
      </c>
      <c r="C950" s="2" t="s">
        <v>5850</v>
      </c>
      <c r="D950" t="s">
        <v>6185</v>
      </c>
      <c r="E950" s="2">
        <v>3</v>
      </c>
      <c r="F950" s="2" t="str">
        <f>_xlfn.XLOOKUP(C950,customers!$A$1:$A$1001,customers!$B$1:$B$1001,0)</f>
        <v>Gnni Cheeke</v>
      </c>
      <c r="G950" s="2" t="s">
        <v>5852</v>
      </c>
      <c r="H950" s="2" t="str">
        <f>_xlfn.XLOOKUP(C950,customers!$A$1:$A$1001,customers!$G$1:$G$1001,0)</f>
        <v>United Kingdom</v>
      </c>
      <c r="I950" t="str">
        <f>_xlfn.XLOOKUP(D950,products!$A$1:$A$49,products!$B$1:$B$49,0)</f>
        <v>Exc</v>
      </c>
      <c r="J950" t="str">
        <f>_xlfn.XLOOKUP('data cleaned'!D950,products!$A$1:$A$49,products!$C$1:$C$49,0)</f>
        <v>D</v>
      </c>
      <c r="K950" s="5">
        <f>_xlfn.XLOOKUP('data cleaned'!D950,products!$A$1:$A$49,products!$D$1:$D$49,0)</f>
        <v>2.5</v>
      </c>
      <c r="L950" s="6">
        <f>_xlfn.XLOOKUP('data cleaned'!D950,products!$A$1:$A$49,products!$E$1:$E$49,0)</f>
        <v>27.945</v>
      </c>
      <c r="M950" s="6">
        <f>'data cleaned'!E950*'data cleaned'!L950</f>
        <v>83.835000000000008</v>
      </c>
      <c r="N950" t="str">
        <f t="shared" si="28"/>
        <v>Excelsa</v>
      </c>
      <c r="O950" t="str">
        <f t="shared" si="29"/>
        <v>Dark</v>
      </c>
      <c r="P950" t="str">
        <f>_xlfn.XLOOKUP(worksheet[[#This Row],[Customer ID]],customers!$A$1:$A$1001,customers!$I$1:$I$1001,0)</f>
        <v>Yes</v>
      </c>
    </row>
    <row r="951" spans="1:16" x14ac:dyDescent="0.25">
      <c r="A951" s="2" t="s">
        <v>5855</v>
      </c>
      <c r="B951" s="4">
        <v>44449</v>
      </c>
      <c r="C951" s="2" t="s">
        <v>5856</v>
      </c>
      <c r="D951" t="s">
        <v>6142</v>
      </c>
      <c r="E951" s="2">
        <v>4</v>
      </c>
      <c r="F951" s="2" t="str">
        <f>_xlfn.XLOOKUP(C951,customers!$A$1:$A$1001,customers!$B$1:$B$1001,0)</f>
        <v>Gwenni Ratt</v>
      </c>
      <c r="G951" s="2" t="s">
        <v>5858</v>
      </c>
      <c r="H951" s="2" t="str">
        <f>_xlfn.XLOOKUP(C951,customers!$A$1:$A$1001,customers!$G$1:$G$1001,0)</f>
        <v>Ireland</v>
      </c>
      <c r="I951" t="str">
        <f>_xlfn.XLOOKUP(D951,products!$A$1:$A$49,products!$B$1:$B$49,0)</f>
        <v>Rob</v>
      </c>
      <c r="J951" t="str">
        <f>_xlfn.XLOOKUP('data cleaned'!D951,products!$A$1:$A$49,products!$C$1:$C$49,0)</f>
        <v>L</v>
      </c>
      <c r="K951" s="5">
        <f>_xlfn.XLOOKUP('data cleaned'!D951,products!$A$1:$A$49,products!$D$1:$D$49,0)</f>
        <v>2.5</v>
      </c>
      <c r="L951" s="6">
        <f>_xlfn.XLOOKUP('data cleaned'!D951,products!$A$1:$A$49,products!$E$1:$E$49,0)</f>
        <v>27.484999999999996</v>
      </c>
      <c r="M951" s="6">
        <f>'data cleaned'!E951*'data cleaned'!L951</f>
        <v>109.93999999999998</v>
      </c>
      <c r="N951" t="str">
        <f t="shared" si="28"/>
        <v>Robusta</v>
      </c>
      <c r="O951" t="str">
        <f t="shared" si="29"/>
        <v>Light</v>
      </c>
      <c r="P951" t="str">
        <f>_xlfn.XLOOKUP(worksheet[[#This Row],[Customer ID]],customers!$A$1:$A$1001,customers!$I$1:$I$1001,0)</f>
        <v>No</v>
      </c>
    </row>
    <row r="952" spans="1:16" x14ac:dyDescent="0.25">
      <c r="A952" s="2" t="s">
        <v>5861</v>
      </c>
      <c r="B952" s="4">
        <v>44703</v>
      </c>
      <c r="C952" s="2" t="s">
        <v>5862</v>
      </c>
      <c r="D952" t="s">
        <v>6178</v>
      </c>
      <c r="E952" s="2">
        <v>4</v>
      </c>
      <c r="F952" s="2" t="str">
        <f>_xlfn.XLOOKUP(C952,customers!$A$1:$A$1001,customers!$B$1:$B$1001,0)</f>
        <v>Johnath Fairebrother</v>
      </c>
      <c r="G952" s="2" t="s">
        <v>6222</v>
      </c>
      <c r="H952" s="2" t="str">
        <f>_xlfn.XLOOKUP(C952,customers!$A$1:$A$1001,customers!$G$1:$G$1001,0)</f>
        <v>United States</v>
      </c>
      <c r="I952" t="str">
        <f>_xlfn.XLOOKUP(D952,products!$A$1:$A$49,products!$B$1:$B$49,0)</f>
        <v>Rob</v>
      </c>
      <c r="J952" t="str">
        <f>_xlfn.XLOOKUP('data cleaned'!D952,products!$A$1:$A$49,products!$C$1:$C$49,0)</f>
        <v>L</v>
      </c>
      <c r="K952" s="5">
        <f>_xlfn.XLOOKUP('data cleaned'!D952,products!$A$1:$A$49,products!$D$1:$D$49,0)</f>
        <v>0.2</v>
      </c>
      <c r="L952" s="6">
        <f>_xlfn.XLOOKUP('data cleaned'!D952,products!$A$1:$A$49,products!$E$1:$E$49,0)</f>
        <v>3.5849999999999995</v>
      </c>
      <c r="M952" s="6">
        <f>'data cleaned'!E952*'data cleaned'!L952</f>
        <v>14.339999999999998</v>
      </c>
      <c r="N952" t="str">
        <f t="shared" si="28"/>
        <v>Robusta</v>
      </c>
      <c r="O952" t="str">
        <f t="shared" si="29"/>
        <v>Light</v>
      </c>
      <c r="P952" t="str">
        <f>_xlfn.XLOOKUP(worksheet[[#This Row],[Customer ID]],customers!$A$1:$A$1001,customers!$I$1:$I$1001,0)</f>
        <v>Yes</v>
      </c>
    </row>
    <row r="953" spans="1:16" x14ac:dyDescent="0.25">
      <c r="A953" s="2" t="s">
        <v>5866</v>
      </c>
      <c r="B953" s="4">
        <v>44092</v>
      </c>
      <c r="C953" s="2" t="s">
        <v>5867</v>
      </c>
      <c r="D953" t="s">
        <v>6178</v>
      </c>
      <c r="E953" s="2">
        <v>6</v>
      </c>
      <c r="F953" s="2" t="str">
        <f>_xlfn.XLOOKUP(C953,customers!$A$1:$A$1001,customers!$B$1:$B$1001,0)</f>
        <v>Ingamar Eberlein</v>
      </c>
      <c r="G953" s="2" t="s">
        <v>5869</v>
      </c>
      <c r="H953" s="2" t="str">
        <f>_xlfn.XLOOKUP(C953,customers!$A$1:$A$1001,customers!$G$1:$G$1001,0)</f>
        <v>United States</v>
      </c>
      <c r="I953" t="str">
        <f>_xlfn.XLOOKUP(D953,products!$A$1:$A$49,products!$B$1:$B$49,0)</f>
        <v>Rob</v>
      </c>
      <c r="J953" t="str">
        <f>_xlfn.XLOOKUP('data cleaned'!D953,products!$A$1:$A$49,products!$C$1:$C$49,0)</f>
        <v>L</v>
      </c>
      <c r="K953" s="5">
        <f>_xlfn.XLOOKUP('data cleaned'!D953,products!$A$1:$A$49,products!$D$1:$D$49,0)</f>
        <v>0.2</v>
      </c>
      <c r="L953" s="6">
        <f>_xlfn.XLOOKUP('data cleaned'!D953,products!$A$1:$A$49,products!$E$1:$E$49,0)</f>
        <v>3.5849999999999995</v>
      </c>
      <c r="M953" s="6">
        <f>'data cleaned'!E953*'data cleaned'!L953</f>
        <v>21.509999999999998</v>
      </c>
      <c r="N953" t="str">
        <f t="shared" si="28"/>
        <v>Robusta</v>
      </c>
      <c r="O953" t="str">
        <f t="shared" si="29"/>
        <v>Light</v>
      </c>
      <c r="P953" t="str">
        <f>_xlfn.XLOOKUP(worksheet[[#This Row],[Customer ID]],customers!$A$1:$A$1001,customers!$I$1:$I$1001,0)</f>
        <v>No</v>
      </c>
    </row>
    <row r="954" spans="1:16" x14ac:dyDescent="0.25">
      <c r="A954" s="2" t="s">
        <v>5872</v>
      </c>
      <c r="B954" s="4">
        <v>44439</v>
      </c>
      <c r="C954" s="2" t="s">
        <v>5873</v>
      </c>
      <c r="D954" t="s">
        <v>6155</v>
      </c>
      <c r="E954" s="2">
        <v>2</v>
      </c>
      <c r="F954" s="2" t="str">
        <f>_xlfn.XLOOKUP(C954,customers!$A$1:$A$1001,customers!$B$1:$B$1001,0)</f>
        <v>Jilly Dreng</v>
      </c>
      <c r="G954" s="2" t="s">
        <v>5875</v>
      </c>
      <c r="H954" s="2" t="str">
        <f>_xlfn.XLOOKUP(C954,customers!$A$1:$A$1001,customers!$G$1:$G$1001,0)</f>
        <v>Ireland</v>
      </c>
      <c r="I954" t="str">
        <f>_xlfn.XLOOKUP(D954,products!$A$1:$A$49,products!$B$1:$B$49,0)</f>
        <v>Ara</v>
      </c>
      <c r="J954" t="str">
        <f>_xlfn.XLOOKUP('data cleaned'!D954,products!$A$1:$A$49,products!$C$1:$C$49,0)</f>
        <v>M</v>
      </c>
      <c r="K954" s="5">
        <f>_xlfn.XLOOKUP('data cleaned'!D954,products!$A$1:$A$49,products!$D$1:$D$49,0)</f>
        <v>1</v>
      </c>
      <c r="L954" s="6">
        <f>_xlfn.XLOOKUP('data cleaned'!D954,products!$A$1:$A$49,products!$E$1:$E$49,0)</f>
        <v>11.25</v>
      </c>
      <c r="M954" s="6">
        <f>'data cleaned'!E954*'data cleaned'!L954</f>
        <v>22.5</v>
      </c>
      <c r="N954" t="str">
        <f t="shared" si="28"/>
        <v>Arabica</v>
      </c>
      <c r="O954" t="str">
        <f t="shared" si="29"/>
        <v>Medium</v>
      </c>
      <c r="P954" t="str">
        <f>_xlfn.XLOOKUP(worksheet[[#This Row],[Customer ID]],customers!$A$1:$A$1001,customers!$I$1:$I$1001,0)</f>
        <v>Yes</v>
      </c>
    </row>
    <row r="955" spans="1:16" x14ac:dyDescent="0.25">
      <c r="A955" s="2" t="s">
        <v>5878</v>
      </c>
      <c r="B955" s="4">
        <v>44582</v>
      </c>
      <c r="C955" s="2" t="s">
        <v>5764</v>
      </c>
      <c r="D955" t="s">
        <v>6167</v>
      </c>
      <c r="E955" s="2">
        <v>1</v>
      </c>
      <c r="F955" s="2" t="str">
        <f>_xlfn.XLOOKUP(C955,customers!$A$1:$A$1001,customers!$B$1:$B$1001,0)</f>
        <v>Brenn Dundredge</v>
      </c>
      <c r="G955" s="2" t="s">
        <v>6222</v>
      </c>
      <c r="H955" s="2" t="str">
        <f>_xlfn.XLOOKUP(C955,customers!$A$1:$A$1001,customers!$G$1:$G$1001,0)</f>
        <v>United States</v>
      </c>
      <c r="I955" t="str">
        <f>_xlfn.XLOOKUP(D955,products!$A$1:$A$49,products!$B$1:$B$49,0)</f>
        <v>Ara</v>
      </c>
      <c r="J955" t="str">
        <f>_xlfn.XLOOKUP('data cleaned'!D955,products!$A$1:$A$49,products!$C$1:$C$49,0)</f>
        <v>L</v>
      </c>
      <c r="K955" s="5">
        <f>_xlfn.XLOOKUP('data cleaned'!D955,products!$A$1:$A$49,products!$D$1:$D$49,0)</f>
        <v>0.2</v>
      </c>
      <c r="L955" s="6">
        <f>_xlfn.XLOOKUP('data cleaned'!D955,products!$A$1:$A$49,products!$E$1:$E$49,0)</f>
        <v>3.8849999999999998</v>
      </c>
      <c r="M955" s="6">
        <f>'data cleaned'!E955*'data cleaned'!L955</f>
        <v>3.8849999999999998</v>
      </c>
      <c r="N955" t="str">
        <f t="shared" si="28"/>
        <v>Arabica</v>
      </c>
      <c r="O955" t="str">
        <f t="shared" si="29"/>
        <v>Light</v>
      </c>
      <c r="P955" t="str">
        <f>_xlfn.XLOOKUP(worksheet[[#This Row],[Customer ID]],customers!$A$1:$A$1001,customers!$I$1:$I$1001,0)</f>
        <v>Yes</v>
      </c>
    </row>
    <row r="956" spans="1:16" x14ac:dyDescent="0.25">
      <c r="A956" s="2" t="s">
        <v>5884</v>
      </c>
      <c r="B956" s="4">
        <v>44722</v>
      </c>
      <c r="C956" s="2" t="s">
        <v>5764</v>
      </c>
      <c r="D956" t="s">
        <v>6185</v>
      </c>
      <c r="E956" s="2">
        <v>1</v>
      </c>
      <c r="F956" s="2" t="str">
        <f>_xlfn.XLOOKUP(C956,customers!$A$1:$A$1001,customers!$B$1:$B$1001,0)</f>
        <v>Brenn Dundredge</v>
      </c>
      <c r="G956" s="2" t="s">
        <v>6222</v>
      </c>
      <c r="H956" s="2" t="str">
        <f>_xlfn.XLOOKUP(C956,customers!$A$1:$A$1001,customers!$G$1:$G$1001,0)</f>
        <v>United States</v>
      </c>
      <c r="I956" t="str">
        <f>_xlfn.XLOOKUP(D956,products!$A$1:$A$49,products!$B$1:$B$49,0)</f>
        <v>Exc</v>
      </c>
      <c r="J956" t="str">
        <f>_xlfn.XLOOKUP('data cleaned'!D956,products!$A$1:$A$49,products!$C$1:$C$49,0)</f>
        <v>D</v>
      </c>
      <c r="K956" s="5">
        <f>_xlfn.XLOOKUP('data cleaned'!D956,products!$A$1:$A$49,products!$D$1:$D$49,0)</f>
        <v>2.5</v>
      </c>
      <c r="L956" s="6">
        <f>_xlfn.XLOOKUP('data cleaned'!D956,products!$A$1:$A$49,products!$E$1:$E$49,0)</f>
        <v>27.945</v>
      </c>
      <c r="M956" s="6">
        <f>'data cleaned'!E956*'data cleaned'!L956</f>
        <v>27.945</v>
      </c>
      <c r="N956" t="str">
        <f t="shared" si="28"/>
        <v>Excelsa</v>
      </c>
      <c r="O956" t="str">
        <f t="shared" si="29"/>
        <v>Dark</v>
      </c>
      <c r="P956" t="str">
        <f>_xlfn.XLOOKUP(worksheet[[#This Row],[Customer ID]],customers!$A$1:$A$1001,customers!$I$1:$I$1001,0)</f>
        <v>Yes</v>
      </c>
    </row>
    <row r="957" spans="1:16" x14ac:dyDescent="0.25">
      <c r="A957" s="2" t="s">
        <v>5890</v>
      </c>
      <c r="B957" s="4">
        <v>43582</v>
      </c>
      <c r="C957" s="2" t="s">
        <v>5764</v>
      </c>
      <c r="D957" t="s">
        <v>6148</v>
      </c>
      <c r="E957" s="2">
        <v>5</v>
      </c>
      <c r="F957" s="2" t="str">
        <f>_xlfn.XLOOKUP(C957,customers!$A$1:$A$1001,customers!$B$1:$B$1001,0)</f>
        <v>Brenn Dundredge</v>
      </c>
      <c r="G957" s="2" t="s">
        <v>6222</v>
      </c>
      <c r="H957" s="2" t="str">
        <f>_xlfn.XLOOKUP(C957,customers!$A$1:$A$1001,customers!$G$1:$G$1001,0)</f>
        <v>United States</v>
      </c>
      <c r="I957" t="str">
        <f>_xlfn.XLOOKUP(D957,products!$A$1:$A$49,products!$B$1:$B$49,0)</f>
        <v>Exc</v>
      </c>
      <c r="J957" t="str">
        <f>_xlfn.XLOOKUP('data cleaned'!D957,products!$A$1:$A$49,products!$C$1:$C$49,0)</f>
        <v>L</v>
      </c>
      <c r="K957" s="5">
        <f>_xlfn.XLOOKUP('data cleaned'!D957,products!$A$1:$A$49,products!$D$1:$D$49,0)</f>
        <v>2.5</v>
      </c>
      <c r="L957" s="6">
        <f>_xlfn.XLOOKUP('data cleaned'!D957,products!$A$1:$A$49,products!$E$1:$E$49,0)</f>
        <v>34.154999999999994</v>
      </c>
      <c r="M957" s="6">
        <f>'data cleaned'!E957*'data cleaned'!L957</f>
        <v>170.77499999999998</v>
      </c>
      <c r="N957" t="str">
        <f t="shared" si="28"/>
        <v>Excelsa</v>
      </c>
      <c r="O957" t="str">
        <f t="shared" si="29"/>
        <v>Light</v>
      </c>
      <c r="P957" t="str">
        <f>_xlfn.XLOOKUP(worksheet[[#This Row],[Customer ID]],customers!$A$1:$A$1001,customers!$I$1:$I$1001,0)</f>
        <v>Yes</v>
      </c>
    </row>
    <row r="958" spans="1:16" x14ac:dyDescent="0.25">
      <c r="A958" s="2" t="s">
        <v>5890</v>
      </c>
      <c r="B958" s="4">
        <v>43582</v>
      </c>
      <c r="C958" s="2" t="s">
        <v>5764</v>
      </c>
      <c r="D958" t="s">
        <v>6142</v>
      </c>
      <c r="E958" s="2">
        <v>2</v>
      </c>
      <c r="F958" s="2" t="str">
        <f>_xlfn.XLOOKUP(C958,customers!$A$1:$A$1001,customers!$B$1:$B$1001,0)</f>
        <v>Brenn Dundredge</v>
      </c>
      <c r="G958" s="2" t="s">
        <v>6222</v>
      </c>
      <c r="H958" s="2" t="str">
        <f>_xlfn.XLOOKUP(C958,customers!$A$1:$A$1001,customers!$G$1:$G$1001,0)</f>
        <v>United States</v>
      </c>
      <c r="I958" t="str">
        <f>_xlfn.XLOOKUP(D958,products!$A$1:$A$49,products!$B$1:$B$49,0)</f>
        <v>Rob</v>
      </c>
      <c r="J958" t="str">
        <f>_xlfn.XLOOKUP('data cleaned'!D958,products!$A$1:$A$49,products!$C$1:$C$49,0)</f>
        <v>L</v>
      </c>
      <c r="K958" s="5">
        <f>_xlfn.XLOOKUP('data cleaned'!D958,products!$A$1:$A$49,products!$D$1:$D$49,0)</f>
        <v>2.5</v>
      </c>
      <c r="L958" s="6">
        <f>_xlfn.XLOOKUP('data cleaned'!D958,products!$A$1:$A$49,products!$E$1:$E$49,0)</f>
        <v>27.484999999999996</v>
      </c>
      <c r="M958" s="6">
        <f>'data cleaned'!E958*'data cleaned'!L958</f>
        <v>54.969999999999992</v>
      </c>
      <c r="N958" t="str">
        <f t="shared" si="28"/>
        <v>Robusta</v>
      </c>
      <c r="O958" t="str">
        <f t="shared" si="29"/>
        <v>Light</v>
      </c>
      <c r="P958" t="str">
        <f>_xlfn.XLOOKUP(worksheet[[#This Row],[Customer ID]],customers!$A$1:$A$1001,customers!$I$1:$I$1001,0)</f>
        <v>Yes</v>
      </c>
    </row>
    <row r="959" spans="1:16" x14ac:dyDescent="0.25">
      <c r="A959" s="2" t="s">
        <v>5890</v>
      </c>
      <c r="B959" s="4">
        <v>43582</v>
      </c>
      <c r="C959" s="2" t="s">
        <v>5764</v>
      </c>
      <c r="D959" t="s">
        <v>6171</v>
      </c>
      <c r="E959" s="2">
        <v>1</v>
      </c>
      <c r="F959" s="2" t="str">
        <f>_xlfn.XLOOKUP(C959,customers!$A$1:$A$1001,customers!$B$1:$B$1001,0)</f>
        <v>Brenn Dundredge</v>
      </c>
      <c r="G959" s="2" t="s">
        <v>6222</v>
      </c>
      <c r="H959" s="2" t="str">
        <f>_xlfn.XLOOKUP(C959,customers!$A$1:$A$1001,customers!$G$1:$G$1001,0)</f>
        <v>United States</v>
      </c>
      <c r="I959" t="str">
        <f>_xlfn.XLOOKUP(D959,products!$A$1:$A$49,products!$B$1:$B$49,0)</f>
        <v>Exc</v>
      </c>
      <c r="J959" t="str">
        <f>_xlfn.XLOOKUP('data cleaned'!D959,products!$A$1:$A$49,products!$C$1:$C$49,0)</f>
        <v>L</v>
      </c>
      <c r="K959" s="5">
        <f>_xlfn.XLOOKUP('data cleaned'!D959,products!$A$1:$A$49,products!$D$1:$D$49,0)</f>
        <v>1</v>
      </c>
      <c r="L959" s="6">
        <f>_xlfn.XLOOKUP('data cleaned'!D959,products!$A$1:$A$49,products!$E$1:$E$49,0)</f>
        <v>14.85</v>
      </c>
      <c r="M959" s="6">
        <f>'data cleaned'!E959*'data cleaned'!L959</f>
        <v>14.85</v>
      </c>
      <c r="N959" t="str">
        <f t="shared" si="28"/>
        <v>Excelsa</v>
      </c>
      <c r="O959" t="str">
        <f t="shared" si="29"/>
        <v>Light</v>
      </c>
      <c r="P959" t="str">
        <f>_xlfn.XLOOKUP(worksheet[[#This Row],[Customer ID]],customers!$A$1:$A$1001,customers!$I$1:$I$1001,0)</f>
        <v>Yes</v>
      </c>
    </row>
    <row r="960" spans="1:16" x14ac:dyDescent="0.25">
      <c r="A960" s="2" t="s">
        <v>5890</v>
      </c>
      <c r="B960" s="4">
        <v>43582</v>
      </c>
      <c r="C960" s="2" t="s">
        <v>5764</v>
      </c>
      <c r="D960" t="s">
        <v>6167</v>
      </c>
      <c r="E960" s="2">
        <v>2</v>
      </c>
      <c r="F960" s="2" t="str">
        <f>_xlfn.XLOOKUP(C960,customers!$A$1:$A$1001,customers!$B$1:$B$1001,0)</f>
        <v>Brenn Dundredge</v>
      </c>
      <c r="G960" s="2" t="s">
        <v>6222</v>
      </c>
      <c r="H960" s="2" t="str">
        <f>_xlfn.XLOOKUP(C960,customers!$A$1:$A$1001,customers!$G$1:$G$1001,0)</f>
        <v>United States</v>
      </c>
      <c r="I960" t="str">
        <f>_xlfn.XLOOKUP(D960,products!$A$1:$A$49,products!$B$1:$B$49,0)</f>
        <v>Ara</v>
      </c>
      <c r="J960" t="str">
        <f>_xlfn.XLOOKUP('data cleaned'!D960,products!$A$1:$A$49,products!$C$1:$C$49,0)</f>
        <v>L</v>
      </c>
      <c r="K960" s="5">
        <f>_xlfn.XLOOKUP('data cleaned'!D960,products!$A$1:$A$49,products!$D$1:$D$49,0)</f>
        <v>0.2</v>
      </c>
      <c r="L960" s="6">
        <f>_xlfn.XLOOKUP('data cleaned'!D960,products!$A$1:$A$49,products!$E$1:$E$49,0)</f>
        <v>3.8849999999999998</v>
      </c>
      <c r="M960" s="6">
        <f>'data cleaned'!E960*'data cleaned'!L960</f>
        <v>7.77</v>
      </c>
      <c r="N960" t="str">
        <f t="shared" si="28"/>
        <v>Arabica</v>
      </c>
      <c r="O960" t="str">
        <f t="shared" si="29"/>
        <v>Light</v>
      </c>
      <c r="P960" t="str">
        <f>_xlfn.XLOOKUP(worksheet[[#This Row],[Customer ID]],customers!$A$1:$A$1001,customers!$I$1:$I$1001,0)</f>
        <v>Yes</v>
      </c>
    </row>
    <row r="961" spans="1:16" x14ac:dyDescent="0.25">
      <c r="A961" s="2" t="s">
        <v>5910</v>
      </c>
      <c r="B961" s="4">
        <v>44598</v>
      </c>
      <c r="C961" s="2" t="s">
        <v>5911</v>
      </c>
      <c r="D961" t="s">
        <v>6145</v>
      </c>
      <c r="E961" s="2">
        <v>5</v>
      </c>
      <c r="F961" s="2" t="str">
        <f>_xlfn.XLOOKUP(C961,customers!$A$1:$A$1001,customers!$B$1:$B$1001,0)</f>
        <v>Rhodie Strathern</v>
      </c>
      <c r="G961" s="2" t="s">
        <v>5913</v>
      </c>
      <c r="H961" s="2" t="str">
        <f>_xlfn.XLOOKUP(C961,customers!$A$1:$A$1001,customers!$G$1:$G$1001,0)</f>
        <v>United States</v>
      </c>
      <c r="I961" t="str">
        <f>_xlfn.XLOOKUP(D961,products!$A$1:$A$49,products!$B$1:$B$49,0)</f>
        <v>Lib</v>
      </c>
      <c r="J961" t="str">
        <f>_xlfn.XLOOKUP('data cleaned'!D961,products!$A$1:$A$49,products!$C$1:$C$49,0)</f>
        <v>L</v>
      </c>
      <c r="K961" s="5">
        <f>_xlfn.XLOOKUP('data cleaned'!D961,products!$A$1:$A$49,products!$D$1:$D$49,0)</f>
        <v>0.2</v>
      </c>
      <c r="L961" s="6">
        <f>_xlfn.XLOOKUP('data cleaned'!D961,products!$A$1:$A$49,products!$E$1:$E$49,0)</f>
        <v>4.7549999999999999</v>
      </c>
      <c r="M961" s="6">
        <f>'data cleaned'!E961*'data cleaned'!L961</f>
        <v>23.774999999999999</v>
      </c>
      <c r="N961" t="str">
        <f t="shared" si="28"/>
        <v>Liberica</v>
      </c>
      <c r="O961" t="str">
        <f t="shared" si="29"/>
        <v>Light</v>
      </c>
      <c r="P961" t="str">
        <f>_xlfn.XLOOKUP(worksheet[[#This Row],[Customer ID]],customers!$A$1:$A$1001,customers!$I$1:$I$1001,0)</f>
        <v>Yes</v>
      </c>
    </row>
    <row r="962" spans="1:16" x14ac:dyDescent="0.25">
      <c r="A962" s="2" t="s">
        <v>5915</v>
      </c>
      <c r="B962" s="4">
        <v>44591</v>
      </c>
      <c r="C962" s="2" t="s">
        <v>5916</v>
      </c>
      <c r="D962" t="s">
        <v>6170</v>
      </c>
      <c r="E962" s="2">
        <v>5</v>
      </c>
      <c r="F962" s="2" t="str">
        <f>_xlfn.XLOOKUP(C962,customers!$A$1:$A$1001,customers!$B$1:$B$1001,0)</f>
        <v>Chad Miguel</v>
      </c>
      <c r="G962" s="2" t="s">
        <v>5918</v>
      </c>
      <c r="H962" s="2" t="str">
        <f>_xlfn.XLOOKUP(C962,customers!$A$1:$A$1001,customers!$G$1:$G$1001,0)</f>
        <v>United States</v>
      </c>
      <c r="I962" t="str">
        <f>_xlfn.XLOOKUP(D962,products!$A$1:$A$49,products!$B$1:$B$49,0)</f>
        <v>Lib</v>
      </c>
      <c r="J962" t="str">
        <f>_xlfn.XLOOKUP('data cleaned'!D962,products!$A$1:$A$49,products!$C$1:$C$49,0)</f>
        <v>L</v>
      </c>
      <c r="K962" s="5">
        <f>_xlfn.XLOOKUP('data cleaned'!D962,products!$A$1:$A$49,products!$D$1:$D$49,0)</f>
        <v>1</v>
      </c>
      <c r="L962" s="6">
        <f>_xlfn.XLOOKUP('data cleaned'!D962,products!$A$1:$A$49,products!$E$1:$E$49,0)</f>
        <v>15.85</v>
      </c>
      <c r="M962" s="6">
        <f>'data cleaned'!E962*'data cleaned'!L962</f>
        <v>79.25</v>
      </c>
      <c r="N962" t="str">
        <f t="shared" si="28"/>
        <v>Liberica</v>
      </c>
      <c r="O962" t="str">
        <f t="shared" si="29"/>
        <v>Light</v>
      </c>
      <c r="P962" t="str">
        <f>_xlfn.XLOOKUP(worksheet[[#This Row],[Customer ID]],customers!$A$1:$A$1001,customers!$I$1:$I$1001,0)</f>
        <v>Yes</v>
      </c>
    </row>
    <row r="963" spans="1:16" x14ac:dyDescent="0.25">
      <c r="A963" s="2" t="s">
        <v>5921</v>
      </c>
      <c r="B963" s="4">
        <v>44158</v>
      </c>
      <c r="C963" s="2" t="s">
        <v>5922</v>
      </c>
      <c r="D963" t="s">
        <v>6168</v>
      </c>
      <c r="E963" s="2">
        <v>2</v>
      </c>
      <c r="F963" s="2" t="str">
        <f>_xlfn.XLOOKUP(C963,customers!$A$1:$A$1001,customers!$B$1:$B$1001,0)</f>
        <v>Florinda Matusovsky</v>
      </c>
      <c r="G963" s="2" t="s">
        <v>6222</v>
      </c>
      <c r="H963" s="2" t="str">
        <f>_xlfn.XLOOKUP(C963,customers!$A$1:$A$1001,customers!$G$1:$G$1001,0)</f>
        <v>United States</v>
      </c>
      <c r="I963" t="str">
        <f>_xlfn.XLOOKUP(D963,products!$A$1:$A$49,products!$B$1:$B$49,0)</f>
        <v>Ara</v>
      </c>
      <c r="J963" t="str">
        <f>_xlfn.XLOOKUP('data cleaned'!D963,products!$A$1:$A$49,products!$C$1:$C$49,0)</f>
        <v>D</v>
      </c>
      <c r="K963" s="5">
        <f>_xlfn.XLOOKUP('data cleaned'!D963,products!$A$1:$A$49,products!$D$1:$D$49,0)</f>
        <v>2.5</v>
      </c>
      <c r="L963" s="6">
        <f>_xlfn.XLOOKUP('data cleaned'!D963,products!$A$1:$A$49,products!$E$1:$E$49,0)</f>
        <v>22.884999999999998</v>
      </c>
      <c r="M963" s="6">
        <f>'data cleaned'!E963*'data cleaned'!L963</f>
        <v>45.769999999999996</v>
      </c>
      <c r="N963" t="str">
        <f t="shared" ref="N963:N1001" si="30">IF(I963="Rob","Robusta",IF(I963="Exc","Excelsa",IF(I963="Ara","Arabica",IF(I963="Lib","Liberica",""))))</f>
        <v>Arabica</v>
      </c>
      <c r="O963" t="str">
        <f t="shared" ref="O963:O1001" si="31">IF(J963="M","Medium",IF(J963="L","Light",IF(J963="D","Dark","")))</f>
        <v>Dark</v>
      </c>
      <c r="P963" t="str">
        <f>_xlfn.XLOOKUP(worksheet[[#This Row],[Customer ID]],customers!$A$1:$A$1001,customers!$I$1:$I$1001,0)</f>
        <v>Yes</v>
      </c>
    </row>
    <row r="964" spans="1:16" x14ac:dyDescent="0.25">
      <c r="A964" s="2" t="s">
        <v>5926</v>
      </c>
      <c r="B964" s="4">
        <v>44664</v>
      </c>
      <c r="C964" s="2" t="s">
        <v>5927</v>
      </c>
      <c r="D964" t="s">
        <v>6177</v>
      </c>
      <c r="E964" s="2">
        <v>1</v>
      </c>
      <c r="F964" s="2" t="str">
        <f>_xlfn.XLOOKUP(C964,customers!$A$1:$A$1001,customers!$B$1:$B$1001,0)</f>
        <v>Morly Rocks</v>
      </c>
      <c r="G964" s="2" t="s">
        <v>5929</v>
      </c>
      <c r="H964" s="2" t="str">
        <f>_xlfn.XLOOKUP(C964,customers!$A$1:$A$1001,customers!$G$1:$G$1001,0)</f>
        <v>Ireland</v>
      </c>
      <c r="I964" t="str">
        <f>_xlfn.XLOOKUP(D964,products!$A$1:$A$49,products!$B$1:$B$49,0)</f>
        <v>Rob</v>
      </c>
      <c r="J964" t="str">
        <f>_xlfn.XLOOKUP('data cleaned'!D964,products!$A$1:$A$49,products!$C$1:$C$49,0)</f>
        <v>D</v>
      </c>
      <c r="K964" s="5">
        <f>_xlfn.XLOOKUP('data cleaned'!D964,products!$A$1:$A$49,products!$D$1:$D$49,0)</f>
        <v>1</v>
      </c>
      <c r="L964" s="6">
        <f>_xlfn.XLOOKUP('data cleaned'!D964,products!$A$1:$A$49,products!$E$1:$E$49,0)</f>
        <v>8.9499999999999993</v>
      </c>
      <c r="M964" s="6">
        <f>'data cleaned'!E964*'data cleaned'!L964</f>
        <v>8.9499999999999993</v>
      </c>
      <c r="N964" t="str">
        <f t="shared" si="30"/>
        <v>Robusta</v>
      </c>
      <c r="O964" t="str">
        <f t="shared" si="31"/>
        <v>Dark</v>
      </c>
      <c r="P964" t="str">
        <f>_xlfn.XLOOKUP(worksheet[[#This Row],[Customer ID]],customers!$A$1:$A$1001,customers!$I$1:$I$1001,0)</f>
        <v>Yes</v>
      </c>
    </row>
    <row r="965" spans="1:16" x14ac:dyDescent="0.25">
      <c r="A965" s="2" t="s">
        <v>5932</v>
      </c>
      <c r="B965" s="4">
        <v>44203</v>
      </c>
      <c r="C965" s="2" t="s">
        <v>5933</v>
      </c>
      <c r="D965" t="s">
        <v>6146</v>
      </c>
      <c r="E965" s="2">
        <v>4</v>
      </c>
      <c r="F965" s="2" t="str">
        <f>_xlfn.XLOOKUP(C965,customers!$A$1:$A$1001,customers!$B$1:$B$1001,0)</f>
        <v>Yuri Burrells</v>
      </c>
      <c r="G965" s="2" t="s">
        <v>5935</v>
      </c>
      <c r="H965" s="2" t="str">
        <f>_xlfn.XLOOKUP(C965,customers!$A$1:$A$1001,customers!$G$1:$G$1001,0)</f>
        <v>United States</v>
      </c>
      <c r="I965" t="str">
        <f>_xlfn.XLOOKUP(D965,products!$A$1:$A$49,products!$B$1:$B$49,0)</f>
        <v>Rob</v>
      </c>
      <c r="J965" t="str">
        <f>_xlfn.XLOOKUP('data cleaned'!D965,products!$A$1:$A$49,products!$C$1:$C$49,0)</f>
        <v>M</v>
      </c>
      <c r="K965" s="5">
        <f>_xlfn.XLOOKUP('data cleaned'!D965,products!$A$1:$A$49,products!$D$1:$D$49,0)</f>
        <v>0.5</v>
      </c>
      <c r="L965" s="6">
        <f>_xlfn.XLOOKUP('data cleaned'!D965,products!$A$1:$A$49,products!$E$1:$E$49,0)</f>
        <v>5.97</v>
      </c>
      <c r="M965" s="6">
        <f>'data cleaned'!E965*'data cleaned'!L965</f>
        <v>23.88</v>
      </c>
      <c r="N965" t="str">
        <f t="shared" si="30"/>
        <v>Robusta</v>
      </c>
      <c r="O965" t="str">
        <f t="shared" si="31"/>
        <v>Medium</v>
      </c>
      <c r="P965" t="str">
        <f>_xlfn.XLOOKUP(worksheet[[#This Row],[Customer ID]],customers!$A$1:$A$1001,customers!$I$1:$I$1001,0)</f>
        <v>Yes</v>
      </c>
    </row>
    <row r="966" spans="1:16" x14ac:dyDescent="0.25">
      <c r="A966" s="2" t="s">
        <v>5938</v>
      </c>
      <c r="B966" s="4">
        <v>43865</v>
      </c>
      <c r="C966" s="2" t="s">
        <v>5939</v>
      </c>
      <c r="D966" t="s">
        <v>6184</v>
      </c>
      <c r="E966" s="2">
        <v>5</v>
      </c>
      <c r="F966" s="2" t="str">
        <f>_xlfn.XLOOKUP(C966,customers!$A$1:$A$1001,customers!$B$1:$B$1001,0)</f>
        <v>Cleopatra Goodrum</v>
      </c>
      <c r="G966" s="2" t="s">
        <v>5941</v>
      </c>
      <c r="H966" s="2" t="str">
        <f>_xlfn.XLOOKUP(C966,customers!$A$1:$A$1001,customers!$G$1:$G$1001,0)</f>
        <v>United States</v>
      </c>
      <c r="I966" t="str">
        <f>_xlfn.XLOOKUP(D966,products!$A$1:$A$49,products!$B$1:$B$49,0)</f>
        <v>Exc</v>
      </c>
      <c r="J966" t="str">
        <f>_xlfn.XLOOKUP('data cleaned'!D966,products!$A$1:$A$49,products!$C$1:$C$49,0)</f>
        <v>L</v>
      </c>
      <c r="K966" s="5">
        <f>_xlfn.XLOOKUP('data cleaned'!D966,products!$A$1:$A$49,products!$D$1:$D$49,0)</f>
        <v>0.2</v>
      </c>
      <c r="L966" s="6">
        <f>_xlfn.XLOOKUP('data cleaned'!D966,products!$A$1:$A$49,products!$E$1:$E$49,0)</f>
        <v>4.4550000000000001</v>
      </c>
      <c r="M966" s="6">
        <f>'data cleaned'!E966*'data cleaned'!L966</f>
        <v>22.274999999999999</v>
      </c>
      <c r="N966" t="str">
        <f t="shared" si="30"/>
        <v>Excelsa</v>
      </c>
      <c r="O966" t="str">
        <f t="shared" si="31"/>
        <v>Light</v>
      </c>
      <c r="P966" t="str">
        <f>_xlfn.XLOOKUP(worksheet[[#This Row],[Customer ID]],customers!$A$1:$A$1001,customers!$I$1:$I$1001,0)</f>
        <v>No</v>
      </c>
    </row>
    <row r="967" spans="1:16" x14ac:dyDescent="0.25">
      <c r="A967" s="2" t="s">
        <v>5944</v>
      </c>
      <c r="B967" s="4">
        <v>43724</v>
      </c>
      <c r="C967" s="2" t="s">
        <v>5945</v>
      </c>
      <c r="D967" t="s">
        <v>6138</v>
      </c>
      <c r="E967" s="2">
        <v>3</v>
      </c>
      <c r="F967" s="2" t="str">
        <f>_xlfn.XLOOKUP(C967,customers!$A$1:$A$1001,customers!$B$1:$B$1001,0)</f>
        <v>Joey Jefferys</v>
      </c>
      <c r="G967" s="2" t="s">
        <v>5947</v>
      </c>
      <c r="H967" s="2" t="str">
        <f>_xlfn.XLOOKUP(C967,customers!$A$1:$A$1001,customers!$G$1:$G$1001,0)</f>
        <v>United States</v>
      </c>
      <c r="I967" t="str">
        <f>_xlfn.XLOOKUP(D967,products!$A$1:$A$49,products!$B$1:$B$49,0)</f>
        <v>Rob</v>
      </c>
      <c r="J967" t="str">
        <f>_xlfn.XLOOKUP('data cleaned'!D967,products!$A$1:$A$49,products!$C$1:$C$49,0)</f>
        <v>M</v>
      </c>
      <c r="K967" s="5">
        <f>_xlfn.XLOOKUP('data cleaned'!D967,products!$A$1:$A$49,products!$D$1:$D$49,0)</f>
        <v>1</v>
      </c>
      <c r="L967" s="6">
        <f>_xlfn.XLOOKUP('data cleaned'!D967,products!$A$1:$A$49,products!$E$1:$E$49,0)</f>
        <v>9.9499999999999993</v>
      </c>
      <c r="M967" s="6">
        <f>'data cleaned'!E967*'data cleaned'!L967</f>
        <v>29.849999999999998</v>
      </c>
      <c r="N967" t="str">
        <f t="shared" si="30"/>
        <v>Robusta</v>
      </c>
      <c r="O967" t="str">
        <f t="shared" si="31"/>
        <v>Medium</v>
      </c>
      <c r="P967" t="str">
        <f>_xlfn.XLOOKUP(worksheet[[#This Row],[Customer ID]],customers!$A$1:$A$1001,customers!$I$1:$I$1001,0)</f>
        <v>Yes</v>
      </c>
    </row>
    <row r="968" spans="1:16" x14ac:dyDescent="0.25">
      <c r="A968" s="2" t="s">
        <v>5949</v>
      </c>
      <c r="B968" s="4">
        <v>43491</v>
      </c>
      <c r="C968" s="2" t="s">
        <v>5950</v>
      </c>
      <c r="D968" t="s">
        <v>6176</v>
      </c>
      <c r="E968" s="2">
        <v>6</v>
      </c>
      <c r="F968" s="2" t="str">
        <f>_xlfn.XLOOKUP(C968,customers!$A$1:$A$1001,customers!$B$1:$B$1001,0)</f>
        <v>Bearnard Wardell</v>
      </c>
      <c r="G968" s="2" t="s">
        <v>5952</v>
      </c>
      <c r="H968" s="2" t="str">
        <f>_xlfn.XLOOKUP(C968,customers!$A$1:$A$1001,customers!$G$1:$G$1001,0)</f>
        <v>United States</v>
      </c>
      <c r="I968" t="str">
        <f>_xlfn.XLOOKUP(D968,products!$A$1:$A$49,products!$B$1:$B$49,0)</f>
        <v>Exc</v>
      </c>
      <c r="J968" t="str">
        <f>_xlfn.XLOOKUP('data cleaned'!D968,products!$A$1:$A$49,products!$C$1:$C$49,0)</f>
        <v>L</v>
      </c>
      <c r="K968" s="5">
        <f>_xlfn.XLOOKUP('data cleaned'!D968,products!$A$1:$A$49,products!$D$1:$D$49,0)</f>
        <v>0.5</v>
      </c>
      <c r="L968" s="6">
        <f>_xlfn.XLOOKUP('data cleaned'!D968,products!$A$1:$A$49,products!$E$1:$E$49,0)</f>
        <v>8.91</v>
      </c>
      <c r="M968" s="6">
        <f>'data cleaned'!E968*'data cleaned'!L968</f>
        <v>53.46</v>
      </c>
      <c r="N968" t="str">
        <f t="shared" si="30"/>
        <v>Excelsa</v>
      </c>
      <c r="O968" t="str">
        <f t="shared" si="31"/>
        <v>Light</v>
      </c>
      <c r="P968" t="str">
        <f>_xlfn.XLOOKUP(worksheet[[#This Row],[Customer ID]],customers!$A$1:$A$1001,customers!$I$1:$I$1001,0)</f>
        <v>Yes</v>
      </c>
    </row>
    <row r="969" spans="1:16" x14ac:dyDescent="0.25">
      <c r="A969" s="2" t="s">
        <v>5955</v>
      </c>
      <c r="B969" s="4">
        <v>44246</v>
      </c>
      <c r="C969" s="2" t="s">
        <v>5956</v>
      </c>
      <c r="D969" t="s">
        <v>6163</v>
      </c>
      <c r="E969" s="2">
        <v>1</v>
      </c>
      <c r="F969" s="2" t="str">
        <f>_xlfn.XLOOKUP(C969,customers!$A$1:$A$1001,customers!$B$1:$B$1001,0)</f>
        <v>Zeke Walisiak</v>
      </c>
      <c r="G969" s="2" t="s">
        <v>5958</v>
      </c>
      <c r="H969" s="2" t="str">
        <f>_xlfn.XLOOKUP(C969,customers!$A$1:$A$1001,customers!$G$1:$G$1001,0)</f>
        <v>Ireland</v>
      </c>
      <c r="I969" t="str">
        <f>_xlfn.XLOOKUP(D969,products!$A$1:$A$49,products!$B$1:$B$49,0)</f>
        <v>Rob</v>
      </c>
      <c r="J969" t="str">
        <f>_xlfn.XLOOKUP('data cleaned'!D969,products!$A$1:$A$49,products!$C$1:$C$49,0)</f>
        <v>D</v>
      </c>
      <c r="K969" s="5">
        <f>_xlfn.XLOOKUP('data cleaned'!D969,products!$A$1:$A$49,products!$D$1:$D$49,0)</f>
        <v>0.2</v>
      </c>
      <c r="L969" s="6">
        <f>_xlfn.XLOOKUP('data cleaned'!D969,products!$A$1:$A$49,products!$E$1:$E$49,0)</f>
        <v>2.6849999999999996</v>
      </c>
      <c r="M969" s="6">
        <f>'data cleaned'!E969*'data cleaned'!L969</f>
        <v>2.6849999999999996</v>
      </c>
      <c r="N969" t="str">
        <f t="shared" si="30"/>
        <v>Robusta</v>
      </c>
      <c r="O969" t="str">
        <f t="shared" si="31"/>
        <v>Dark</v>
      </c>
      <c r="P969" t="str">
        <f>_xlfn.XLOOKUP(worksheet[[#This Row],[Customer ID]],customers!$A$1:$A$1001,customers!$I$1:$I$1001,0)</f>
        <v>Yes</v>
      </c>
    </row>
    <row r="970" spans="1:16" x14ac:dyDescent="0.25">
      <c r="A970" s="2" t="s">
        <v>5961</v>
      </c>
      <c r="B970" s="4">
        <v>44642</v>
      </c>
      <c r="C970" s="2" t="s">
        <v>5962</v>
      </c>
      <c r="D970" t="s">
        <v>6174</v>
      </c>
      <c r="E970" s="2">
        <v>2</v>
      </c>
      <c r="F970" s="2" t="str">
        <f>_xlfn.XLOOKUP(C970,customers!$A$1:$A$1001,customers!$B$1:$B$1001,0)</f>
        <v>Wiley Leopold</v>
      </c>
      <c r="G970" s="2" t="s">
        <v>5964</v>
      </c>
      <c r="H970" s="2" t="str">
        <f>_xlfn.XLOOKUP(C970,customers!$A$1:$A$1001,customers!$G$1:$G$1001,0)</f>
        <v>United States</v>
      </c>
      <c r="I970" t="str">
        <f>_xlfn.XLOOKUP(D970,products!$A$1:$A$49,products!$B$1:$B$49,0)</f>
        <v>Rob</v>
      </c>
      <c r="J970" t="str">
        <f>_xlfn.XLOOKUP('data cleaned'!D970,products!$A$1:$A$49,products!$C$1:$C$49,0)</f>
        <v>M</v>
      </c>
      <c r="K970" s="5">
        <f>_xlfn.XLOOKUP('data cleaned'!D970,products!$A$1:$A$49,products!$D$1:$D$49,0)</f>
        <v>0.2</v>
      </c>
      <c r="L970" s="6">
        <f>_xlfn.XLOOKUP('data cleaned'!D970,products!$A$1:$A$49,products!$E$1:$E$49,0)</f>
        <v>2.9849999999999999</v>
      </c>
      <c r="M970" s="6">
        <f>'data cleaned'!E970*'data cleaned'!L970</f>
        <v>5.97</v>
      </c>
      <c r="N970" t="str">
        <f t="shared" si="30"/>
        <v>Robusta</v>
      </c>
      <c r="O970" t="str">
        <f t="shared" si="31"/>
        <v>Medium</v>
      </c>
      <c r="P970" t="str">
        <f>_xlfn.XLOOKUP(worksheet[[#This Row],[Customer ID]],customers!$A$1:$A$1001,customers!$I$1:$I$1001,0)</f>
        <v>No</v>
      </c>
    </row>
    <row r="971" spans="1:16" x14ac:dyDescent="0.25">
      <c r="A971" s="2" t="s">
        <v>5967</v>
      </c>
      <c r="B971" s="4">
        <v>43649</v>
      </c>
      <c r="C971" s="2" t="s">
        <v>5968</v>
      </c>
      <c r="D971" t="s">
        <v>6143</v>
      </c>
      <c r="E971" s="2">
        <v>1</v>
      </c>
      <c r="F971" s="2" t="str">
        <f>_xlfn.XLOOKUP(C971,customers!$A$1:$A$1001,customers!$B$1:$B$1001,0)</f>
        <v>Chiarra Shalders</v>
      </c>
      <c r="G971" s="2" t="s">
        <v>5970</v>
      </c>
      <c r="H971" s="2" t="str">
        <f>_xlfn.XLOOKUP(C971,customers!$A$1:$A$1001,customers!$G$1:$G$1001,0)</f>
        <v>United States</v>
      </c>
      <c r="I971" t="str">
        <f>_xlfn.XLOOKUP(D971,products!$A$1:$A$49,products!$B$1:$B$49,0)</f>
        <v>Lib</v>
      </c>
      <c r="J971" t="str">
        <f>_xlfn.XLOOKUP('data cleaned'!D971,products!$A$1:$A$49,products!$C$1:$C$49,0)</f>
        <v>D</v>
      </c>
      <c r="K971" s="5">
        <f>_xlfn.XLOOKUP('data cleaned'!D971,products!$A$1:$A$49,products!$D$1:$D$49,0)</f>
        <v>1</v>
      </c>
      <c r="L971" s="6">
        <f>_xlfn.XLOOKUP('data cleaned'!D971,products!$A$1:$A$49,products!$E$1:$E$49,0)</f>
        <v>12.95</v>
      </c>
      <c r="M971" s="6">
        <f>'data cleaned'!E971*'data cleaned'!L971</f>
        <v>12.95</v>
      </c>
      <c r="N971" t="str">
        <f t="shared" si="30"/>
        <v>Liberica</v>
      </c>
      <c r="O971" t="str">
        <f t="shared" si="31"/>
        <v>Dark</v>
      </c>
      <c r="P971" t="str">
        <f>_xlfn.XLOOKUP(worksheet[[#This Row],[Customer ID]],customers!$A$1:$A$1001,customers!$I$1:$I$1001,0)</f>
        <v>Yes</v>
      </c>
    </row>
    <row r="972" spans="1:16" x14ac:dyDescent="0.25">
      <c r="A972" s="2" t="s">
        <v>5973</v>
      </c>
      <c r="B972" s="4">
        <v>43729</v>
      </c>
      <c r="C972" s="2" t="s">
        <v>5974</v>
      </c>
      <c r="D972" t="s">
        <v>6139</v>
      </c>
      <c r="E972" s="2">
        <v>1</v>
      </c>
      <c r="F972" s="2" t="str">
        <f>_xlfn.XLOOKUP(C972,customers!$A$1:$A$1001,customers!$B$1:$B$1001,0)</f>
        <v>Sharl Southerill</v>
      </c>
      <c r="G972" s="2" t="s">
        <v>6222</v>
      </c>
      <c r="H972" s="2" t="str">
        <f>_xlfn.XLOOKUP(C972,customers!$A$1:$A$1001,customers!$G$1:$G$1001,0)</f>
        <v>United States</v>
      </c>
      <c r="I972" t="str">
        <f>_xlfn.XLOOKUP(D972,products!$A$1:$A$49,products!$B$1:$B$49,0)</f>
        <v>Exc</v>
      </c>
      <c r="J972" t="str">
        <f>_xlfn.XLOOKUP('data cleaned'!D972,products!$A$1:$A$49,products!$C$1:$C$49,0)</f>
        <v>M</v>
      </c>
      <c r="K972" s="5">
        <f>_xlfn.XLOOKUP('data cleaned'!D972,products!$A$1:$A$49,products!$D$1:$D$49,0)</f>
        <v>0.5</v>
      </c>
      <c r="L972" s="6">
        <f>_xlfn.XLOOKUP('data cleaned'!D972,products!$A$1:$A$49,products!$E$1:$E$49,0)</f>
        <v>8.25</v>
      </c>
      <c r="M972" s="6">
        <f>'data cleaned'!E972*'data cleaned'!L972</f>
        <v>8.25</v>
      </c>
      <c r="N972" t="str">
        <f t="shared" si="30"/>
        <v>Excelsa</v>
      </c>
      <c r="O972" t="str">
        <f t="shared" si="31"/>
        <v>Medium</v>
      </c>
      <c r="P972" t="str">
        <f>_xlfn.XLOOKUP(worksheet[[#This Row],[Customer ID]],customers!$A$1:$A$1001,customers!$I$1:$I$1001,0)</f>
        <v>No</v>
      </c>
    </row>
    <row r="973" spans="1:16" x14ac:dyDescent="0.25">
      <c r="A973" s="2" t="s">
        <v>5978</v>
      </c>
      <c r="B973" s="4">
        <v>43703</v>
      </c>
      <c r="C973" s="2" t="s">
        <v>5979</v>
      </c>
      <c r="D973" t="s">
        <v>6182</v>
      </c>
      <c r="E973" s="2">
        <v>5</v>
      </c>
      <c r="F973" s="2" t="str">
        <f>_xlfn.XLOOKUP(C973,customers!$A$1:$A$1001,customers!$B$1:$B$1001,0)</f>
        <v>Noni Furber</v>
      </c>
      <c r="G973" s="2" t="s">
        <v>5981</v>
      </c>
      <c r="H973" s="2" t="str">
        <f>_xlfn.XLOOKUP(C973,customers!$A$1:$A$1001,customers!$G$1:$G$1001,0)</f>
        <v>United States</v>
      </c>
      <c r="I973" t="str">
        <f>_xlfn.XLOOKUP(D973,products!$A$1:$A$49,products!$B$1:$B$49,0)</f>
        <v>Ara</v>
      </c>
      <c r="J973" t="str">
        <f>_xlfn.XLOOKUP('data cleaned'!D973,products!$A$1:$A$49,products!$C$1:$C$49,0)</f>
        <v>L</v>
      </c>
      <c r="K973" s="5">
        <f>_xlfn.XLOOKUP('data cleaned'!D973,products!$A$1:$A$49,products!$D$1:$D$49,0)</f>
        <v>2.5</v>
      </c>
      <c r="L973" s="6">
        <f>_xlfn.XLOOKUP('data cleaned'!D973,products!$A$1:$A$49,products!$E$1:$E$49,0)</f>
        <v>29.784999999999997</v>
      </c>
      <c r="M973" s="6">
        <f>'data cleaned'!E973*'data cleaned'!L973</f>
        <v>148.92499999999998</v>
      </c>
      <c r="N973" t="str">
        <f t="shared" si="30"/>
        <v>Arabica</v>
      </c>
      <c r="O973" t="str">
        <f t="shared" si="31"/>
        <v>Light</v>
      </c>
      <c r="P973" t="str">
        <f>_xlfn.XLOOKUP(worksheet[[#This Row],[Customer ID]],customers!$A$1:$A$1001,customers!$I$1:$I$1001,0)</f>
        <v>No</v>
      </c>
    </row>
    <row r="974" spans="1:16" x14ac:dyDescent="0.25">
      <c r="A974" s="2" t="s">
        <v>5984</v>
      </c>
      <c r="B974" s="4">
        <v>44411</v>
      </c>
      <c r="C974" s="2" t="s">
        <v>5985</v>
      </c>
      <c r="D974" t="s">
        <v>6182</v>
      </c>
      <c r="E974" s="2">
        <v>3</v>
      </c>
      <c r="F974" s="2" t="str">
        <f>_xlfn.XLOOKUP(C974,customers!$A$1:$A$1001,customers!$B$1:$B$1001,0)</f>
        <v>Dinah Crutcher</v>
      </c>
      <c r="G974" s="2" t="s">
        <v>6222</v>
      </c>
      <c r="H974" s="2" t="str">
        <f>_xlfn.XLOOKUP(C974,customers!$A$1:$A$1001,customers!$G$1:$G$1001,0)</f>
        <v>Ireland</v>
      </c>
      <c r="I974" t="str">
        <f>_xlfn.XLOOKUP(D974,products!$A$1:$A$49,products!$B$1:$B$49,0)</f>
        <v>Ara</v>
      </c>
      <c r="J974" t="str">
        <f>_xlfn.XLOOKUP('data cleaned'!D974,products!$A$1:$A$49,products!$C$1:$C$49,0)</f>
        <v>L</v>
      </c>
      <c r="K974" s="5">
        <f>_xlfn.XLOOKUP('data cleaned'!D974,products!$A$1:$A$49,products!$D$1:$D$49,0)</f>
        <v>2.5</v>
      </c>
      <c r="L974" s="6">
        <f>_xlfn.XLOOKUP('data cleaned'!D974,products!$A$1:$A$49,products!$E$1:$E$49,0)</f>
        <v>29.784999999999997</v>
      </c>
      <c r="M974" s="6">
        <f>'data cleaned'!E974*'data cleaned'!L974</f>
        <v>89.35499999999999</v>
      </c>
      <c r="N974" t="str">
        <f t="shared" si="30"/>
        <v>Arabica</v>
      </c>
      <c r="O974" t="str">
        <f t="shared" si="31"/>
        <v>Light</v>
      </c>
      <c r="P974" t="str">
        <f>_xlfn.XLOOKUP(worksheet[[#This Row],[Customer ID]],customers!$A$1:$A$1001,customers!$I$1:$I$1001,0)</f>
        <v>Yes</v>
      </c>
    </row>
    <row r="975" spans="1:16" x14ac:dyDescent="0.25">
      <c r="A975" s="2" t="s">
        <v>5989</v>
      </c>
      <c r="B975" s="4">
        <v>44493</v>
      </c>
      <c r="C975" s="2" t="s">
        <v>5990</v>
      </c>
      <c r="D975" t="s">
        <v>6162</v>
      </c>
      <c r="E975" s="2">
        <v>6</v>
      </c>
      <c r="F975" s="2" t="str">
        <f>_xlfn.XLOOKUP(C975,customers!$A$1:$A$1001,customers!$B$1:$B$1001,0)</f>
        <v>Charlean Keave</v>
      </c>
      <c r="G975" s="2" t="s">
        <v>5992</v>
      </c>
      <c r="H975" s="2" t="str">
        <f>_xlfn.XLOOKUP(C975,customers!$A$1:$A$1001,customers!$G$1:$G$1001,0)</f>
        <v>United States</v>
      </c>
      <c r="I975" t="str">
        <f>_xlfn.XLOOKUP(D975,products!$A$1:$A$49,products!$B$1:$B$49,0)</f>
        <v>Lib</v>
      </c>
      <c r="J975" t="str">
        <f>_xlfn.XLOOKUP('data cleaned'!D975,products!$A$1:$A$49,products!$C$1:$C$49,0)</f>
        <v>M</v>
      </c>
      <c r="K975" s="5">
        <f>_xlfn.XLOOKUP('data cleaned'!D975,products!$A$1:$A$49,products!$D$1:$D$49,0)</f>
        <v>1</v>
      </c>
      <c r="L975" s="6">
        <f>_xlfn.XLOOKUP('data cleaned'!D975,products!$A$1:$A$49,products!$E$1:$E$49,0)</f>
        <v>14.55</v>
      </c>
      <c r="M975" s="6">
        <f>'data cleaned'!E975*'data cleaned'!L975</f>
        <v>87.300000000000011</v>
      </c>
      <c r="N975" t="str">
        <f t="shared" si="30"/>
        <v>Liberica</v>
      </c>
      <c r="O975" t="str">
        <f t="shared" si="31"/>
        <v>Medium</v>
      </c>
      <c r="P975" t="str">
        <f>_xlfn.XLOOKUP(worksheet[[#This Row],[Customer ID]],customers!$A$1:$A$1001,customers!$I$1:$I$1001,0)</f>
        <v>No</v>
      </c>
    </row>
    <row r="976" spans="1:16" x14ac:dyDescent="0.25">
      <c r="A976" s="2" t="s">
        <v>5995</v>
      </c>
      <c r="B976" s="4">
        <v>43556</v>
      </c>
      <c r="C976" s="2" t="s">
        <v>5996</v>
      </c>
      <c r="D976" t="s">
        <v>6172</v>
      </c>
      <c r="E976" s="2">
        <v>1</v>
      </c>
      <c r="F976" s="2" t="str">
        <f>_xlfn.XLOOKUP(C976,customers!$A$1:$A$1001,customers!$B$1:$B$1001,0)</f>
        <v>Sada Roseborough</v>
      </c>
      <c r="G976" s="2" t="s">
        <v>5998</v>
      </c>
      <c r="H976" s="2" t="str">
        <f>_xlfn.XLOOKUP(C976,customers!$A$1:$A$1001,customers!$G$1:$G$1001,0)</f>
        <v>United States</v>
      </c>
      <c r="I976" t="str">
        <f>_xlfn.XLOOKUP(D976,products!$A$1:$A$49,products!$B$1:$B$49,0)</f>
        <v>Rob</v>
      </c>
      <c r="J976" t="str">
        <f>_xlfn.XLOOKUP('data cleaned'!D976,products!$A$1:$A$49,products!$C$1:$C$49,0)</f>
        <v>D</v>
      </c>
      <c r="K976" s="5">
        <f>_xlfn.XLOOKUP('data cleaned'!D976,products!$A$1:$A$49,products!$D$1:$D$49,0)</f>
        <v>0.5</v>
      </c>
      <c r="L976" s="6">
        <f>_xlfn.XLOOKUP('data cleaned'!D976,products!$A$1:$A$49,products!$E$1:$E$49,0)</f>
        <v>5.3699999999999992</v>
      </c>
      <c r="M976" s="6">
        <f>'data cleaned'!E976*'data cleaned'!L976</f>
        <v>5.3699999999999992</v>
      </c>
      <c r="N976" t="str">
        <f t="shared" si="30"/>
        <v>Robusta</v>
      </c>
      <c r="O976" t="str">
        <f t="shared" si="31"/>
        <v>Dark</v>
      </c>
      <c r="P976" t="str">
        <f>_xlfn.XLOOKUP(worksheet[[#This Row],[Customer ID]],customers!$A$1:$A$1001,customers!$I$1:$I$1001,0)</f>
        <v>Yes</v>
      </c>
    </row>
    <row r="977" spans="1:16" x14ac:dyDescent="0.25">
      <c r="A977" s="2" t="s">
        <v>6001</v>
      </c>
      <c r="B977" s="4">
        <v>44538</v>
      </c>
      <c r="C977" s="2" t="s">
        <v>6002</v>
      </c>
      <c r="D977" t="s">
        <v>6154</v>
      </c>
      <c r="E977" s="2">
        <v>3</v>
      </c>
      <c r="F977" s="2" t="str">
        <f>_xlfn.XLOOKUP(C977,customers!$A$1:$A$1001,customers!$B$1:$B$1001,0)</f>
        <v>Clayton Kingwell</v>
      </c>
      <c r="G977" s="2" t="s">
        <v>6004</v>
      </c>
      <c r="H977" s="2" t="str">
        <f>_xlfn.XLOOKUP(C977,customers!$A$1:$A$1001,customers!$G$1:$G$1001,0)</f>
        <v>Ireland</v>
      </c>
      <c r="I977" t="str">
        <f>_xlfn.XLOOKUP(D977,products!$A$1:$A$49,products!$B$1:$B$49,0)</f>
        <v>Ara</v>
      </c>
      <c r="J977" t="str">
        <f>_xlfn.XLOOKUP('data cleaned'!D977,products!$A$1:$A$49,products!$C$1:$C$49,0)</f>
        <v>D</v>
      </c>
      <c r="K977" s="5">
        <f>_xlfn.XLOOKUP('data cleaned'!D977,products!$A$1:$A$49,products!$D$1:$D$49,0)</f>
        <v>0.2</v>
      </c>
      <c r="L977" s="6">
        <f>_xlfn.XLOOKUP('data cleaned'!D977,products!$A$1:$A$49,products!$E$1:$E$49,0)</f>
        <v>2.9849999999999999</v>
      </c>
      <c r="M977" s="6">
        <f>'data cleaned'!E977*'data cleaned'!L977</f>
        <v>8.9550000000000001</v>
      </c>
      <c r="N977" t="str">
        <f t="shared" si="30"/>
        <v>Arabica</v>
      </c>
      <c r="O977" t="str">
        <f t="shared" si="31"/>
        <v>Dark</v>
      </c>
      <c r="P977" t="str">
        <f>_xlfn.XLOOKUP(worksheet[[#This Row],[Customer ID]],customers!$A$1:$A$1001,customers!$I$1:$I$1001,0)</f>
        <v>Yes</v>
      </c>
    </row>
    <row r="978" spans="1:16" x14ac:dyDescent="0.25">
      <c r="A978" s="2" t="s">
        <v>6007</v>
      </c>
      <c r="B978" s="4">
        <v>43643</v>
      </c>
      <c r="C978" s="2" t="s">
        <v>6008</v>
      </c>
      <c r="D978" t="s">
        <v>6142</v>
      </c>
      <c r="E978" s="2">
        <v>5</v>
      </c>
      <c r="F978" s="2" t="str">
        <f>_xlfn.XLOOKUP(C978,customers!$A$1:$A$1001,customers!$B$1:$B$1001,0)</f>
        <v>Kacy Canto</v>
      </c>
      <c r="G978" s="2" t="s">
        <v>6010</v>
      </c>
      <c r="H978" s="2" t="str">
        <f>_xlfn.XLOOKUP(C978,customers!$A$1:$A$1001,customers!$G$1:$G$1001,0)</f>
        <v>United States</v>
      </c>
      <c r="I978" t="str">
        <f>_xlfn.XLOOKUP(D978,products!$A$1:$A$49,products!$B$1:$B$49,0)</f>
        <v>Rob</v>
      </c>
      <c r="J978" t="str">
        <f>_xlfn.XLOOKUP('data cleaned'!D978,products!$A$1:$A$49,products!$C$1:$C$49,0)</f>
        <v>L</v>
      </c>
      <c r="K978" s="5">
        <f>_xlfn.XLOOKUP('data cleaned'!D978,products!$A$1:$A$49,products!$D$1:$D$49,0)</f>
        <v>2.5</v>
      </c>
      <c r="L978" s="6">
        <f>_xlfn.XLOOKUP('data cleaned'!D978,products!$A$1:$A$49,products!$E$1:$E$49,0)</f>
        <v>27.484999999999996</v>
      </c>
      <c r="M978" s="6">
        <f>'data cleaned'!E978*'data cleaned'!L978</f>
        <v>137.42499999999998</v>
      </c>
      <c r="N978" t="str">
        <f t="shared" si="30"/>
        <v>Robusta</v>
      </c>
      <c r="O978" t="str">
        <f t="shared" si="31"/>
        <v>Light</v>
      </c>
      <c r="P978" t="str">
        <f>_xlfn.XLOOKUP(worksheet[[#This Row],[Customer ID]],customers!$A$1:$A$1001,customers!$I$1:$I$1001,0)</f>
        <v>Yes</v>
      </c>
    </row>
    <row r="979" spans="1:16" x14ac:dyDescent="0.25">
      <c r="A979" s="2" t="s">
        <v>6013</v>
      </c>
      <c r="B979" s="4">
        <v>44026</v>
      </c>
      <c r="C979" s="2" t="s">
        <v>6014</v>
      </c>
      <c r="D979" t="s">
        <v>6179</v>
      </c>
      <c r="E979" s="2">
        <v>5</v>
      </c>
      <c r="F979" s="2" t="str">
        <f>_xlfn.XLOOKUP(C979,customers!$A$1:$A$1001,customers!$B$1:$B$1001,0)</f>
        <v>Mab Blakemore</v>
      </c>
      <c r="G979" s="2" t="s">
        <v>6016</v>
      </c>
      <c r="H979" s="2" t="str">
        <f>_xlfn.XLOOKUP(C979,customers!$A$1:$A$1001,customers!$G$1:$G$1001,0)</f>
        <v>United States</v>
      </c>
      <c r="I979" t="str">
        <f>_xlfn.XLOOKUP(D979,products!$A$1:$A$49,products!$B$1:$B$49,0)</f>
        <v>Rob</v>
      </c>
      <c r="J979" t="str">
        <f>_xlfn.XLOOKUP('data cleaned'!D979,products!$A$1:$A$49,products!$C$1:$C$49,0)</f>
        <v>L</v>
      </c>
      <c r="K979" s="5">
        <f>_xlfn.XLOOKUP('data cleaned'!D979,products!$A$1:$A$49,products!$D$1:$D$49,0)</f>
        <v>1</v>
      </c>
      <c r="L979" s="6">
        <f>_xlfn.XLOOKUP('data cleaned'!D979,products!$A$1:$A$49,products!$E$1:$E$49,0)</f>
        <v>11.95</v>
      </c>
      <c r="M979" s="6">
        <f>'data cleaned'!E979*'data cleaned'!L979</f>
        <v>59.75</v>
      </c>
      <c r="N979" t="str">
        <f t="shared" si="30"/>
        <v>Robusta</v>
      </c>
      <c r="O979" t="str">
        <f t="shared" si="31"/>
        <v>Light</v>
      </c>
      <c r="P979" t="str">
        <f>_xlfn.XLOOKUP(worksheet[[#This Row],[Customer ID]],customers!$A$1:$A$1001,customers!$I$1:$I$1001,0)</f>
        <v>No</v>
      </c>
    </row>
    <row r="980" spans="1:16" x14ac:dyDescent="0.25">
      <c r="A980" s="2" t="s">
        <v>6019</v>
      </c>
      <c r="B980" s="4">
        <v>43913</v>
      </c>
      <c r="C980" s="2" t="s">
        <v>5990</v>
      </c>
      <c r="D980" t="s">
        <v>6180</v>
      </c>
      <c r="E980" s="2">
        <v>3</v>
      </c>
      <c r="F980" s="2" t="str">
        <f>_xlfn.XLOOKUP(C980,customers!$A$1:$A$1001,customers!$B$1:$B$1001,0)</f>
        <v>Charlean Keave</v>
      </c>
      <c r="G980" s="2" t="s">
        <v>5992</v>
      </c>
      <c r="H980" s="2" t="str">
        <f>_xlfn.XLOOKUP(C980,customers!$A$1:$A$1001,customers!$G$1:$G$1001,0)</f>
        <v>United States</v>
      </c>
      <c r="I980" t="str">
        <f>_xlfn.XLOOKUP(D980,products!$A$1:$A$49,products!$B$1:$B$49,0)</f>
        <v>Ara</v>
      </c>
      <c r="J980" t="str">
        <f>_xlfn.XLOOKUP('data cleaned'!D980,products!$A$1:$A$49,products!$C$1:$C$49,0)</f>
        <v>L</v>
      </c>
      <c r="K980" s="5">
        <f>_xlfn.XLOOKUP('data cleaned'!D980,products!$A$1:$A$49,products!$D$1:$D$49,0)</f>
        <v>0.5</v>
      </c>
      <c r="L980" s="6">
        <f>_xlfn.XLOOKUP('data cleaned'!D980,products!$A$1:$A$49,products!$E$1:$E$49,0)</f>
        <v>7.77</v>
      </c>
      <c r="M980" s="6">
        <f>'data cleaned'!E980*'data cleaned'!L980</f>
        <v>23.31</v>
      </c>
      <c r="N980" t="str">
        <f t="shared" si="30"/>
        <v>Arabica</v>
      </c>
      <c r="O980" t="str">
        <f t="shared" si="31"/>
        <v>Light</v>
      </c>
      <c r="P980" t="str">
        <f>_xlfn.XLOOKUP(worksheet[[#This Row],[Customer ID]],customers!$A$1:$A$1001,customers!$I$1:$I$1001,0)</f>
        <v>No</v>
      </c>
    </row>
    <row r="981" spans="1:16" x14ac:dyDescent="0.25">
      <c r="A981" s="2" t="s">
        <v>6025</v>
      </c>
      <c r="B981" s="4">
        <v>43856</v>
      </c>
      <c r="C981" s="2" t="s">
        <v>6026</v>
      </c>
      <c r="D981" t="s">
        <v>6172</v>
      </c>
      <c r="E981" s="2">
        <v>2</v>
      </c>
      <c r="F981" s="2" t="str">
        <f>_xlfn.XLOOKUP(C981,customers!$A$1:$A$1001,customers!$B$1:$B$1001,0)</f>
        <v>Javier Causnett</v>
      </c>
      <c r="G981" s="2" t="s">
        <v>6222</v>
      </c>
      <c r="H981" s="2" t="str">
        <f>_xlfn.XLOOKUP(C981,customers!$A$1:$A$1001,customers!$G$1:$G$1001,0)</f>
        <v>United States</v>
      </c>
      <c r="I981" t="str">
        <f>_xlfn.XLOOKUP(D981,products!$A$1:$A$49,products!$B$1:$B$49,0)</f>
        <v>Rob</v>
      </c>
      <c r="J981" t="str">
        <f>_xlfn.XLOOKUP('data cleaned'!D981,products!$A$1:$A$49,products!$C$1:$C$49,0)</f>
        <v>D</v>
      </c>
      <c r="K981" s="5">
        <f>_xlfn.XLOOKUP('data cleaned'!D981,products!$A$1:$A$49,products!$D$1:$D$49,0)</f>
        <v>0.5</v>
      </c>
      <c r="L981" s="6">
        <f>_xlfn.XLOOKUP('data cleaned'!D981,products!$A$1:$A$49,products!$E$1:$E$49,0)</f>
        <v>5.3699999999999992</v>
      </c>
      <c r="M981" s="6">
        <f>'data cleaned'!E981*'data cleaned'!L981</f>
        <v>10.739999999999998</v>
      </c>
      <c r="N981" t="str">
        <f t="shared" si="30"/>
        <v>Robusta</v>
      </c>
      <c r="O981" t="str">
        <f t="shared" si="31"/>
        <v>Dark</v>
      </c>
      <c r="P981" t="str">
        <f>_xlfn.XLOOKUP(worksheet[[#This Row],[Customer ID]],customers!$A$1:$A$1001,customers!$I$1:$I$1001,0)</f>
        <v>No</v>
      </c>
    </row>
    <row r="982" spans="1:16" x14ac:dyDescent="0.25">
      <c r="A982" s="2" t="s">
        <v>6030</v>
      </c>
      <c r="B982" s="4">
        <v>43982</v>
      </c>
      <c r="C982" s="2" t="s">
        <v>6031</v>
      </c>
      <c r="D982" t="s">
        <v>6185</v>
      </c>
      <c r="E982" s="2">
        <v>6</v>
      </c>
      <c r="F982" s="2" t="str">
        <f>_xlfn.XLOOKUP(C982,customers!$A$1:$A$1001,customers!$B$1:$B$1001,0)</f>
        <v>Demetris Micheli</v>
      </c>
      <c r="G982" s="2" t="s">
        <v>6222</v>
      </c>
      <c r="H982" s="2" t="str">
        <f>_xlfn.XLOOKUP(C982,customers!$A$1:$A$1001,customers!$G$1:$G$1001,0)</f>
        <v>United States</v>
      </c>
      <c r="I982" t="str">
        <f>_xlfn.XLOOKUP(D982,products!$A$1:$A$49,products!$B$1:$B$49,0)</f>
        <v>Exc</v>
      </c>
      <c r="J982" t="str">
        <f>_xlfn.XLOOKUP('data cleaned'!D982,products!$A$1:$A$49,products!$C$1:$C$49,0)</f>
        <v>D</v>
      </c>
      <c r="K982" s="5">
        <f>_xlfn.XLOOKUP('data cleaned'!D982,products!$A$1:$A$49,products!$D$1:$D$49,0)</f>
        <v>2.5</v>
      </c>
      <c r="L982" s="6">
        <f>_xlfn.XLOOKUP('data cleaned'!D982,products!$A$1:$A$49,products!$E$1:$E$49,0)</f>
        <v>27.945</v>
      </c>
      <c r="M982" s="6">
        <f>'data cleaned'!E982*'data cleaned'!L982</f>
        <v>167.67000000000002</v>
      </c>
      <c r="N982" t="str">
        <f t="shared" si="30"/>
        <v>Excelsa</v>
      </c>
      <c r="O982" t="str">
        <f t="shared" si="31"/>
        <v>Dark</v>
      </c>
      <c r="P982" t="str">
        <f>_xlfn.XLOOKUP(worksheet[[#This Row],[Customer ID]],customers!$A$1:$A$1001,customers!$I$1:$I$1001,0)</f>
        <v>Yes</v>
      </c>
    </row>
    <row r="983" spans="1:16" x14ac:dyDescent="0.25">
      <c r="A983" s="2" t="s">
        <v>6035</v>
      </c>
      <c r="B983" s="4">
        <v>44397</v>
      </c>
      <c r="C983" s="2" t="s">
        <v>6036</v>
      </c>
      <c r="D983" t="s">
        <v>6153</v>
      </c>
      <c r="E983" s="2">
        <v>6</v>
      </c>
      <c r="F983" s="2" t="str">
        <f>_xlfn.XLOOKUP(C983,customers!$A$1:$A$1001,customers!$B$1:$B$1001,0)</f>
        <v>Chloette Bernardot</v>
      </c>
      <c r="G983" s="2" t="s">
        <v>6038</v>
      </c>
      <c r="H983" s="2" t="str">
        <f>_xlfn.XLOOKUP(C983,customers!$A$1:$A$1001,customers!$G$1:$G$1001,0)</f>
        <v>United States</v>
      </c>
      <c r="I983" t="str">
        <f>_xlfn.XLOOKUP(D983,products!$A$1:$A$49,products!$B$1:$B$49,0)</f>
        <v>Exc</v>
      </c>
      <c r="J983" t="str">
        <f>_xlfn.XLOOKUP('data cleaned'!D983,products!$A$1:$A$49,products!$C$1:$C$49,0)</f>
        <v>D</v>
      </c>
      <c r="K983" s="5">
        <f>_xlfn.XLOOKUP('data cleaned'!D983,products!$A$1:$A$49,products!$D$1:$D$49,0)</f>
        <v>0.2</v>
      </c>
      <c r="L983" s="6">
        <f>_xlfn.XLOOKUP('data cleaned'!D983,products!$A$1:$A$49,products!$E$1:$E$49,0)</f>
        <v>3.645</v>
      </c>
      <c r="M983" s="6">
        <f>'data cleaned'!E983*'data cleaned'!L983</f>
        <v>21.87</v>
      </c>
      <c r="N983" t="str">
        <f t="shared" si="30"/>
        <v>Excelsa</v>
      </c>
      <c r="O983" t="str">
        <f t="shared" si="31"/>
        <v>Dark</v>
      </c>
      <c r="P983" t="str">
        <f>_xlfn.XLOOKUP(worksheet[[#This Row],[Customer ID]],customers!$A$1:$A$1001,customers!$I$1:$I$1001,0)</f>
        <v>Yes</v>
      </c>
    </row>
    <row r="984" spans="1:16" x14ac:dyDescent="0.25">
      <c r="A984" s="2" t="s">
        <v>6041</v>
      </c>
      <c r="B984" s="4">
        <v>44785</v>
      </c>
      <c r="C984" s="2" t="s">
        <v>6042</v>
      </c>
      <c r="D984" t="s">
        <v>6179</v>
      </c>
      <c r="E984" s="2">
        <v>2</v>
      </c>
      <c r="F984" s="2" t="str">
        <f>_xlfn.XLOOKUP(C984,customers!$A$1:$A$1001,customers!$B$1:$B$1001,0)</f>
        <v>Kim Kemery</v>
      </c>
      <c r="G984" s="2" t="s">
        <v>6044</v>
      </c>
      <c r="H984" s="2" t="str">
        <f>_xlfn.XLOOKUP(C984,customers!$A$1:$A$1001,customers!$G$1:$G$1001,0)</f>
        <v>United States</v>
      </c>
      <c r="I984" t="str">
        <f>_xlfn.XLOOKUP(D984,products!$A$1:$A$49,products!$B$1:$B$49,0)</f>
        <v>Rob</v>
      </c>
      <c r="J984" t="str">
        <f>_xlfn.XLOOKUP('data cleaned'!D984,products!$A$1:$A$49,products!$C$1:$C$49,0)</f>
        <v>L</v>
      </c>
      <c r="K984" s="5">
        <f>_xlfn.XLOOKUP('data cleaned'!D984,products!$A$1:$A$49,products!$D$1:$D$49,0)</f>
        <v>1</v>
      </c>
      <c r="L984" s="6">
        <f>_xlfn.XLOOKUP('data cleaned'!D984,products!$A$1:$A$49,products!$E$1:$E$49,0)</f>
        <v>11.95</v>
      </c>
      <c r="M984" s="6">
        <f>'data cleaned'!E984*'data cleaned'!L984</f>
        <v>23.9</v>
      </c>
      <c r="N984" t="str">
        <f t="shared" si="30"/>
        <v>Robusta</v>
      </c>
      <c r="O984" t="str">
        <f t="shared" si="31"/>
        <v>Light</v>
      </c>
      <c r="P984" t="str">
        <f>_xlfn.XLOOKUP(worksheet[[#This Row],[Customer ID]],customers!$A$1:$A$1001,customers!$I$1:$I$1001,0)</f>
        <v>Yes</v>
      </c>
    </row>
    <row r="985" spans="1:16" x14ac:dyDescent="0.25">
      <c r="A985" s="2" t="s">
        <v>6047</v>
      </c>
      <c r="B985" s="4">
        <v>43831</v>
      </c>
      <c r="C985" s="2" t="s">
        <v>6048</v>
      </c>
      <c r="D985" t="s">
        <v>6152</v>
      </c>
      <c r="E985" s="2">
        <v>2</v>
      </c>
      <c r="F985" s="2" t="str">
        <f>_xlfn.XLOOKUP(C985,customers!$A$1:$A$1001,customers!$B$1:$B$1001,0)</f>
        <v>Fanchette Parlot</v>
      </c>
      <c r="G985" s="2" t="s">
        <v>6050</v>
      </c>
      <c r="H985" s="2" t="str">
        <f>_xlfn.XLOOKUP(C985,customers!$A$1:$A$1001,customers!$G$1:$G$1001,0)</f>
        <v>United States</v>
      </c>
      <c r="I985" t="str">
        <f>_xlfn.XLOOKUP(D985,products!$A$1:$A$49,products!$B$1:$B$49,0)</f>
        <v>Ara</v>
      </c>
      <c r="J985" t="str">
        <f>_xlfn.XLOOKUP('data cleaned'!D985,products!$A$1:$A$49,products!$C$1:$C$49,0)</f>
        <v>M</v>
      </c>
      <c r="K985" s="5">
        <f>_xlfn.XLOOKUP('data cleaned'!D985,products!$A$1:$A$49,products!$D$1:$D$49,0)</f>
        <v>0.2</v>
      </c>
      <c r="L985" s="6">
        <f>_xlfn.XLOOKUP('data cleaned'!D985,products!$A$1:$A$49,products!$E$1:$E$49,0)</f>
        <v>3.375</v>
      </c>
      <c r="M985" s="6">
        <f>'data cleaned'!E985*'data cleaned'!L985</f>
        <v>6.75</v>
      </c>
      <c r="N985" t="str">
        <f t="shared" si="30"/>
        <v>Arabica</v>
      </c>
      <c r="O985" t="str">
        <f t="shared" si="31"/>
        <v>Medium</v>
      </c>
      <c r="P985" t="str">
        <f>_xlfn.XLOOKUP(worksheet[[#This Row],[Customer ID]],customers!$A$1:$A$1001,customers!$I$1:$I$1001,0)</f>
        <v>Yes</v>
      </c>
    </row>
    <row r="986" spans="1:16" x14ac:dyDescent="0.25">
      <c r="A986" s="2" t="s">
        <v>6053</v>
      </c>
      <c r="B986" s="4">
        <v>44214</v>
      </c>
      <c r="C986" s="2" t="s">
        <v>6054</v>
      </c>
      <c r="D986" t="s">
        <v>6166</v>
      </c>
      <c r="E986" s="2">
        <v>1</v>
      </c>
      <c r="F986" s="2" t="str">
        <f>_xlfn.XLOOKUP(C986,customers!$A$1:$A$1001,customers!$B$1:$B$1001,0)</f>
        <v>Ramon Cheak</v>
      </c>
      <c r="G986" s="2" t="s">
        <v>6056</v>
      </c>
      <c r="H986" s="2" t="str">
        <f>_xlfn.XLOOKUP(C986,customers!$A$1:$A$1001,customers!$G$1:$G$1001,0)</f>
        <v>Ireland</v>
      </c>
      <c r="I986" t="str">
        <f>_xlfn.XLOOKUP(D986,products!$A$1:$A$49,products!$B$1:$B$49,0)</f>
        <v>Exc</v>
      </c>
      <c r="J986" t="str">
        <f>_xlfn.XLOOKUP('data cleaned'!D986,products!$A$1:$A$49,products!$C$1:$C$49,0)</f>
        <v>M</v>
      </c>
      <c r="K986" s="5">
        <f>_xlfn.XLOOKUP('data cleaned'!D986,products!$A$1:$A$49,products!$D$1:$D$49,0)</f>
        <v>2.5</v>
      </c>
      <c r="L986" s="6">
        <f>_xlfn.XLOOKUP('data cleaned'!D986,products!$A$1:$A$49,products!$E$1:$E$49,0)</f>
        <v>31.624999999999996</v>
      </c>
      <c r="M986" s="6">
        <f>'data cleaned'!E986*'data cleaned'!L986</f>
        <v>31.624999999999996</v>
      </c>
      <c r="N986" t="str">
        <f t="shared" si="30"/>
        <v>Excelsa</v>
      </c>
      <c r="O986" t="str">
        <f t="shared" si="31"/>
        <v>Medium</v>
      </c>
      <c r="P986" t="str">
        <f>_xlfn.XLOOKUP(worksheet[[#This Row],[Customer ID]],customers!$A$1:$A$1001,customers!$I$1:$I$1001,0)</f>
        <v>Yes</v>
      </c>
    </row>
    <row r="987" spans="1:16" x14ac:dyDescent="0.25">
      <c r="A987" s="2" t="s">
        <v>6058</v>
      </c>
      <c r="B987" s="4">
        <v>44561</v>
      </c>
      <c r="C987" s="2" t="s">
        <v>6059</v>
      </c>
      <c r="D987" t="s">
        <v>6179</v>
      </c>
      <c r="E987" s="2">
        <v>4</v>
      </c>
      <c r="F987" s="2" t="str">
        <f>_xlfn.XLOOKUP(C987,customers!$A$1:$A$1001,customers!$B$1:$B$1001,0)</f>
        <v>Koressa O'Geneay</v>
      </c>
      <c r="G987" s="2" t="s">
        <v>6061</v>
      </c>
      <c r="H987" s="2" t="str">
        <f>_xlfn.XLOOKUP(C987,customers!$A$1:$A$1001,customers!$G$1:$G$1001,0)</f>
        <v>United States</v>
      </c>
      <c r="I987" t="str">
        <f>_xlfn.XLOOKUP(D987,products!$A$1:$A$49,products!$B$1:$B$49,0)</f>
        <v>Rob</v>
      </c>
      <c r="J987" t="str">
        <f>_xlfn.XLOOKUP('data cleaned'!D987,products!$A$1:$A$49,products!$C$1:$C$49,0)</f>
        <v>L</v>
      </c>
      <c r="K987" s="5">
        <f>_xlfn.XLOOKUP('data cleaned'!D987,products!$A$1:$A$49,products!$D$1:$D$49,0)</f>
        <v>1</v>
      </c>
      <c r="L987" s="6">
        <f>_xlfn.XLOOKUP('data cleaned'!D987,products!$A$1:$A$49,products!$E$1:$E$49,0)</f>
        <v>11.95</v>
      </c>
      <c r="M987" s="6">
        <f>'data cleaned'!E987*'data cleaned'!L987</f>
        <v>47.8</v>
      </c>
      <c r="N987" t="str">
        <f t="shared" si="30"/>
        <v>Robusta</v>
      </c>
      <c r="O987" t="str">
        <f t="shared" si="31"/>
        <v>Light</v>
      </c>
      <c r="P987" t="str">
        <f>_xlfn.XLOOKUP(worksheet[[#This Row],[Customer ID]],customers!$A$1:$A$1001,customers!$I$1:$I$1001,0)</f>
        <v>No</v>
      </c>
    </row>
    <row r="988" spans="1:16" x14ac:dyDescent="0.25">
      <c r="A988" s="2" t="s">
        <v>6064</v>
      </c>
      <c r="B988" s="4">
        <v>43955</v>
      </c>
      <c r="C988" s="2" t="s">
        <v>6065</v>
      </c>
      <c r="D988" t="s">
        <v>6181</v>
      </c>
      <c r="E988" s="2">
        <v>1</v>
      </c>
      <c r="F988" s="2" t="str">
        <f>_xlfn.XLOOKUP(C988,customers!$A$1:$A$1001,customers!$B$1:$B$1001,0)</f>
        <v>Claudell Ayre</v>
      </c>
      <c r="G988" s="2" t="s">
        <v>6067</v>
      </c>
      <c r="H988" s="2" t="str">
        <f>_xlfn.XLOOKUP(C988,customers!$A$1:$A$1001,customers!$G$1:$G$1001,0)</f>
        <v>United States</v>
      </c>
      <c r="I988" t="str">
        <f>_xlfn.XLOOKUP(D988,products!$A$1:$A$49,products!$B$1:$B$49,0)</f>
        <v>Lib</v>
      </c>
      <c r="J988" t="str">
        <f>_xlfn.XLOOKUP('data cleaned'!D988,products!$A$1:$A$49,products!$C$1:$C$49,0)</f>
        <v>M</v>
      </c>
      <c r="K988" s="5">
        <f>_xlfn.XLOOKUP('data cleaned'!D988,products!$A$1:$A$49,products!$D$1:$D$49,0)</f>
        <v>2.5</v>
      </c>
      <c r="L988" s="6">
        <f>_xlfn.XLOOKUP('data cleaned'!D988,products!$A$1:$A$49,products!$E$1:$E$49,0)</f>
        <v>33.464999999999996</v>
      </c>
      <c r="M988" s="6">
        <f>'data cleaned'!E988*'data cleaned'!L988</f>
        <v>33.464999999999996</v>
      </c>
      <c r="N988" t="str">
        <f t="shared" si="30"/>
        <v>Liberica</v>
      </c>
      <c r="O988" t="str">
        <f t="shared" si="31"/>
        <v>Medium</v>
      </c>
      <c r="P988" t="str">
        <f>_xlfn.XLOOKUP(worksheet[[#This Row],[Customer ID]],customers!$A$1:$A$1001,customers!$I$1:$I$1001,0)</f>
        <v>No</v>
      </c>
    </row>
    <row r="989" spans="1:16" x14ac:dyDescent="0.25">
      <c r="A989" s="2" t="s">
        <v>6070</v>
      </c>
      <c r="B989" s="4">
        <v>44247</v>
      </c>
      <c r="C989" s="2" t="s">
        <v>6071</v>
      </c>
      <c r="D989" t="s">
        <v>6158</v>
      </c>
      <c r="E989" s="2">
        <v>5</v>
      </c>
      <c r="F989" s="2" t="str">
        <f>_xlfn.XLOOKUP(C989,customers!$A$1:$A$1001,customers!$B$1:$B$1001,0)</f>
        <v>Lorianne Kyneton</v>
      </c>
      <c r="G989" s="2" t="s">
        <v>6073</v>
      </c>
      <c r="H989" s="2" t="str">
        <f>_xlfn.XLOOKUP(C989,customers!$A$1:$A$1001,customers!$G$1:$G$1001,0)</f>
        <v>United Kingdom</v>
      </c>
      <c r="I989" t="str">
        <f>_xlfn.XLOOKUP(D989,products!$A$1:$A$49,products!$B$1:$B$49,0)</f>
        <v>Ara</v>
      </c>
      <c r="J989" t="str">
        <f>_xlfn.XLOOKUP('data cleaned'!D989,products!$A$1:$A$49,products!$C$1:$C$49,0)</f>
        <v>D</v>
      </c>
      <c r="K989" s="5">
        <f>_xlfn.XLOOKUP('data cleaned'!D989,products!$A$1:$A$49,products!$D$1:$D$49,0)</f>
        <v>0.5</v>
      </c>
      <c r="L989" s="6">
        <f>_xlfn.XLOOKUP('data cleaned'!D989,products!$A$1:$A$49,products!$E$1:$E$49,0)</f>
        <v>5.97</v>
      </c>
      <c r="M989" s="6">
        <f>'data cleaned'!E989*'data cleaned'!L989</f>
        <v>29.849999999999998</v>
      </c>
      <c r="N989" t="str">
        <f t="shared" si="30"/>
        <v>Arabica</v>
      </c>
      <c r="O989" t="str">
        <f t="shared" si="31"/>
        <v>Dark</v>
      </c>
      <c r="P989" t="str">
        <f>_xlfn.XLOOKUP(worksheet[[#This Row],[Customer ID]],customers!$A$1:$A$1001,customers!$I$1:$I$1001,0)</f>
        <v>Yes</v>
      </c>
    </row>
    <row r="990" spans="1:16" x14ac:dyDescent="0.25">
      <c r="A990" s="2" t="s">
        <v>6076</v>
      </c>
      <c r="B990" s="4">
        <v>43897</v>
      </c>
      <c r="C990" s="2" t="s">
        <v>6077</v>
      </c>
      <c r="D990" t="s">
        <v>6138</v>
      </c>
      <c r="E990" s="2">
        <v>3</v>
      </c>
      <c r="F990" s="2" t="str">
        <f>_xlfn.XLOOKUP(C990,customers!$A$1:$A$1001,customers!$B$1:$B$1001,0)</f>
        <v>Adele McFayden</v>
      </c>
      <c r="G990" s="2" t="s">
        <v>6222</v>
      </c>
      <c r="H990" s="2" t="str">
        <f>_xlfn.XLOOKUP(C990,customers!$A$1:$A$1001,customers!$G$1:$G$1001,0)</f>
        <v>United Kingdom</v>
      </c>
      <c r="I990" t="str">
        <f>_xlfn.XLOOKUP(D990,products!$A$1:$A$49,products!$B$1:$B$49,0)</f>
        <v>Rob</v>
      </c>
      <c r="J990" t="str">
        <f>_xlfn.XLOOKUP('data cleaned'!D990,products!$A$1:$A$49,products!$C$1:$C$49,0)</f>
        <v>M</v>
      </c>
      <c r="K990" s="5">
        <f>_xlfn.XLOOKUP('data cleaned'!D990,products!$A$1:$A$49,products!$D$1:$D$49,0)</f>
        <v>1</v>
      </c>
      <c r="L990" s="6">
        <f>_xlfn.XLOOKUP('data cleaned'!D990,products!$A$1:$A$49,products!$E$1:$E$49,0)</f>
        <v>9.9499999999999993</v>
      </c>
      <c r="M990" s="6">
        <f>'data cleaned'!E990*'data cleaned'!L990</f>
        <v>29.849999999999998</v>
      </c>
      <c r="N990" t="str">
        <f t="shared" si="30"/>
        <v>Robusta</v>
      </c>
      <c r="O990" t="str">
        <f t="shared" si="31"/>
        <v>Medium</v>
      </c>
      <c r="P990" t="str">
        <f>_xlfn.XLOOKUP(worksheet[[#This Row],[Customer ID]],customers!$A$1:$A$1001,customers!$I$1:$I$1001,0)</f>
        <v>Yes</v>
      </c>
    </row>
    <row r="991" spans="1:16" x14ac:dyDescent="0.25">
      <c r="A991" s="2" t="s">
        <v>6081</v>
      </c>
      <c r="B991" s="4">
        <v>43560</v>
      </c>
      <c r="C991" s="2" t="s">
        <v>6082</v>
      </c>
      <c r="D991" t="s">
        <v>6175</v>
      </c>
      <c r="E991" s="2">
        <v>6</v>
      </c>
      <c r="F991" s="2" t="str">
        <f>_xlfn.XLOOKUP(C991,customers!$A$1:$A$1001,customers!$B$1:$B$1001,0)</f>
        <v>Herta Layne</v>
      </c>
      <c r="G991" s="2" t="s">
        <v>6222</v>
      </c>
      <c r="H991" s="2" t="str">
        <f>_xlfn.XLOOKUP(C991,customers!$A$1:$A$1001,customers!$G$1:$G$1001,0)</f>
        <v>United States</v>
      </c>
      <c r="I991" t="str">
        <f>_xlfn.XLOOKUP(D991,products!$A$1:$A$49,products!$B$1:$B$49,0)</f>
        <v>Ara</v>
      </c>
      <c r="J991" t="str">
        <f>_xlfn.XLOOKUP('data cleaned'!D991,products!$A$1:$A$49,products!$C$1:$C$49,0)</f>
        <v>M</v>
      </c>
      <c r="K991" s="5">
        <f>_xlfn.XLOOKUP('data cleaned'!D991,products!$A$1:$A$49,products!$D$1:$D$49,0)</f>
        <v>2.5</v>
      </c>
      <c r="L991" s="6">
        <f>_xlfn.XLOOKUP('data cleaned'!D991,products!$A$1:$A$49,products!$E$1:$E$49,0)</f>
        <v>25.874999999999996</v>
      </c>
      <c r="M991" s="6">
        <f>'data cleaned'!E991*'data cleaned'!L991</f>
        <v>155.24999999999997</v>
      </c>
      <c r="N991" t="str">
        <f t="shared" si="30"/>
        <v>Arabica</v>
      </c>
      <c r="O991" t="str">
        <f t="shared" si="31"/>
        <v>Medium</v>
      </c>
      <c r="P991" t="str">
        <f>_xlfn.XLOOKUP(worksheet[[#This Row],[Customer ID]],customers!$A$1:$A$1001,customers!$I$1:$I$1001,0)</f>
        <v>Yes</v>
      </c>
    </row>
    <row r="992" spans="1:16" x14ac:dyDescent="0.25">
      <c r="A992" s="2" t="s">
        <v>6086</v>
      </c>
      <c r="B992" s="4">
        <v>44718</v>
      </c>
      <c r="C992" s="2" t="s">
        <v>6118</v>
      </c>
      <c r="D992" t="s">
        <v>6153</v>
      </c>
      <c r="E992" s="2">
        <v>5</v>
      </c>
      <c r="F992" s="2" t="str">
        <f>_xlfn.XLOOKUP(C992,customers!$A$1:$A$1001,customers!$B$1:$B$1001,0)</f>
        <v>Marguerite Graves</v>
      </c>
      <c r="G992" s="2" t="s">
        <v>6222</v>
      </c>
      <c r="H992" s="2" t="str">
        <f>_xlfn.XLOOKUP(C992,customers!$A$1:$A$1001,customers!$G$1:$G$1001,0)</f>
        <v>United States</v>
      </c>
      <c r="I992" t="str">
        <f>_xlfn.XLOOKUP(D992,products!$A$1:$A$49,products!$B$1:$B$49,0)</f>
        <v>Exc</v>
      </c>
      <c r="J992" t="str">
        <f>_xlfn.XLOOKUP('data cleaned'!D992,products!$A$1:$A$49,products!$C$1:$C$49,0)</f>
        <v>D</v>
      </c>
      <c r="K992" s="5">
        <f>_xlfn.XLOOKUP('data cleaned'!D992,products!$A$1:$A$49,products!$D$1:$D$49,0)</f>
        <v>0.2</v>
      </c>
      <c r="L992" s="6">
        <f>_xlfn.XLOOKUP('data cleaned'!D992,products!$A$1:$A$49,products!$E$1:$E$49,0)</f>
        <v>3.645</v>
      </c>
      <c r="M992" s="6">
        <f>'data cleaned'!E992*'data cleaned'!L992</f>
        <v>18.225000000000001</v>
      </c>
      <c r="N992" t="str">
        <f t="shared" si="30"/>
        <v>Excelsa</v>
      </c>
      <c r="O992" t="str">
        <f t="shared" si="31"/>
        <v>Dark</v>
      </c>
      <c r="P992" t="str">
        <f>_xlfn.XLOOKUP(worksheet[[#This Row],[Customer ID]],customers!$A$1:$A$1001,customers!$I$1:$I$1001,0)</f>
        <v>No</v>
      </c>
    </row>
    <row r="993" spans="1:16" x14ac:dyDescent="0.25">
      <c r="A993" s="2" t="s">
        <v>6086</v>
      </c>
      <c r="B993" s="4">
        <v>44718</v>
      </c>
      <c r="C993" s="2" t="s">
        <v>6118</v>
      </c>
      <c r="D993" t="s">
        <v>6169</v>
      </c>
      <c r="E993" s="2">
        <v>2</v>
      </c>
      <c r="F993" s="2" t="str">
        <f>_xlfn.XLOOKUP(C993,customers!$A$1:$A$1001,customers!$B$1:$B$1001,0)</f>
        <v>Marguerite Graves</v>
      </c>
      <c r="G993" s="2" t="s">
        <v>6222</v>
      </c>
      <c r="H993" s="2" t="str">
        <f>_xlfn.XLOOKUP(C993,customers!$A$1:$A$1001,customers!$G$1:$G$1001,0)</f>
        <v>United States</v>
      </c>
      <c r="I993" t="str">
        <f>_xlfn.XLOOKUP(D993,products!$A$1:$A$49,products!$B$1:$B$49,0)</f>
        <v>Lib</v>
      </c>
      <c r="J993" t="str">
        <f>_xlfn.XLOOKUP('data cleaned'!D993,products!$A$1:$A$49,products!$C$1:$C$49,0)</f>
        <v>D</v>
      </c>
      <c r="K993" s="5">
        <f>_xlfn.XLOOKUP('data cleaned'!D993,products!$A$1:$A$49,products!$D$1:$D$49,0)</f>
        <v>0.5</v>
      </c>
      <c r="L993" s="6">
        <f>_xlfn.XLOOKUP('data cleaned'!D993,products!$A$1:$A$49,products!$E$1:$E$49,0)</f>
        <v>7.77</v>
      </c>
      <c r="M993" s="6">
        <f>'data cleaned'!E993*'data cleaned'!L993</f>
        <v>15.54</v>
      </c>
      <c r="N993" t="str">
        <f t="shared" si="30"/>
        <v>Liberica</v>
      </c>
      <c r="O993" t="str">
        <f t="shared" si="31"/>
        <v>Dark</v>
      </c>
      <c r="P993" t="str">
        <f>_xlfn.XLOOKUP(worksheet[[#This Row],[Customer ID]],customers!$A$1:$A$1001,customers!$I$1:$I$1001,0)</f>
        <v>No</v>
      </c>
    </row>
    <row r="994" spans="1:16" x14ac:dyDescent="0.25">
      <c r="A994" s="2" t="s">
        <v>6096</v>
      </c>
      <c r="B994" s="4">
        <v>44276</v>
      </c>
      <c r="C994" s="2" t="s">
        <v>6097</v>
      </c>
      <c r="D994" t="s">
        <v>6164</v>
      </c>
      <c r="E994" s="2">
        <v>3</v>
      </c>
      <c r="F994" s="2" t="str">
        <f>_xlfn.XLOOKUP(C994,customers!$A$1:$A$1001,customers!$B$1:$B$1001,0)</f>
        <v>Desdemona Eye</v>
      </c>
      <c r="G994" s="2" t="s">
        <v>6222</v>
      </c>
      <c r="H994" s="2" t="str">
        <f>_xlfn.XLOOKUP(C994,customers!$A$1:$A$1001,customers!$G$1:$G$1001,0)</f>
        <v>Ireland</v>
      </c>
      <c r="I994" t="str">
        <f>_xlfn.XLOOKUP(D994,products!$A$1:$A$49,products!$B$1:$B$49,0)</f>
        <v>Lib</v>
      </c>
      <c r="J994" t="str">
        <f>_xlfn.XLOOKUP('data cleaned'!D994,products!$A$1:$A$49,products!$C$1:$C$49,0)</f>
        <v>L</v>
      </c>
      <c r="K994" s="5">
        <f>_xlfn.XLOOKUP('data cleaned'!D994,products!$A$1:$A$49,products!$D$1:$D$49,0)</f>
        <v>2.5</v>
      </c>
      <c r="L994" s="6">
        <f>_xlfn.XLOOKUP('data cleaned'!D994,products!$A$1:$A$49,products!$E$1:$E$49,0)</f>
        <v>36.454999999999998</v>
      </c>
      <c r="M994" s="6">
        <f>'data cleaned'!E994*'data cleaned'!L994</f>
        <v>109.36499999999999</v>
      </c>
      <c r="N994" t="str">
        <f t="shared" si="30"/>
        <v>Liberica</v>
      </c>
      <c r="O994" t="str">
        <f t="shared" si="31"/>
        <v>Light</v>
      </c>
      <c r="P994" t="str">
        <f>_xlfn.XLOOKUP(worksheet[[#This Row],[Customer ID]],customers!$A$1:$A$1001,customers!$I$1:$I$1001,0)</f>
        <v>No</v>
      </c>
    </row>
    <row r="995" spans="1:16" x14ac:dyDescent="0.25">
      <c r="A995" s="2" t="s">
        <v>6101</v>
      </c>
      <c r="B995" s="4">
        <v>44549</v>
      </c>
      <c r="C995" s="2" t="s">
        <v>6102</v>
      </c>
      <c r="D995" t="s">
        <v>6140</v>
      </c>
      <c r="E995" s="2">
        <v>6</v>
      </c>
      <c r="F995" s="2" t="str">
        <f>_xlfn.XLOOKUP(C995,customers!$A$1:$A$1001,customers!$B$1:$B$1001,0)</f>
        <v>Margarette Sterland</v>
      </c>
      <c r="G995" s="2" t="s">
        <v>6222</v>
      </c>
      <c r="H995" s="2" t="str">
        <f>_xlfn.XLOOKUP(C995,customers!$A$1:$A$1001,customers!$G$1:$G$1001,0)</f>
        <v>United States</v>
      </c>
      <c r="I995" t="str">
        <f>_xlfn.XLOOKUP(D995,products!$A$1:$A$49,products!$B$1:$B$49,0)</f>
        <v>Ara</v>
      </c>
      <c r="J995" t="str">
        <f>_xlfn.XLOOKUP('data cleaned'!D995,products!$A$1:$A$49,products!$C$1:$C$49,0)</f>
        <v>L</v>
      </c>
      <c r="K995" s="5">
        <f>_xlfn.XLOOKUP('data cleaned'!D995,products!$A$1:$A$49,products!$D$1:$D$49,0)</f>
        <v>1</v>
      </c>
      <c r="L995" s="6">
        <f>_xlfn.XLOOKUP('data cleaned'!D995,products!$A$1:$A$49,products!$E$1:$E$49,0)</f>
        <v>12.95</v>
      </c>
      <c r="M995" s="6">
        <f>'data cleaned'!E995*'data cleaned'!L995</f>
        <v>77.699999999999989</v>
      </c>
      <c r="N995" t="str">
        <f t="shared" si="30"/>
        <v>Arabica</v>
      </c>
      <c r="O995" t="str">
        <f t="shared" si="31"/>
        <v>Light</v>
      </c>
      <c r="P995" t="str">
        <f>_xlfn.XLOOKUP(worksheet[[#This Row],[Customer ID]],customers!$A$1:$A$1001,customers!$I$1:$I$1001,0)</f>
        <v>No</v>
      </c>
    </row>
    <row r="996" spans="1:16" x14ac:dyDescent="0.25">
      <c r="A996" s="2" t="s">
        <v>6106</v>
      </c>
      <c r="B996" s="4">
        <v>44244</v>
      </c>
      <c r="C996" s="2" t="s">
        <v>6107</v>
      </c>
      <c r="D996" t="s">
        <v>6154</v>
      </c>
      <c r="E996" s="2">
        <v>3</v>
      </c>
      <c r="F996" s="2" t="str">
        <f>_xlfn.XLOOKUP(C996,customers!$A$1:$A$1001,customers!$B$1:$B$1001,0)</f>
        <v>Catharine Scoines</v>
      </c>
      <c r="G996" s="2" t="s">
        <v>6222</v>
      </c>
      <c r="H996" s="2" t="str">
        <f>_xlfn.XLOOKUP(C996,customers!$A$1:$A$1001,customers!$G$1:$G$1001,0)</f>
        <v>Ireland</v>
      </c>
      <c r="I996" t="str">
        <f>_xlfn.XLOOKUP(D996,products!$A$1:$A$49,products!$B$1:$B$49,0)</f>
        <v>Ara</v>
      </c>
      <c r="J996" t="str">
        <f>_xlfn.XLOOKUP('data cleaned'!D996,products!$A$1:$A$49,products!$C$1:$C$49,0)</f>
        <v>D</v>
      </c>
      <c r="K996" s="5">
        <f>_xlfn.XLOOKUP('data cleaned'!D996,products!$A$1:$A$49,products!$D$1:$D$49,0)</f>
        <v>0.2</v>
      </c>
      <c r="L996" s="6">
        <f>_xlfn.XLOOKUP('data cleaned'!D996,products!$A$1:$A$49,products!$E$1:$E$49,0)</f>
        <v>2.9849999999999999</v>
      </c>
      <c r="M996" s="6">
        <f>'data cleaned'!E996*'data cleaned'!L996</f>
        <v>8.9550000000000001</v>
      </c>
      <c r="N996" t="str">
        <f t="shared" si="30"/>
        <v>Arabica</v>
      </c>
      <c r="O996" t="str">
        <f t="shared" si="31"/>
        <v>Dark</v>
      </c>
      <c r="P996" t="str">
        <f>_xlfn.XLOOKUP(worksheet[[#This Row],[Customer ID]],customers!$A$1:$A$1001,customers!$I$1:$I$1001,0)</f>
        <v>No</v>
      </c>
    </row>
    <row r="997" spans="1:16" x14ac:dyDescent="0.25">
      <c r="A997" s="2" t="s">
        <v>6111</v>
      </c>
      <c r="B997" s="4">
        <v>43836</v>
      </c>
      <c r="C997" s="2" t="s">
        <v>6112</v>
      </c>
      <c r="D997" t="s">
        <v>6142</v>
      </c>
      <c r="E997" s="2">
        <v>1</v>
      </c>
      <c r="F997" s="2" t="str">
        <f>_xlfn.XLOOKUP(C997,customers!$A$1:$A$1001,customers!$B$1:$B$1001,0)</f>
        <v>Jennica Tewelson</v>
      </c>
      <c r="G997" s="2" t="s">
        <v>6114</v>
      </c>
      <c r="H997" s="2" t="str">
        <f>_xlfn.XLOOKUP(C997,customers!$A$1:$A$1001,customers!$G$1:$G$1001,0)</f>
        <v>United States</v>
      </c>
      <c r="I997" t="str">
        <f>_xlfn.XLOOKUP(D997,products!$A$1:$A$49,products!$B$1:$B$49,0)</f>
        <v>Rob</v>
      </c>
      <c r="J997" t="str">
        <f>_xlfn.XLOOKUP('data cleaned'!D997,products!$A$1:$A$49,products!$C$1:$C$49,0)</f>
        <v>L</v>
      </c>
      <c r="K997" s="5">
        <f>_xlfn.XLOOKUP('data cleaned'!D997,products!$A$1:$A$49,products!$D$1:$D$49,0)</f>
        <v>2.5</v>
      </c>
      <c r="L997" s="6">
        <f>_xlfn.XLOOKUP('data cleaned'!D997,products!$A$1:$A$49,products!$E$1:$E$49,0)</f>
        <v>27.484999999999996</v>
      </c>
      <c r="M997" s="6">
        <f>'data cleaned'!E997*'data cleaned'!L997</f>
        <v>27.484999999999996</v>
      </c>
      <c r="N997" t="str">
        <f t="shared" si="30"/>
        <v>Robusta</v>
      </c>
      <c r="O997" t="str">
        <f t="shared" si="31"/>
        <v>Light</v>
      </c>
      <c r="P997" t="str">
        <f>_xlfn.XLOOKUP(worksheet[[#This Row],[Customer ID]],customers!$A$1:$A$1001,customers!$I$1:$I$1001,0)</f>
        <v>No</v>
      </c>
    </row>
    <row r="998" spans="1:16" x14ac:dyDescent="0.25">
      <c r="A998" s="2" t="s">
        <v>6117</v>
      </c>
      <c r="B998" s="4">
        <v>44685</v>
      </c>
      <c r="C998" s="2" t="s">
        <v>6118</v>
      </c>
      <c r="D998" t="s">
        <v>6146</v>
      </c>
      <c r="E998" s="2">
        <v>5</v>
      </c>
      <c r="F998" s="2" t="str">
        <f>_xlfn.XLOOKUP(C998,customers!$A$1:$A$1001,customers!$B$1:$B$1001,0)</f>
        <v>Marguerite Graves</v>
      </c>
      <c r="G998" s="2" t="s">
        <v>6222</v>
      </c>
      <c r="H998" s="2" t="str">
        <f>_xlfn.XLOOKUP(C998,customers!$A$1:$A$1001,customers!$G$1:$G$1001,0)</f>
        <v>United States</v>
      </c>
      <c r="I998" t="str">
        <f>_xlfn.XLOOKUP(D998,products!$A$1:$A$49,products!$B$1:$B$49,0)</f>
        <v>Rob</v>
      </c>
      <c r="J998" t="str">
        <f>_xlfn.XLOOKUP('data cleaned'!D998,products!$A$1:$A$49,products!$C$1:$C$49,0)</f>
        <v>M</v>
      </c>
      <c r="K998" s="5">
        <f>_xlfn.XLOOKUP('data cleaned'!D998,products!$A$1:$A$49,products!$D$1:$D$49,0)</f>
        <v>0.5</v>
      </c>
      <c r="L998" s="6">
        <f>_xlfn.XLOOKUP('data cleaned'!D998,products!$A$1:$A$49,products!$E$1:$E$49,0)</f>
        <v>5.97</v>
      </c>
      <c r="M998" s="6">
        <f>'data cleaned'!E998*'data cleaned'!L998</f>
        <v>29.849999999999998</v>
      </c>
      <c r="N998" t="str">
        <f t="shared" si="30"/>
        <v>Robusta</v>
      </c>
      <c r="O998" t="str">
        <f t="shared" si="31"/>
        <v>Medium</v>
      </c>
      <c r="P998" t="str">
        <f>_xlfn.XLOOKUP(worksheet[[#This Row],[Customer ID]],customers!$A$1:$A$1001,customers!$I$1:$I$1001,0)</f>
        <v>No</v>
      </c>
    </row>
    <row r="999" spans="1:16" x14ac:dyDescent="0.25">
      <c r="A999" s="2" t="s">
        <v>6122</v>
      </c>
      <c r="B999" s="4">
        <v>43749</v>
      </c>
      <c r="C999" s="2" t="s">
        <v>6118</v>
      </c>
      <c r="D999" t="s">
        <v>6157</v>
      </c>
      <c r="E999" s="2">
        <v>4</v>
      </c>
      <c r="F999" s="2" t="str">
        <f>_xlfn.XLOOKUP(C999,customers!$A$1:$A$1001,customers!$B$1:$B$1001,0)</f>
        <v>Marguerite Graves</v>
      </c>
      <c r="G999" s="2" t="s">
        <v>6222</v>
      </c>
      <c r="H999" s="2" t="str">
        <f>_xlfn.XLOOKUP(C999,customers!$A$1:$A$1001,customers!$G$1:$G$1001,0)</f>
        <v>United States</v>
      </c>
      <c r="I999" t="str">
        <f>_xlfn.XLOOKUP(D999,products!$A$1:$A$49,products!$B$1:$B$49,0)</f>
        <v>Ara</v>
      </c>
      <c r="J999" t="str">
        <f>_xlfn.XLOOKUP('data cleaned'!D999,products!$A$1:$A$49,products!$C$1:$C$49,0)</f>
        <v>M</v>
      </c>
      <c r="K999" s="5">
        <f>_xlfn.XLOOKUP('data cleaned'!D999,products!$A$1:$A$49,products!$D$1:$D$49,0)</f>
        <v>0.5</v>
      </c>
      <c r="L999" s="6">
        <f>_xlfn.XLOOKUP('data cleaned'!D999,products!$A$1:$A$49,products!$E$1:$E$49,0)</f>
        <v>6.75</v>
      </c>
      <c r="M999" s="6">
        <f>'data cleaned'!E999*'data cleaned'!L999</f>
        <v>27</v>
      </c>
      <c r="N999" t="str">
        <f t="shared" si="30"/>
        <v>Arabica</v>
      </c>
      <c r="O999" t="str">
        <f t="shared" si="31"/>
        <v>Medium</v>
      </c>
      <c r="P999" t="str">
        <f>_xlfn.XLOOKUP(worksheet[[#This Row],[Customer ID]],customers!$A$1:$A$1001,customers!$I$1:$I$1001,0)</f>
        <v>No</v>
      </c>
    </row>
    <row r="1000" spans="1:16" x14ac:dyDescent="0.25">
      <c r="A1000" s="2" t="s">
        <v>6127</v>
      </c>
      <c r="B1000" s="4">
        <v>44411</v>
      </c>
      <c r="C1000" s="2" t="s">
        <v>6128</v>
      </c>
      <c r="D1000" t="s">
        <v>6147</v>
      </c>
      <c r="E1000" s="2">
        <v>1</v>
      </c>
      <c r="F1000" s="2" t="str">
        <f>_xlfn.XLOOKUP(C1000,customers!$A$1:$A$1001,customers!$B$1:$B$1001,0)</f>
        <v>Nicolina Jenny</v>
      </c>
      <c r="G1000" s="2" t="s">
        <v>6130</v>
      </c>
      <c r="H1000" s="2" t="str">
        <f>_xlfn.XLOOKUP(C1000,customers!$A$1:$A$1001,customers!$G$1:$G$1001,0)</f>
        <v>United States</v>
      </c>
      <c r="I1000" t="str">
        <f>_xlfn.XLOOKUP(D1000,products!$A$1:$A$49,products!$B$1:$B$49,0)</f>
        <v>Ara</v>
      </c>
      <c r="J1000" t="str">
        <f>_xlfn.XLOOKUP('data cleaned'!D1000,products!$A$1:$A$49,products!$C$1:$C$49,0)</f>
        <v>D</v>
      </c>
      <c r="K1000" s="5">
        <f>_xlfn.XLOOKUP('data cleaned'!D1000,products!$A$1:$A$49,products!$D$1:$D$49,0)</f>
        <v>1</v>
      </c>
      <c r="L1000" s="6">
        <f>_xlfn.XLOOKUP('data cleaned'!D1000,products!$A$1:$A$49,products!$E$1:$E$49,0)</f>
        <v>9.9499999999999993</v>
      </c>
      <c r="M1000" s="6">
        <f>'data cleaned'!E1000*'data cleaned'!L1000</f>
        <v>9.9499999999999993</v>
      </c>
      <c r="N1000" t="str">
        <f t="shared" si="30"/>
        <v>Arabica</v>
      </c>
      <c r="O1000" t="str">
        <f t="shared" si="31"/>
        <v>Dark</v>
      </c>
      <c r="P1000" t="str">
        <f>_xlfn.XLOOKUP(worksheet[[#This Row],[Customer ID]],customers!$A$1:$A$1001,customers!$I$1:$I$1001,0)</f>
        <v>No</v>
      </c>
    </row>
    <row r="1001" spans="1:16" x14ac:dyDescent="0.25">
      <c r="A1001" s="2" t="s">
        <v>6133</v>
      </c>
      <c r="B1001" s="4">
        <v>44119</v>
      </c>
      <c r="C1001" s="2" t="s">
        <v>6134</v>
      </c>
      <c r="D1001" t="s">
        <v>6156</v>
      </c>
      <c r="E1001" s="2">
        <v>3</v>
      </c>
      <c r="F1001" s="2" t="str">
        <f>_xlfn.XLOOKUP(C1001,customers!$A$1:$A$1001,customers!$B$1:$B$1001,0)</f>
        <v>Vidovic Antonelli</v>
      </c>
      <c r="G1001" s="2" t="s">
        <v>6222</v>
      </c>
      <c r="H1001" s="2" t="str">
        <f>_xlfn.XLOOKUP(C1001,customers!$A$1:$A$1001,customers!$G$1:$G$1001,0)</f>
        <v>United Kingdom</v>
      </c>
      <c r="I1001" t="str">
        <f>_xlfn.XLOOKUP(D1001,products!$A$1:$A$49,products!$B$1:$B$49,0)</f>
        <v>Exc</v>
      </c>
      <c r="J1001" t="str">
        <f>_xlfn.XLOOKUP('data cleaned'!D1001,products!$A$1:$A$49,products!$C$1:$C$49,0)</f>
        <v>M</v>
      </c>
      <c r="K1001" s="5">
        <f>_xlfn.XLOOKUP('data cleaned'!D1001,products!$A$1:$A$49,products!$D$1:$D$49,0)</f>
        <v>0.2</v>
      </c>
      <c r="L1001" s="6">
        <f>_xlfn.XLOOKUP('data cleaned'!D1001,products!$A$1:$A$49,products!$E$1:$E$49,0)</f>
        <v>4.125</v>
      </c>
      <c r="M1001" s="6">
        <f>'data cleaned'!E1001*'data cleaned'!L1001</f>
        <v>12.375</v>
      </c>
      <c r="N1001" t="str">
        <f t="shared" si="30"/>
        <v>Excelsa</v>
      </c>
      <c r="O1001" t="str">
        <f t="shared" si="31"/>
        <v>Medium</v>
      </c>
      <c r="P1001" t="str">
        <f>_xlfn.XLOOKUP(worksheet[[#This Row],[Customer ID]],customers!$A$1:$A$1001,customers!$I$1:$I$1001,0)</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6013-3E5C-444C-9F99-FD0C6D254246}">
  <dimension ref="A1:G71"/>
  <sheetViews>
    <sheetView topLeftCell="A37" workbookViewId="0">
      <selection activeCell="C47" sqref="C47"/>
    </sheetView>
  </sheetViews>
  <sheetFormatPr defaultRowHeight="15" x14ac:dyDescent="0.25"/>
  <cols>
    <col min="1" max="1" width="16.7109375" bestFit="1" customWidth="1"/>
    <col min="2" max="2" width="12.140625" bestFit="1" customWidth="1"/>
    <col min="3" max="6" width="20" bestFit="1" customWidth="1"/>
    <col min="7" max="7" width="11.28515625" bestFit="1" customWidth="1"/>
  </cols>
  <sheetData>
    <row r="1" spans="1:7" x14ac:dyDescent="0.25">
      <c r="A1" s="7" t="s">
        <v>6221</v>
      </c>
      <c r="C1" s="7" t="s">
        <v>6196</v>
      </c>
    </row>
    <row r="2" spans="1:7" x14ac:dyDescent="0.25">
      <c r="A2" s="7" t="s">
        <v>6216</v>
      </c>
      <c r="B2" s="7" t="s">
        <v>1</v>
      </c>
      <c r="C2" t="s">
        <v>6217</v>
      </c>
      <c r="D2" t="s">
        <v>6218</v>
      </c>
      <c r="E2" t="s">
        <v>6219</v>
      </c>
      <c r="F2" t="s">
        <v>6220</v>
      </c>
      <c r="G2" t="s">
        <v>6199</v>
      </c>
    </row>
    <row r="3" spans="1:7" x14ac:dyDescent="0.25">
      <c r="A3" t="s">
        <v>6204</v>
      </c>
      <c r="B3" s="9" t="s">
        <v>6205</v>
      </c>
      <c r="C3" s="11"/>
      <c r="D3" s="11">
        <v>107.72999999999999</v>
      </c>
      <c r="E3" s="11">
        <v>95.1</v>
      </c>
      <c r="F3" s="11">
        <v>11.94</v>
      </c>
      <c r="G3" s="11">
        <v>214.76999999999998</v>
      </c>
    </row>
    <row r="4" spans="1:7" x14ac:dyDescent="0.25">
      <c r="B4" s="9" t="s">
        <v>6208</v>
      </c>
      <c r="C4" s="11">
        <v>162.125</v>
      </c>
      <c r="D4" s="11">
        <v>88.21</v>
      </c>
      <c r="E4" s="11">
        <v>314.89999999999992</v>
      </c>
      <c r="F4" s="11">
        <v>100.23999999999998</v>
      </c>
      <c r="G4" s="11">
        <v>665.47499999999991</v>
      </c>
    </row>
    <row r="5" spans="1:7" x14ac:dyDescent="0.25">
      <c r="B5" s="9" t="s">
        <v>6213</v>
      </c>
      <c r="C5" s="11"/>
      <c r="D5" s="11">
        <v>159.57999999999998</v>
      </c>
      <c r="E5" s="11">
        <v>75.69</v>
      </c>
      <c r="F5" s="11">
        <v>89.299999999999983</v>
      </c>
      <c r="G5" s="11">
        <v>324.56999999999994</v>
      </c>
    </row>
    <row r="6" spans="1:7" x14ac:dyDescent="0.25">
      <c r="B6" s="9" t="s">
        <v>6210</v>
      </c>
      <c r="C6" s="11">
        <v>242.36999999999998</v>
      </c>
      <c r="D6" s="11">
        <v>499.90499999999992</v>
      </c>
      <c r="E6" s="11">
        <v>104.65</v>
      </c>
      <c r="F6" s="11">
        <v>137.33999999999997</v>
      </c>
      <c r="G6" s="11">
        <v>984.26499999999987</v>
      </c>
    </row>
    <row r="7" spans="1:7" x14ac:dyDescent="0.25">
      <c r="B7" s="9" t="s">
        <v>6209</v>
      </c>
      <c r="C7" s="11"/>
      <c r="D7" s="11">
        <v>75.734999999999999</v>
      </c>
      <c r="E7" s="11">
        <v>193.83499999999998</v>
      </c>
      <c r="F7" s="11">
        <v>68.039999999999992</v>
      </c>
      <c r="G7" s="11">
        <v>337.61</v>
      </c>
    </row>
    <row r="8" spans="1:7" x14ac:dyDescent="0.25">
      <c r="B8" s="9" t="s">
        <v>6201</v>
      </c>
      <c r="C8" s="11">
        <v>163.01999999999998</v>
      </c>
      <c r="D8" s="11">
        <v>130.625</v>
      </c>
      <c r="E8" s="11">
        <v>46.769999999999996</v>
      </c>
      <c r="F8" s="11">
        <v>281.52</v>
      </c>
      <c r="G8" s="11">
        <v>621.93499999999995</v>
      </c>
    </row>
    <row r="9" spans="1:7" x14ac:dyDescent="0.25">
      <c r="B9" s="9" t="s">
        <v>6207</v>
      </c>
      <c r="C9" s="11">
        <v>175.06999999999996</v>
      </c>
      <c r="D9" s="11">
        <v>55.19</v>
      </c>
      <c r="E9" s="11">
        <v>12.95</v>
      </c>
      <c r="F9" s="11">
        <v>59.699999999999996</v>
      </c>
      <c r="G9" s="11">
        <v>302.90999999999997</v>
      </c>
    </row>
    <row r="10" spans="1:7" x14ac:dyDescent="0.25">
      <c r="B10" s="9" t="s">
        <v>6214</v>
      </c>
      <c r="C10" s="11">
        <v>121.21499999999997</v>
      </c>
      <c r="D10" s="11">
        <v>29.7</v>
      </c>
      <c r="E10" s="11"/>
      <c r="F10" s="11">
        <v>43.019999999999996</v>
      </c>
      <c r="G10" s="11">
        <v>193.93499999999995</v>
      </c>
    </row>
    <row r="11" spans="1:7" x14ac:dyDescent="0.25">
      <c r="B11" s="9" t="s">
        <v>6211</v>
      </c>
      <c r="C11" s="11"/>
      <c r="D11" s="11">
        <v>130.35</v>
      </c>
      <c r="E11" s="11">
        <v>210.72499999999997</v>
      </c>
      <c r="F11" s="11">
        <v>457.07999999999993</v>
      </c>
      <c r="G11" s="11">
        <v>798.15499999999986</v>
      </c>
    </row>
    <row r="12" spans="1:7" x14ac:dyDescent="0.25">
      <c r="B12" s="9" t="s">
        <v>6203</v>
      </c>
      <c r="C12" s="11">
        <v>114.00999999999999</v>
      </c>
      <c r="D12" s="11">
        <v>39.69</v>
      </c>
      <c r="E12" s="11">
        <v>161.16499999999999</v>
      </c>
      <c r="F12" s="11"/>
      <c r="G12" s="11">
        <v>314.86500000000001</v>
      </c>
    </row>
    <row r="13" spans="1:7" x14ac:dyDescent="0.25">
      <c r="B13" s="9" t="s">
        <v>6215</v>
      </c>
      <c r="C13" s="11">
        <v>245.33499999999998</v>
      </c>
      <c r="D13" s="11">
        <v>63.249999999999993</v>
      </c>
      <c r="E13" s="11">
        <v>126.49999999999999</v>
      </c>
      <c r="F13" s="11">
        <v>73.125</v>
      </c>
      <c r="G13" s="11">
        <v>508.21</v>
      </c>
    </row>
    <row r="14" spans="1:7" x14ac:dyDescent="0.25">
      <c r="B14" s="9" t="s">
        <v>6212</v>
      </c>
      <c r="C14" s="11">
        <v>17.384999999999998</v>
      </c>
      <c r="D14" s="11">
        <v>321.58499999999992</v>
      </c>
      <c r="E14" s="11">
        <v>137.85</v>
      </c>
      <c r="F14" s="11">
        <v>152.035</v>
      </c>
      <c r="G14" s="11">
        <v>628.8549999999999</v>
      </c>
    </row>
    <row r="15" spans="1:7" x14ac:dyDescent="0.25">
      <c r="A15" t="s">
        <v>6202</v>
      </c>
      <c r="B15" s="9" t="s">
        <v>6205</v>
      </c>
      <c r="C15" s="11">
        <v>47.25</v>
      </c>
      <c r="D15" s="11">
        <v>10.935</v>
      </c>
      <c r="E15" s="11">
        <v>231.88</v>
      </c>
      <c r="F15" s="11">
        <v>21.495000000000001</v>
      </c>
      <c r="G15" s="11">
        <v>311.56</v>
      </c>
    </row>
    <row r="16" spans="1:7" x14ac:dyDescent="0.25">
      <c r="B16" s="9" t="s">
        <v>6208</v>
      </c>
      <c r="C16" s="11">
        <v>5.97</v>
      </c>
      <c r="D16" s="11">
        <v>94.55</v>
      </c>
      <c r="E16" s="11">
        <v>73.740000000000009</v>
      </c>
      <c r="F16" s="11">
        <v>27.15</v>
      </c>
      <c r="G16" s="11">
        <v>201.41</v>
      </c>
    </row>
    <row r="17" spans="1:7" x14ac:dyDescent="0.25">
      <c r="B17" s="9" t="s">
        <v>6213</v>
      </c>
      <c r="C17" s="11">
        <v>63.81</v>
      </c>
      <c r="D17" s="11">
        <v>186.03</v>
      </c>
      <c r="E17" s="11">
        <v>200.345</v>
      </c>
      <c r="F17" s="11">
        <v>65.67</v>
      </c>
      <c r="G17" s="11">
        <v>515.85500000000002</v>
      </c>
    </row>
    <row r="18" spans="1:7" x14ac:dyDescent="0.25">
      <c r="B18" s="9" t="s">
        <v>6210</v>
      </c>
      <c r="C18" s="11"/>
      <c r="D18" s="11">
        <v>269.49999999999994</v>
      </c>
      <c r="E18" s="11">
        <v>23.774999999999999</v>
      </c>
      <c r="F18" s="11">
        <v>125.61499999999998</v>
      </c>
      <c r="G18" s="11">
        <v>418.88999999999987</v>
      </c>
    </row>
    <row r="19" spans="1:7" x14ac:dyDescent="0.25">
      <c r="B19" s="9" t="s">
        <v>6209</v>
      </c>
      <c r="C19" s="11">
        <v>215.31499999999997</v>
      </c>
      <c r="D19" s="11">
        <v>296.05500000000001</v>
      </c>
      <c r="E19" s="11">
        <v>23.774999999999999</v>
      </c>
      <c r="F19" s="11">
        <v>14.924999999999999</v>
      </c>
      <c r="G19" s="11">
        <v>550.06999999999994</v>
      </c>
    </row>
    <row r="20" spans="1:7" x14ac:dyDescent="0.25">
      <c r="B20" s="9" t="s">
        <v>6201</v>
      </c>
      <c r="C20" s="11">
        <v>240.74999999999997</v>
      </c>
      <c r="D20" s="11">
        <v>165.71499999999997</v>
      </c>
      <c r="E20" s="11">
        <v>212.42499999999998</v>
      </c>
      <c r="F20" s="11">
        <v>140.88</v>
      </c>
      <c r="G20" s="11">
        <v>759.76999999999987</v>
      </c>
    </row>
    <row r="21" spans="1:7" x14ac:dyDescent="0.25">
      <c r="B21" s="9" t="s">
        <v>6207</v>
      </c>
      <c r="C21" s="11">
        <v>351.14999999999992</v>
      </c>
      <c r="D21" s="11">
        <v>117.425</v>
      </c>
      <c r="E21" s="11">
        <v>61.11</v>
      </c>
      <c r="F21" s="11">
        <v>147.67500000000001</v>
      </c>
      <c r="G21" s="11">
        <v>677.3599999999999</v>
      </c>
    </row>
    <row r="22" spans="1:7" x14ac:dyDescent="0.25">
      <c r="B22" s="9" t="s">
        <v>6214</v>
      </c>
      <c r="C22" s="11"/>
      <c r="D22" s="11"/>
      <c r="E22" s="11">
        <v>31.97</v>
      </c>
      <c r="F22" s="11">
        <v>11.94</v>
      </c>
      <c r="G22" s="11">
        <v>43.91</v>
      </c>
    </row>
    <row r="23" spans="1:7" x14ac:dyDescent="0.25">
      <c r="B23" s="9" t="s">
        <v>6211</v>
      </c>
      <c r="C23" s="11">
        <v>24.66</v>
      </c>
      <c r="D23" s="11"/>
      <c r="E23" s="11">
        <v>25.049999999999997</v>
      </c>
      <c r="F23" s="11">
        <v>5.97</v>
      </c>
      <c r="G23" s="11">
        <v>55.679999999999993</v>
      </c>
    </row>
    <row r="24" spans="1:7" x14ac:dyDescent="0.25">
      <c r="B24" s="9" t="s">
        <v>6203</v>
      </c>
      <c r="C24" s="11">
        <v>278.15499999999997</v>
      </c>
      <c r="D24" s="11">
        <v>366.58499999999998</v>
      </c>
      <c r="E24" s="11">
        <v>305.73999999999995</v>
      </c>
      <c r="F24" s="11">
        <v>131.44999999999999</v>
      </c>
      <c r="G24" s="11">
        <v>1081.93</v>
      </c>
    </row>
    <row r="25" spans="1:7" x14ac:dyDescent="0.25">
      <c r="B25" s="9" t="s">
        <v>6215</v>
      </c>
      <c r="C25" s="11">
        <v>349.94499999999994</v>
      </c>
      <c r="D25" s="11">
        <v>142.56</v>
      </c>
      <c r="E25" s="11">
        <v>227.89999999999998</v>
      </c>
      <c r="F25" s="11">
        <v>77.234999999999999</v>
      </c>
      <c r="G25" s="11">
        <v>797.64</v>
      </c>
    </row>
    <row r="26" spans="1:7" x14ac:dyDescent="0.25">
      <c r="B26" s="9" t="s">
        <v>6212</v>
      </c>
      <c r="C26" s="11">
        <v>71.98</v>
      </c>
      <c r="D26" s="11">
        <v>130.08499999999998</v>
      </c>
      <c r="E26" s="11">
        <v>23.31</v>
      </c>
      <c r="F26" s="11">
        <v>59.194999999999993</v>
      </c>
      <c r="G26" s="11">
        <v>284.57</v>
      </c>
    </row>
    <row r="27" spans="1:7" x14ac:dyDescent="0.25">
      <c r="A27" t="s">
        <v>6206</v>
      </c>
      <c r="B27" s="9" t="s">
        <v>6205</v>
      </c>
      <c r="C27" s="11">
        <v>151.875</v>
      </c>
      <c r="D27" s="11">
        <v>127.47499999999999</v>
      </c>
      <c r="E27" s="11">
        <v>78.63</v>
      </c>
      <c r="F27" s="11">
        <v>124.37499999999999</v>
      </c>
      <c r="G27" s="11">
        <v>482.35500000000002</v>
      </c>
    </row>
    <row r="28" spans="1:7" x14ac:dyDescent="0.25">
      <c r="B28" s="9" t="s">
        <v>6208</v>
      </c>
      <c r="C28" s="11">
        <v>172.2</v>
      </c>
      <c r="D28" s="11">
        <v>235.65</v>
      </c>
      <c r="E28" s="11">
        <v>7.77</v>
      </c>
      <c r="F28" s="11">
        <v>64.44</v>
      </c>
      <c r="G28" s="11">
        <v>480.06</v>
      </c>
    </row>
    <row r="29" spans="1:7" x14ac:dyDescent="0.25">
      <c r="B29" s="9" t="s">
        <v>6213</v>
      </c>
      <c r="C29" s="11">
        <v>225.89999999999998</v>
      </c>
      <c r="D29" s="11">
        <v>160.73999999999998</v>
      </c>
      <c r="E29" s="11">
        <v>126.90999999999998</v>
      </c>
      <c r="F29" s="11">
        <v>89.534999999999982</v>
      </c>
      <c r="G29" s="11">
        <v>603.08499999999992</v>
      </c>
    </row>
    <row r="30" spans="1:7" x14ac:dyDescent="0.25">
      <c r="B30" s="9" t="s">
        <v>6210</v>
      </c>
      <c r="C30" s="11">
        <v>39.42</v>
      </c>
      <c r="D30" s="11">
        <v>233.23</v>
      </c>
      <c r="E30" s="11">
        <v>225.92499999999998</v>
      </c>
      <c r="F30" s="11">
        <v>82.339999999999989</v>
      </c>
      <c r="G30" s="11">
        <v>580.91499999999996</v>
      </c>
    </row>
    <row r="31" spans="1:7" x14ac:dyDescent="0.25">
      <c r="B31" s="9" t="s">
        <v>6209</v>
      </c>
      <c r="C31" s="11">
        <v>91.5</v>
      </c>
      <c r="D31" s="11">
        <v>38.370000000000005</v>
      </c>
      <c r="E31" s="11">
        <v>3.8849999999999998</v>
      </c>
      <c r="F31" s="11">
        <v>88.07</v>
      </c>
      <c r="G31" s="11">
        <v>221.82499999999999</v>
      </c>
    </row>
    <row r="32" spans="1:7" x14ac:dyDescent="0.25">
      <c r="B32" s="9" t="s">
        <v>6201</v>
      </c>
      <c r="C32" s="11">
        <v>150.68499999999997</v>
      </c>
      <c r="D32" s="11">
        <v>123.83000000000001</v>
      </c>
      <c r="E32" s="11">
        <v>21.825000000000003</v>
      </c>
      <c r="F32" s="11"/>
      <c r="G32" s="11">
        <v>296.33999999999997</v>
      </c>
    </row>
    <row r="33" spans="1:7" x14ac:dyDescent="0.25">
      <c r="B33" s="9" t="s">
        <v>6207</v>
      </c>
      <c r="C33" s="11"/>
      <c r="D33" s="11">
        <v>268.87499999999994</v>
      </c>
      <c r="E33" s="11">
        <v>8.73</v>
      </c>
      <c r="F33" s="11">
        <v>53.699999999999996</v>
      </c>
      <c r="G33" s="11">
        <v>331.30499999999995</v>
      </c>
    </row>
    <row r="34" spans="1:7" x14ac:dyDescent="0.25">
      <c r="B34" s="9" t="s">
        <v>6214</v>
      </c>
      <c r="C34" s="11">
        <v>168.10499999999999</v>
      </c>
      <c r="D34" s="11">
        <v>207.26</v>
      </c>
      <c r="E34" s="11"/>
      <c r="F34" s="11">
        <v>175.54999999999995</v>
      </c>
      <c r="G34" s="11">
        <v>550.91499999999996</v>
      </c>
    </row>
    <row r="35" spans="1:7" x14ac:dyDescent="0.25">
      <c r="B35" s="9" t="s">
        <v>6211</v>
      </c>
      <c r="C35" s="11">
        <v>173.41499999999999</v>
      </c>
      <c r="D35" s="11">
        <v>238.27500000000003</v>
      </c>
      <c r="E35" s="11">
        <v>46.62</v>
      </c>
      <c r="F35" s="11">
        <v>35.849999999999994</v>
      </c>
      <c r="G35" s="11">
        <v>494.16000000000008</v>
      </c>
    </row>
    <row r="36" spans="1:7" x14ac:dyDescent="0.25">
      <c r="B36" s="9" t="s">
        <v>6203</v>
      </c>
      <c r="C36" s="11">
        <v>56.07</v>
      </c>
      <c r="D36" s="11"/>
      <c r="E36" s="11">
        <v>299.07</v>
      </c>
      <c r="F36" s="11">
        <v>141.08500000000001</v>
      </c>
      <c r="G36" s="11">
        <v>496.22500000000002</v>
      </c>
    </row>
    <row r="37" spans="1:7" x14ac:dyDescent="0.25">
      <c r="B37" s="9" t="s">
        <v>6215</v>
      </c>
      <c r="C37" s="11">
        <v>260.01</v>
      </c>
      <c r="D37" s="11">
        <v>106.02000000000001</v>
      </c>
      <c r="E37" s="11">
        <v>262.72000000000003</v>
      </c>
      <c r="F37" s="11">
        <v>189.47499999999999</v>
      </c>
      <c r="G37" s="11">
        <v>818.22500000000002</v>
      </c>
    </row>
    <row r="38" spans="1:7" x14ac:dyDescent="0.25">
      <c r="B38" s="9" t="s">
        <v>6212</v>
      </c>
      <c r="C38" s="11">
        <v>197.61499999999998</v>
      </c>
      <c r="D38" s="11">
        <v>18.225000000000001</v>
      </c>
      <c r="E38" s="11">
        <v>241.85</v>
      </c>
      <c r="F38" s="11">
        <v>26.849999999999998</v>
      </c>
      <c r="G38" s="11">
        <v>484.53999999999996</v>
      </c>
    </row>
    <row r="39" spans="1:7" x14ac:dyDescent="0.25">
      <c r="A39" t="s">
        <v>6200</v>
      </c>
      <c r="B39" s="9" t="s">
        <v>6205</v>
      </c>
      <c r="C39" s="11">
        <v>82.634999999999991</v>
      </c>
      <c r="D39" s="11">
        <v>93.960000000000008</v>
      </c>
      <c r="E39" s="11">
        <v>380.43499999999995</v>
      </c>
      <c r="F39" s="11">
        <v>78.034999999999997</v>
      </c>
      <c r="G39" s="11">
        <v>635.06499999999994</v>
      </c>
    </row>
    <row r="40" spans="1:7" x14ac:dyDescent="0.25">
      <c r="B40" s="9" t="s">
        <v>6208</v>
      </c>
      <c r="C40" s="11">
        <v>65.67</v>
      </c>
      <c r="D40" s="11">
        <v>4.125</v>
      </c>
      <c r="E40" s="11">
        <v>23.774999999999999</v>
      </c>
      <c r="F40" s="11"/>
      <c r="G40" s="11">
        <v>93.57</v>
      </c>
    </row>
    <row r="41" spans="1:7" x14ac:dyDescent="0.25">
      <c r="B41" s="9" t="s">
        <v>6213</v>
      </c>
      <c r="C41" s="11">
        <v>232.76</v>
      </c>
      <c r="D41" s="11">
        <v>28.395</v>
      </c>
      <c r="E41" s="11">
        <v>458.14499999999998</v>
      </c>
      <c r="F41" s="11">
        <v>240.34999999999997</v>
      </c>
      <c r="G41" s="11">
        <v>959.64999999999986</v>
      </c>
    </row>
    <row r="42" spans="1:7" x14ac:dyDescent="0.25">
      <c r="B42" s="9" t="s">
        <v>6210</v>
      </c>
      <c r="C42" s="11">
        <v>190.125</v>
      </c>
      <c r="D42" s="11">
        <v>220.45499999999996</v>
      </c>
      <c r="E42" s="11">
        <v>42.734999999999999</v>
      </c>
      <c r="F42" s="11">
        <v>119.04499999999999</v>
      </c>
      <c r="G42" s="11">
        <v>572.3599999999999</v>
      </c>
    </row>
    <row r="43" spans="1:7" x14ac:dyDescent="0.25">
      <c r="B43" s="9" t="s">
        <v>6209</v>
      </c>
      <c r="C43" s="11">
        <v>92.389999999999986</v>
      </c>
      <c r="D43" s="11">
        <v>141.95499999999998</v>
      </c>
      <c r="E43" s="11">
        <v>79.180000000000007</v>
      </c>
      <c r="F43" s="11">
        <v>95.6</v>
      </c>
      <c r="G43" s="11">
        <v>409.125</v>
      </c>
    </row>
    <row r="44" spans="1:7" x14ac:dyDescent="0.25">
      <c r="B44" s="9" t="s">
        <v>6201</v>
      </c>
      <c r="C44" s="11">
        <v>47.76</v>
      </c>
      <c r="D44" s="11">
        <v>189.68</v>
      </c>
      <c r="E44" s="11">
        <v>8.73</v>
      </c>
      <c r="F44" s="11">
        <v>138.72499999999997</v>
      </c>
      <c r="G44" s="11">
        <v>384.89499999999998</v>
      </c>
    </row>
    <row r="45" spans="1:7" x14ac:dyDescent="0.25">
      <c r="B45" s="9" t="s">
        <v>6207</v>
      </c>
      <c r="C45" s="11">
        <v>81.534999999999997</v>
      </c>
      <c r="D45" s="11">
        <v>165.41499999999996</v>
      </c>
      <c r="E45" s="11"/>
      <c r="F45" s="11">
        <v>65.669999999999987</v>
      </c>
      <c r="G45" s="11">
        <v>312.61999999999995</v>
      </c>
    </row>
    <row r="46" spans="1:7" x14ac:dyDescent="0.25">
      <c r="B46" s="9" t="s">
        <v>6214</v>
      </c>
      <c r="C46" s="11">
        <v>29.784999999999997</v>
      </c>
      <c r="D46" s="11">
        <v>41.25</v>
      </c>
      <c r="E46" s="11"/>
      <c r="F46" s="11">
        <v>45.379999999999995</v>
      </c>
      <c r="G46" s="11">
        <v>116.41499999999999</v>
      </c>
    </row>
    <row r="47" spans="1:7" x14ac:dyDescent="0.25">
      <c r="A47" t="s">
        <v>6199</v>
      </c>
      <c r="C47" s="11">
        <v>5398.97</v>
      </c>
      <c r="D47" s="11">
        <v>6124.1750000000002</v>
      </c>
      <c r="E47" s="11">
        <v>5238.0900000000011</v>
      </c>
      <c r="F47" s="11">
        <v>4156.6149999999998</v>
      </c>
      <c r="G47" s="11">
        <v>20917.850000000002</v>
      </c>
    </row>
    <row r="51" spans="1:2" x14ac:dyDescent="0.25">
      <c r="A51" s="7" t="s">
        <v>6198</v>
      </c>
      <c r="B51" t="s">
        <v>6221</v>
      </c>
    </row>
    <row r="52" spans="1:2" x14ac:dyDescent="0.25">
      <c r="A52" s="8" t="s">
        <v>28</v>
      </c>
      <c r="B52" s="10">
        <v>886.12000000000012</v>
      </c>
    </row>
    <row r="53" spans="1:2" x14ac:dyDescent="0.25">
      <c r="A53" s="8" t="s">
        <v>318</v>
      </c>
      <c r="B53" s="10">
        <v>3566.9400000000005</v>
      </c>
    </row>
    <row r="54" spans="1:2" x14ac:dyDescent="0.25">
      <c r="A54" s="8" t="s">
        <v>19</v>
      </c>
      <c r="B54" s="10">
        <v>16464.789999999994</v>
      </c>
    </row>
    <row r="55" spans="1:2" x14ac:dyDescent="0.25">
      <c r="A55" s="8" t="s">
        <v>6199</v>
      </c>
      <c r="B55" s="10">
        <v>20917.849999999995</v>
      </c>
    </row>
    <row r="65" spans="1:2" x14ac:dyDescent="0.25">
      <c r="A65" s="7" t="s">
        <v>6198</v>
      </c>
      <c r="B65" t="s">
        <v>6221</v>
      </c>
    </row>
    <row r="66" spans="1:2" x14ac:dyDescent="0.25">
      <c r="A66" s="8" t="s">
        <v>1472</v>
      </c>
      <c r="B66" s="10">
        <v>204.92999999999995</v>
      </c>
    </row>
    <row r="67" spans="1:2" x14ac:dyDescent="0.25">
      <c r="A67" s="8" t="s">
        <v>2177</v>
      </c>
      <c r="B67" s="10">
        <v>204.92999999999995</v>
      </c>
    </row>
    <row r="68" spans="1:2" x14ac:dyDescent="0.25">
      <c r="A68" s="8" t="s">
        <v>3195</v>
      </c>
      <c r="B68" s="10">
        <v>206.59999999999997</v>
      </c>
    </row>
    <row r="69" spans="1:2" x14ac:dyDescent="0.25">
      <c r="A69" s="8" t="s">
        <v>5075</v>
      </c>
      <c r="B69" s="10">
        <v>246.20999999999998</v>
      </c>
    </row>
    <row r="70" spans="1:2" x14ac:dyDescent="0.25">
      <c r="A70" s="8" t="s">
        <v>5765</v>
      </c>
      <c r="B70" s="10">
        <v>307.04499999999996</v>
      </c>
    </row>
    <row r="71" spans="1:2" x14ac:dyDescent="0.25">
      <c r="A71" s="8" t="s">
        <v>6199</v>
      </c>
      <c r="B71" s="10">
        <v>1169.7149999999999</v>
      </c>
    </row>
  </sheetData>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DCD7-57F6-4894-B0BA-756BDEB92980}">
  <dimension ref="A1"/>
  <sheetViews>
    <sheetView showGridLines="0" workbookViewId="0">
      <selection activeCell="T19" sqref="T19"/>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data cleaned</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MILLIE</dc:creator>
  <cp:keywords/>
  <dc:description/>
  <cp:lastModifiedBy>o</cp:lastModifiedBy>
  <cp:revision/>
  <dcterms:created xsi:type="dcterms:W3CDTF">2022-11-26T09:51:45Z</dcterms:created>
  <dcterms:modified xsi:type="dcterms:W3CDTF">2026-04-13T19:36:15Z</dcterms:modified>
  <cp:category/>
  <cp:contentStatus/>
</cp:coreProperties>
</file>