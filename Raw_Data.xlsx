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Documents\"/>
    </mc:Choice>
  </mc:AlternateContent>
  <xr:revisionPtr revIDLastSave="0" documentId="8_{A9BD6622-C398-4121-802D-83B8881C4744}" xr6:coauthVersionLast="47" xr6:coauthVersionMax="47" xr10:uidLastSave="{00000000-0000-0000-0000-000000000000}"/>
  <bookViews>
    <workbookView xWindow="-120" yWindow="-120" windowWidth="20730" windowHeight="11160" activeTab="4" xr2:uid="{00000000-000D-0000-FFFF-FFFF00000000}"/>
  </bookViews>
  <sheets>
    <sheet name="orders" sheetId="17" r:id="rId1"/>
    <sheet name="customers" sheetId="13" r:id="rId2"/>
    <sheet name="products" sheetId="2" r:id="rId3"/>
    <sheet name="worksheet" sheetId="18" r:id="rId4"/>
    <sheet name="pivot table" sheetId="19" r:id="rId5"/>
    <sheet name="dashboard" sheetId="20" r:id="rId6"/>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L3" i="18"/>
  <c r="M3" i="18" s="1"/>
  <c r="L4" i="18"/>
  <c r="M4" i="18" s="1"/>
  <c r="L5" i="18"/>
  <c r="M5" i="18" s="1"/>
  <c r="L6" i="18"/>
  <c r="M6" i="18" s="1"/>
  <c r="L7" i="18"/>
  <c r="M7" i="18" s="1"/>
  <c r="L8" i="18"/>
  <c r="M8" i="18" s="1"/>
  <c r="L9" i="18"/>
  <c r="M9" i="18" s="1"/>
  <c r="L10" i="18"/>
  <c r="M10" i="18" s="1"/>
  <c r="L11" i="18"/>
  <c r="M11" i="18" s="1"/>
  <c r="L12" i="18"/>
  <c r="M12" i="18" s="1"/>
  <c r="L13" i="18"/>
  <c r="M13" i="18" s="1"/>
  <c r="L14" i="18"/>
  <c r="M14" i="18" s="1"/>
  <c r="L15" i="18"/>
  <c r="M15" i="18" s="1"/>
  <c r="L16" i="18"/>
  <c r="M16" i="18" s="1"/>
  <c r="L17" i="18"/>
  <c r="M17" i="18" s="1"/>
  <c r="L18" i="18"/>
  <c r="M18" i="18" s="1"/>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M30" i="18" s="1"/>
  <c r="L31" i="18"/>
  <c r="M31" i="18" s="1"/>
  <c r="L32" i="18"/>
  <c r="M32" i="18" s="1"/>
  <c r="L33" i="18"/>
  <c r="M33" i="18" s="1"/>
  <c r="L34" i="18"/>
  <c r="M34" i="18" s="1"/>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M46" i="18" s="1"/>
  <c r="L47" i="18"/>
  <c r="M47" i="18" s="1"/>
  <c r="L48" i="18"/>
  <c r="M48" i="18" s="1"/>
  <c r="L49" i="18"/>
  <c r="M49" i="18" s="1"/>
  <c r="L50" i="18"/>
  <c r="M50" i="18" s="1"/>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M62" i="18" s="1"/>
  <c r="L63" i="18"/>
  <c r="M63" i="18" s="1"/>
  <c r="L64" i="18"/>
  <c r="M64" i="18" s="1"/>
  <c r="L65" i="18"/>
  <c r="M65" i="18" s="1"/>
  <c r="L66" i="18"/>
  <c r="M66" i="18" s="1"/>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M78" i="18" s="1"/>
  <c r="L79" i="18"/>
  <c r="M79" i="18" s="1"/>
  <c r="L80" i="18"/>
  <c r="M80" i="18" s="1"/>
  <c r="L81" i="18"/>
  <c r="M81" i="18" s="1"/>
  <c r="L82" i="18"/>
  <c r="M82" i="18" s="1"/>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M94" i="18" s="1"/>
  <c r="L95" i="18"/>
  <c r="M95" i="18" s="1"/>
  <c r="L96" i="18"/>
  <c r="M96" i="18" s="1"/>
  <c r="L97" i="18"/>
  <c r="M97" i="18" s="1"/>
  <c r="L98" i="18"/>
  <c r="M98" i="18" s="1"/>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M110" i="18" s="1"/>
  <c r="L111" i="18"/>
  <c r="M111" i="18" s="1"/>
  <c r="L112" i="18"/>
  <c r="M112" i="18" s="1"/>
  <c r="L113" i="18"/>
  <c r="M113" i="18" s="1"/>
  <c r="L114" i="18"/>
  <c r="M114" i="18" s="1"/>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M126" i="18" s="1"/>
  <c r="L127" i="18"/>
  <c r="M127" i="18" s="1"/>
  <c r="L128" i="18"/>
  <c r="M128" i="18" s="1"/>
  <c r="L129" i="18"/>
  <c r="M129" i="18" s="1"/>
  <c r="L130" i="18"/>
  <c r="M130" i="18" s="1"/>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M142" i="18" s="1"/>
  <c r="L143" i="18"/>
  <c r="M143" i="18" s="1"/>
  <c r="L144" i="18"/>
  <c r="M144" i="18" s="1"/>
  <c r="L145" i="18"/>
  <c r="M145" i="18" s="1"/>
  <c r="L146" i="18"/>
  <c r="M146" i="18" s="1"/>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M158" i="18" s="1"/>
  <c r="L159" i="18"/>
  <c r="M159" i="18" s="1"/>
  <c r="L160" i="18"/>
  <c r="M160" i="18" s="1"/>
  <c r="L161" i="18"/>
  <c r="M161" i="18" s="1"/>
  <c r="L162" i="18"/>
  <c r="M162" i="18" s="1"/>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M174" i="18" s="1"/>
  <c r="L175" i="18"/>
  <c r="M175" i="18" s="1"/>
  <c r="L176" i="18"/>
  <c r="M176" i="18" s="1"/>
  <c r="L177" i="18"/>
  <c r="M177" i="18" s="1"/>
  <c r="L178" i="18"/>
  <c r="M178" i="18" s="1"/>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M190" i="18" s="1"/>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M206" i="18" s="1"/>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M222" i="18" s="1"/>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M270" i="18" s="1"/>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M286" i="18" s="1"/>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M334" i="18" s="1"/>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M354" i="18" s="1"/>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M366" i="18" s="1"/>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M386" i="18" s="1"/>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M398" i="18" s="1"/>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M418" i="18" s="1"/>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M430" i="18" s="1"/>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M450" i="18" s="1"/>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M462" i="18" s="1"/>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M482" i="18" s="1"/>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M494" i="18" s="1"/>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M513" i="18" s="1"/>
  <c r="L514" i="18"/>
  <c r="M514" i="18" s="1"/>
  <c r="L515" i="18"/>
  <c r="M515" i="18" s="1"/>
  <c r="L516" i="18"/>
  <c r="M516" i="18" s="1"/>
  <c r="L517" i="18"/>
  <c r="M517" i="18" s="1"/>
  <c r="L518" i="18"/>
  <c r="M518" i="18" s="1"/>
  <c r="L519" i="18"/>
  <c r="M519" i="18" s="1"/>
  <c r="L520" i="18"/>
  <c r="M520" i="18" s="1"/>
  <c r="L521" i="18"/>
  <c r="M521" i="18" s="1"/>
  <c r="L522" i="18"/>
  <c r="M522" i="18" s="1"/>
  <c r="L523" i="18"/>
  <c r="M523" i="18" s="1"/>
  <c r="L524" i="18"/>
  <c r="M524" i="18" s="1"/>
  <c r="L525" i="18"/>
  <c r="M525" i="18" s="1"/>
  <c r="L526" i="18"/>
  <c r="M526" i="18" s="1"/>
  <c r="L527" i="18"/>
  <c r="M527" i="18" s="1"/>
  <c r="L528" i="18"/>
  <c r="M528" i="18" s="1"/>
  <c r="L529" i="18"/>
  <c r="M529" i="18" s="1"/>
  <c r="L530" i="18"/>
  <c r="M530" i="18" s="1"/>
  <c r="L531" i="18"/>
  <c r="M531" i="18" s="1"/>
  <c r="L532" i="18"/>
  <c r="M532" i="18" s="1"/>
  <c r="L533" i="18"/>
  <c r="M533" i="18" s="1"/>
  <c r="L534" i="18"/>
  <c r="M534" i="18" s="1"/>
  <c r="L535" i="18"/>
  <c r="M535" i="18" s="1"/>
  <c r="L536" i="18"/>
  <c r="M536" i="18" s="1"/>
  <c r="L537" i="18"/>
  <c r="M537" i="18" s="1"/>
  <c r="L538" i="18"/>
  <c r="M538" i="18" s="1"/>
  <c r="L539" i="18"/>
  <c r="M539" i="18" s="1"/>
  <c r="L540" i="18"/>
  <c r="M540" i="18" s="1"/>
  <c r="L541" i="18"/>
  <c r="M541" i="18" s="1"/>
  <c r="L542" i="18"/>
  <c r="M542" i="18" s="1"/>
  <c r="L543" i="18"/>
  <c r="M543" i="18" s="1"/>
  <c r="L544" i="18"/>
  <c r="M544" i="18" s="1"/>
  <c r="L545" i="18"/>
  <c r="M545" i="18" s="1"/>
  <c r="L546" i="18"/>
  <c r="M546" i="18" s="1"/>
  <c r="L547" i="18"/>
  <c r="M547" i="18" s="1"/>
  <c r="L548" i="18"/>
  <c r="M548" i="18" s="1"/>
  <c r="L549" i="18"/>
  <c r="M549" i="18" s="1"/>
  <c r="L550" i="18"/>
  <c r="M550" i="18" s="1"/>
  <c r="L551" i="18"/>
  <c r="M551" i="18" s="1"/>
  <c r="L552" i="18"/>
  <c r="M552" i="18" s="1"/>
  <c r="L553" i="18"/>
  <c r="M553" i="18" s="1"/>
  <c r="L554" i="18"/>
  <c r="M554" i="18" s="1"/>
  <c r="L555" i="18"/>
  <c r="M555" i="18" s="1"/>
  <c r="L556" i="18"/>
  <c r="M556" i="18" s="1"/>
  <c r="L557" i="18"/>
  <c r="M557" i="18" s="1"/>
  <c r="L558" i="18"/>
  <c r="M558" i="18" s="1"/>
  <c r="L559" i="18"/>
  <c r="M559" i="18" s="1"/>
  <c r="L560" i="18"/>
  <c r="M560" i="18" s="1"/>
  <c r="L561" i="18"/>
  <c r="M561" i="18" s="1"/>
  <c r="L562" i="18"/>
  <c r="M562" i="18" s="1"/>
  <c r="L563" i="18"/>
  <c r="M563" i="18" s="1"/>
  <c r="L564" i="18"/>
  <c r="M564" i="18" s="1"/>
  <c r="L565" i="18"/>
  <c r="M565" i="18" s="1"/>
  <c r="L566" i="18"/>
  <c r="M566" i="18" s="1"/>
  <c r="L567" i="18"/>
  <c r="M567" i="18" s="1"/>
  <c r="L568" i="18"/>
  <c r="M568" i="18" s="1"/>
  <c r="L569" i="18"/>
  <c r="M569" i="18" s="1"/>
  <c r="L570" i="18"/>
  <c r="M570" i="18" s="1"/>
  <c r="L571" i="18"/>
  <c r="M571" i="18" s="1"/>
  <c r="L572" i="18"/>
  <c r="M572" i="18" s="1"/>
  <c r="L573" i="18"/>
  <c r="M573" i="18" s="1"/>
  <c r="L574" i="18"/>
  <c r="M574" i="18" s="1"/>
  <c r="L575" i="18"/>
  <c r="M575" i="18" s="1"/>
  <c r="L576" i="18"/>
  <c r="M576" i="18" s="1"/>
  <c r="L577" i="18"/>
  <c r="M577" i="18" s="1"/>
  <c r="L578" i="18"/>
  <c r="M578" i="18" s="1"/>
  <c r="L579" i="18"/>
  <c r="M579" i="18" s="1"/>
  <c r="L580" i="18"/>
  <c r="M580" i="18" s="1"/>
  <c r="L581" i="18"/>
  <c r="M581" i="18" s="1"/>
  <c r="L582" i="18"/>
  <c r="M582" i="18" s="1"/>
  <c r="L583" i="18"/>
  <c r="M583" i="18" s="1"/>
  <c r="L584" i="18"/>
  <c r="M584" i="18" s="1"/>
  <c r="L585" i="18"/>
  <c r="M585" i="18" s="1"/>
  <c r="L586" i="18"/>
  <c r="M586" i="18" s="1"/>
  <c r="L587" i="18"/>
  <c r="M587" i="18" s="1"/>
  <c r="L588" i="18"/>
  <c r="M588" i="18" s="1"/>
  <c r="L589" i="18"/>
  <c r="M589" i="18" s="1"/>
  <c r="L590" i="18"/>
  <c r="M590" i="18" s="1"/>
  <c r="L591" i="18"/>
  <c r="M591" i="18" s="1"/>
  <c r="L592" i="18"/>
  <c r="M592" i="18" s="1"/>
  <c r="L593" i="18"/>
  <c r="M593" i="18" s="1"/>
  <c r="L594" i="18"/>
  <c r="M594" i="18" s="1"/>
  <c r="L595" i="18"/>
  <c r="M595" i="18" s="1"/>
  <c r="L596" i="18"/>
  <c r="M596" i="18" s="1"/>
  <c r="L597" i="18"/>
  <c r="M597" i="18" s="1"/>
  <c r="L598" i="18"/>
  <c r="M598" i="18" s="1"/>
  <c r="L599" i="18"/>
  <c r="M599" i="18" s="1"/>
  <c r="L600" i="18"/>
  <c r="M600" i="18" s="1"/>
  <c r="L601" i="18"/>
  <c r="M601" i="18" s="1"/>
  <c r="L602" i="18"/>
  <c r="M602" i="18" s="1"/>
  <c r="L603" i="18"/>
  <c r="M603" i="18" s="1"/>
  <c r="L604" i="18"/>
  <c r="M604" i="18" s="1"/>
  <c r="L605" i="18"/>
  <c r="M605" i="18" s="1"/>
  <c r="L606" i="18"/>
  <c r="M606" i="18" s="1"/>
  <c r="L607" i="18"/>
  <c r="M607" i="18" s="1"/>
  <c r="L608" i="18"/>
  <c r="M608" i="18" s="1"/>
  <c r="L609" i="18"/>
  <c r="M609" i="18" s="1"/>
  <c r="L610" i="18"/>
  <c r="M610" i="18" s="1"/>
  <c r="L611" i="18"/>
  <c r="M611" i="18" s="1"/>
  <c r="L612" i="18"/>
  <c r="M612" i="18" s="1"/>
  <c r="L613" i="18"/>
  <c r="M613" i="18" s="1"/>
  <c r="L614" i="18"/>
  <c r="M614" i="18" s="1"/>
  <c r="L615" i="18"/>
  <c r="M615" i="18" s="1"/>
  <c r="L616" i="18"/>
  <c r="M616" i="18" s="1"/>
  <c r="L617" i="18"/>
  <c r="M617" i="18" s="1"/>
  <c r="L618" i="18"/>
  <c r="M618" i="18" s="1"/>
  <c r="L619" i="18"/>
  <c r="M619" i="18" s="1"/>
  <c r="L620" i="18"/>
  <c r="M620" i="18" s="1"/>
  <c r="L621" i="18"/>
  <c r="M621" i="18" s="1"/>
  <c r="L622" i="18"/>
  <c r="M622" i="18" s="1"/>
  <c r="L623" i="18"/>
  <c r="M623" i="18" s="1"/>
  <c r="L624" i="18"/>
  <c r="M624" i="18" s="1"/>
  <c r="L625" i="18"/>
  <c r="M625" i="18" s="1"/>
  <c r="L626" i="18"/>
  <c r="M626" i="18" s="1"/>
  <c r="L627" i="18"/>
  <c r="M627" i="18" s="1"/>
  <c r="L628" i="18"/>
  <c r="M628" i="18" s="1"/>
  <c r="L629" i="18"/>
  <c r="M629" i="18" s="1"/>
  <c r="L630" i="18"/>
  <c r="M630" i="18" s="1"/>
  <c r="L631" i="18"/>
  <c r="M631" i="18" s="1"/>
  <c r="L632" i="18"/>
  <c r="M632" i="18" s="1"/>
  <c r="L633" i="18"/>
  <c r="M633" i="18" s="1"/>
  <c r="L634" i="18"/>
  <c r="M634" i="18" s="1"/>
  <c r="L635" i="18"/>
  <c r="M635" i="18" s="1"/>
  <c r="L636" i="18"/>
  <c r="M636" i="18" s="1"/>
  <c r="L637" i="18"/>
  <c r="M637" i="18" s="1"/>
  <c r="L638" i="18"/>
  <c r="M638" i="18" s="1"/>
  <c r="L639" i="18"/>
  <c r="M639" i="18" s="1"/>
  <c r="L640" i="18"/>
  <c r="M640" i="18" s="1"/>
  <c r="L641" i="18"/>
  <c r="M641" i="18" s="1"/>
  <c r="L642" i="18"/>
  <c r="M642" i="18" s="1"/>
  <c r="L643" i="18"/>
  <c r="M643" i="18" s="1"/>
  <c r="L644" i="18"/>
  <c r="M644" i="18" s="1"/>
  <c r="L645" i="18"/>
  <c r="M645" i="18" s="1"/>
  <c r="L646" i="18"/>
  <c r="M646" i="18" s="1"/>
  <c r="L647" i="18"/>
  <c r="M647" i="18" s="1"/>
  <c r="L648" i="18"/>
  <c r="M648" i="18" s="1"/>
  <c r="L649" i="18"/>
  <c r="M649" i="18" s="1"/>
  <c r="L650" i="18"/>
  <c r="M650" i="18" s="1"/>
  <c r="L651" i="18"/>
  <c r="M651" i="18" s="1"/>
  <c r="L652" i="18"/>
  <c r="M652" i="18" s="1"/>
  <c r="L653" i="18"/>
  <c r="M653" i="18" s="1"/>
  <c r="L654" i="18"/>
  <c r="M654" i="18" s="1"/>
  <c r="L655" i="18"/>
  <c r="M655" i="18" s="1"/>
  <c r="L656" i="18"/>
  <c r="M656" i="18" s="1"/>
  <c r="L657" i="18"/>
  <c r="M657" i="18" s="1"/>
  <c r="L658" i="18"/>
  <c r="M658" i="18" s="1"/>
  <c r="L659" i="18"/>
  <c r="M659" i="18" s="1"/>
  <c r="L660" i="18"/>
  <c r="M660" i="18" s="1"/>
  <c r="L661" i="18"/>
  <c r="M661" i="18" s="1"/>
  <c r="L662" i="18"/>
  <c r="M662" i="18" s="1"/>
  <c r="L663" i="18"/>
  <c r="M663" i="18" s="1"/>
  <c r="L664" i="18"/>
  <c r="M664" i="18" s="1"/>
  <c r="L665" i="18"/>
  <c r="M665" i="18" s="1"/>
  <c r="L666" i="18"/>
  <c r="M666" i="18" s="1"/>
  <c r="L667" i="18"/>
  <c r="M667" i="18" s="1"/>
  <c r="L668" i="18"/>
  <c r="M668" i="18" s="1"/>
  <c r="L669" i="18"/>
  <c r="M669" i="18" s="1"/>
  <c r="L670" i="18"/>
  <c r="M670" i="18" s="1"/>
  <c r="L671" i="18"/>
  <c r="M671" i="18" s="1"/>
  <c r="L672" i="18"/>
  <c r="M672" i="18" s="1"/>
  <c r="L673" i="18"/>
  <c r="M673" i="18" s="1"/>
  <c r="L674" i="18"/>
  <c r="M674" i="18" s="1"/>
  <c r="L675" i="18"/>
  <c r="M675" i="18" s="1"/>
  <c r="L676" i="18"/>
  <c r="M676" i="18" s="1"/>
  <c r="L677" i="18"/>
  <c r="M677" i="18" s="1"/>
  <c r="L678" i="18"/>
  <c r="M678" i="18" s="1"/>
  <c r="L679" i="18"/>
  <c r="M679" i="18" s="1"/>
  <c r="L680" i="18"/>
  <c r="M680" i="18" s="1"/>
  <c r="L681" i="18"/>
  <c r="M681" i="18" s="1"/>
  <c r="L682" i="18"/>
  <c r="M682" i="18" s="1"/>
  <c r="L683" i="18"/>
  <c r="M683" i="18" s="1"/>
  <c r="L684" i="18"/>
  <c r="M684" i="18" s="1"/>
  <c r="L685" i="18"/>
  <c r="M685" i="18" s="1"/>
  <c r="L686" i="18"/>
  <c r="M686" i="18" s="1"/>
  <c r="L687" i="18"/>
  <c r="M687" i="18" s="1"/>
  <c r="L688" i="18"/>
  <c r="M688" i="18" s="1"/>
  <c r="L689" i="18"/>
  <c r="M689" i="18" s="1"/>
  <c r="L690" i="18"/>
  <c r="M690" i="18" s="1"/>
  <c r="L691" i="18"/>
  <c r="M691" i="18" s="1"/>
  <c r="L692" i="18"/>
  <c r="M692" i="18" s="1"/>
  <c r="L693" i="18"/>
  <c r="M693" i="18" s="1"/>
  <c r="L694" i="18"/>
  <c r="M694" i="18" s="1"/>
  <c r="L695" i="18"/>
  <c r="M695" i="18" s="1"/>
  <c r="L696" i="18"/>
  <c r="M696" i="18" s="1"/>
  <c r="L697" i="18"/>
  <c r="M697" i="18" s="1"/>
  <c r="L698" i="18"/>
  <c r="M698" i="18" s="1"/>
  <c r="L699" i="18"/>
  <c r="M699" i="18" s="1"/>
  <c r="L700" i="18"/>
  <c r="M700" i="18" s="1"/>
  <c r="L701" i="18"/>
  <c r="M701" i="18" s="1"/>
  <c r="L702" i="18"/>
  <c r="M702" i="18" s="1"/>
  <c r="L703" i="18"/>
  <c r="M703" i="18" s="1"/>
  <c r="L704" i="18"/>
  <c r="M704" i="18" s="1"/>
  <c r="L705" i="18"/>
  <c r="M705" i="18" s="1"/>
  <c r="L706" i="18"/>
  <c r="M706" i="18" s="1"/>
  <c r="L707" i="18"/>
  <c r="M707" i="18" s="1"/>
  <c r="L708" i="18"/>
  <c r="M708" i="18" s="1"/>
  <c r="L709" i="18"/>
  <c r="M709" i="18" s="1"/>
  <c r="L710" i="18"/>
  <c r="M710" i="18" s="1"/>
  <c r="L711" i="18"/>
  <c r="M711" i="18" s="1"/>
  <c r="L712" i="18"/>
  <c r="M712" i="18" s="1"/>
  <c r="L713" i="18"/>
  <c r="M713" i="18" s="1"/>
  <c r="L714" i="18"/>
  <c r="M714" i="18" s="1"/>
  <c r="L715" i="18"/>
  <c r="M715" i="18" s="1"/>
  <c r="L716" i="18"/>
  <c r="M716" i="18" s="1"/>
  <c r="L717" i="18"/>
  <c r="M717" i="18" s="1"/>
  <c r="L718" i="18"/>
  <c r="M718" i="18" s="1"/>
  <c r="L719" i="18"/>
  <c r="M719" i="18" s="1"/>
  <c r="L720" i="18"/>
  <c r="M720" i="18" s="1"/>
  <c r="L721" i="18"/>
  <c r="M721" i="18" s="1"/>
  <c r="L722" i="18"/>
  <c r="M722" i="18" s="1"/>
  <c r="L723" i="18"/>
  <c r="M723" i="18" s="1"/>
  <c r="L724" i="18"/>
  <c r="M724" i="18" s="1"/>
  <c r="L725" i="18"/>
  <c r="M725" i="18" s="1"/>
  <c r="L726" i="18"/>
  <c r="M726" i="18" s="1"/>
  <c r="L727" i="18"/>
  <c r="M727" i="18" s="1"/>
  <c r="L728" i="18"/>
  <c r="M728" i="18" s="1"/>
  <c r="L729" i="18"/>
  <c r="M729" i="18" s="1"/>
  <c r="L730" i="18"/>
  <c r="M730" i="18" s="1"/>
  <c r="L731" i="18"/>
  <c r="M731" i="18" s="1"/>
  <c r="L732" i="18"/>
  <c r="M732" i="18" s="1"/>
  <c r="L733" i="18"/>
  <c r="M733" i="18" s="1"/>
  <c r="L734" i="18"/>
  <c r="M734" i="18" s="1"/>
  <c r="L735" i="18"/>
  <c r="M735" i="18" s="1"/>
  <c r="L736" i="18"/>
  <c r="M736" i="18" s="1"/>
  <c r="L737" i="18"/>
  <c r="M737" i="18" s="1"/>
  <c r="L738" i="18"/>
  <c r="M738" i="18" s="1"/>
  <c r="L739" i="18"/>
  <c r="M739" i="18" s="1"/>
  <c r="L740" i="18"/>
  <c r="M740" i="18" s="1"/>
  <c r="L741" i="18"/>
  <c r="M741" i="18" s="1"/>
  <c r="L742" i="18"/>
  <c r="M742" i="18" s="1"/>
  <c r="L743" i="18"/>
  <c r="M743" i="18" s="1"/>
  <c r="L744" i="18"/>
  <c r="M744" i="18" s="1"/>
  <c r="L745" i="18"/>
  <c r="M745" i="18" s="1"/>
  <c r="L746" i="18"/>
  <c r="M746" i="18" s="1"/>
  <c r="L747" i="18"/>
  <c r="M747" i="18" s="1"/>
  <c r="L748" i="18"/>
  <c r="M748" i="18" s="1"/>
  <c r="L749" i="18"/>
  <c r="M749" i="18" s="1"/>
  <c r="L750" i="18"/>
  <c r="M750" i="18" s="1"/>
  <c r="L751" i="18"/>
  <c r="M751" i="18" s="1"/>
  <c r="L752" i="18"/>
  <c r="M752" i="18" s="1"/>
  <c r="L753" i="18"/>
  <c r="M753" i="18" s="1"/>
  <c r="L754" i="18"/>
  <c r="M754" i="18" s="1"/>
  <c r="L755" i="18"/>
  <c r="M755" i="18" s="1"/>
  <c r="L756" i="18"/>
  <c r="M756" i="18" s="1"/>
  <c r="L757" i="18"/>
  <c r="M757" i="18" s="1"/>
  <c r="L758" i="18"/>
  <c r="M758" i="18" s="1"/>
  <c r="L759" i="18"/>
  <c r="M759" i="18" s="1"/>
  <c r="L760" i="18"/>
  <c r="M760" i="18" s="1"/>
  <c r="L761" i="18"/>
  <c r="M761" i="18" s="1"/>
  <c r="L762" i="18"/>
  <c r="M762" i="18" s="1"/>
  <c r="L763" i="18"/>
  <c r="M763" i="18" s="1"/>
  <c r="L764" i="18"/>
  <c r="M764" i="18" s="1"/>
  <c r="L765" i="18"/>
  <c r="M765" i="18" s="1"/>
  <c r="L766" i="18"/>
  <c r="M766" i="18" s="1"/>
  <c r="L767" i="18"/>
  <c r="M767" i="18" s="1"/>
  <c r="L768" i="18"/>
  <c r="M768" i="18" s="1"/>
  <c r="L769" i="18"/>
  <c r="M769" i="18" s="1"/>
  <c r="L770" i="18"/>
  <c r="M770" i="18" s="1"/>
  <c r="L771" i="18"/>
  <c r="M771" i="18" s="1"/>
  <c r="L772" i="18"/>
  <c r="M772" i="18" s="1"/>
  <c r="L773" i="18"/>
  <c r="M773" i="18" s="1"/>
  <c r="L774" i="18"/>
  <c r="M774" i="18" s="1"/>
  <c r="L775" i="18"/>
  <c r="M775" i="18" s="1"/>
  <c r="L776" i="18"/>
  <c r="M776" i="18" s="1"/>
  <c r="L777" i="18"/>
  <c r="M777" i="18" s="1"/>
  <c r="L778" i="18"/>
  <c r="M778" i="18" s="1"/>
  <c r="L779" i="18"/>
  <c r="M779" i="18" s="1"/>
  <c r="L780" i="18"/>
  <c r="M780" i="18" s="1"/>
  <c r="L781" i="18"/>
  <c r="M781" i="18" s="1"/>
  <c r="L782" i="18"/>
  <c r="M782" i="18" s="1"/>
  <c r="L783" i="18"/>
  <c r="M783" i="18" s="1"/>
  <c r="L784" i="18"/>
  <c r="M784" i="18" s="1"/>
  <c r="L785" i="18"/>
  <c r="M785" i="18" s="1"/>
  <c r="L786" i="18"/>
  <c r="M786" i="18" s="1"/>
  <c r="L787" i="18"/>
  <c r="M787" i="18" s="1"/>
  <c r="L788" i="18"/>
  <c r="M788" i="18" s="1"/>
  <c r="L789" i="18"/>
  <c r="M789" i="18" s="1"/>
  <c r="L790" i="18"/>
  <c r="M790" i="18" s="1"/>
  <c r="L791" i="18"/>
  <c r="M791" i="18" s="1"/>
  <c r="L792" i="18"/>
  <c r="M792" i="18" s="1"/>
  <c r="L793" i="18"/>
  <c r="M793" i="18" s="1"/>
  <c r="L794" i="18"/>
  <c r="M794" i="18" s="1"/>
  <c r="L795" i="18"/>
  <c r="M795" i="18" s="1"/>
  <c r="L796" i="18"/>
  <c r="M796" i="18" s="1"/>
  <c r="L797" i="18"/>
  <c r="M797" i="18" s="1"/>
  <c r="L798" i="18"/>
  <c r="M798" i="18" s="1"/>
  <c r="L799" i="18"/>
  <c r="M799" i="18" s="1"/>
  <c r="L800" i="18"/>
  <c r="M800" i="18" s="1"/>
  <c r="L801" i="18"/>
  <c r="M801" i="18" s="1"/>
  <c r="L802" i="18"/>
  <c r="M802" i="18" s="1"/>
  <c r="L803" i="18"/>
  <c r="M803" i="18" s="1"/>
  <c r="L804" i="18"/>
  <c r="M804" i="18" s="1"/>
  <c r="L805" i="18"/>
  <c r="M805" i="18" s="1"/>
  <c r="L806" i="18"/>
  <c r="M806" i="18" s="1"/>
  <c r="L807" i="18"/>
  <c r="M807" i="18" s="1"/>
  <c r="L808" i="18"/>
  <c r="M808" i="18" s="1"/>
  <c r="L809" i="18"/>
  <c r="M809" i="18" s="1"/>
  <c r="L810" i="18"/>
  <c r="M810" i="18" s="1"/>
  <c r="L811" i="18"/>
  <c r="M811" i="18" s="1"/>
  <c r="L812" i="18"/>
  <c r="M812" i="18" s="1"/>
  <c r="L813" i="18"/>
  <c r="M813" i="18" s="1"/>
  <c r="L814" i="18"/>
  <c r="M814" i="18" s="1"/>
  <c r="L815" i="18"/>
  <c r="M815" i="18" s="1"/>
  <c r="L816" i="18"/>
  <c r="M816" i="18" s="1"/>
  <c r="L817" i="18"/>
  <c r="M817" i="18" s="1"/>
  <c r="L818" i="18"/>
  <c r="M818" i="18" s="1"/>
  <c r="L819" i="18"/>
  <c r="M819" i="18" s="1"/>
  <c r="L820" i="18"/>
  <c r="M820" i="18" s="1"/>
  <c r="L821" i="18"/>
  <c r="M821" i="18" s="1"/>
  <c r="L822" i="18"/>
  <c r="M822" i="18" s="1"/>
  <c r="L823" i="18"/>
  <c r="M823" i="18" s="1"/>
  <c r="L824" i="18"/>
  <c r="M824" i="18" s="1"/>
  <c r="L825" i="18"/>
  <c r="M825" i="18" s="1"/>
  <c r="L826" i="18"/>
  <c r="M826" i="18" s="1"/>
  <c r="L827" i="18"/>
  <c r="M827" i="18" s="1"/>
  <c r="L828" i="18"/>
  <c r="M828" i="18" s="1"/>
  <c r="L829" i="18"/>
  <c r="M829" i="18" s="1"/>
  <c r="L830" i="18"/>
  <c r="M830" i="18" s="1"/>
  <c r="L831" i="18"/>
  <c r="M831" i="18" s="1"/>
  <c r="L832" i="18"/>
  <c r="M832" i="18" s="1"/>
  <c r="L833" i="18"/>
  <c r="M833" i="18" s="1"/>
  <c r="L834" i="18"/>
  <c r="M834" i="18" s="1"/>
  <c r="L835" i="18"/>
  <c r="M835" i="18" s="1"/>
  <c r="L836" i="18"/>
  <c r="M836" i="18" s="1"/>
  <c r="L837" i="18"/>
  <c r="M837" i="18" s="1"/>
  <c r="L838" i="18"/>
  <c r="M838" i="18" s="1"/>
  <c r="L839" i="18"/>
  <c r="M839" i="18" s="1"/>
  <c r="L840" i="18"/>
  <c r="M840" i="18" s="1"/>
  <c r="L841" i="18"/>
  <c r="M841" i="18" s="1"/>
  <c r="L842" i="18"/>
  <c r="M842" i="18" s="1"/>
  <c r="L843" i="18"/>
  <c r="M843" i="18" s="1"/>
  <c r="L844" i="18"/>
  <c r="M844" i="18" s="1"/>
  <c r="L845" i="18"/>
  <c r="M845" i="18" s="1"/>
  <c r="L846" i="18"/>
  <c r="M846" i="18" s="1"/>
  <c r="L847" i="18"/>
  <c r="M847" i="18" s="1"/>
  <c r="L848" i="18"/>
  <c r="M848" i="18" s="1"/>
  <c r="L849" i="18"/>
  <c r="M849" i="18" s="1"/>
  <c r="L850" i="18"/>
  <c r="M850" i="18" s="1"/>
  <c r="L851" i="18"/>
  <c r="M851" i="18" s="1"/>
  <c r="L852" i="18"/>
  <c r="M852" i="18" s="1"/>
  <c r="L853" i="18"/>
  <c r="M853" i="18" s="1"/>
  <c r="L854" i="18"/>
  <c r="M854" i="18" s="1"/>
  <c r="L855" i="18"/>
  <c r="M855" i="18" s="1"/>
  <c r="L856" i="18"/>
  <c r="M856" i="18" s="1"/>
  <c r="L857" i="18"/>
  <c r="M857" i="18" s="1"/>
  <c r="L858" i="18"/>
  <c r="M858" i="18" s="1"/>
  <c r="L859" i="18"/>
  <c r="M859" i="18" s="1"/>
  <c r="L860" i="18"/>
  <c r="M860" i="18" s="1"/>
  <c r="L861" i="18"/>
  <c r="M861" i="18" s="1"/>
  <c r="L862" i="18"/>
  <c r="M862" i="18" s="1"/>
  <c r="L863" i="18"/>
  <c r="M863" i="18" s="1"/>
  <c r="L864" i="18"/>
  <c r="M864" i="18" s="1"/>
  <c r="L865" i="18"/>
  <c r="M865" i="18" s="1"/>
  <c r="L866" i="18"/>
  <c r="M866" i="18" s="1"/>
  <c r="L867" i="18"/>
  <c r="M867" i="18" s="1"/>
  <c r="L868" i="18"/>
  <c r="M868" i="18" s="1"/>
  <c r="L869" i="18"/>
  <c r="M869" i="18" s="1"/>
  <c r="L870" i="18"/>
  <c r="M870" i="18" s="1"/>
  <c r="L871" i="18"/>
  <c r="M871" i="18" s="1"/>
  <c r="L872" i="18"/>
  <c r="M872" i="18" s="1"/>
  <c r="L873" i="18"/>
  <c r="M873" i="18" s="1"/>
  <c r="L874" i="18"/>
  <c r="M874" i="18" s="1"/>
  <c r="L875" i="18"/>
  <c r="M875" i="18" s="1"/>
  <c r="L876" i="18"/>
  <c r="M876" i="18" s="1"/>
  <c r="L877" i="18"/>
  <c r="M877" i="18" s="1"/>
  <c r="L878" i="18"/>
  <c r="M878" i="18" s="1"/>
  <c r="L879" i="18"/>
  <c r="M879" i="18" s="1"/>
  <c r="L880" i="18"/>
  <c r="M880" i="18" s="1"/>
  <c r="L881" i="18"/>
  <c r="M881" i="18" s="1"/>
  <c r="L882" i="18"/>
  <c r="M882" i="18" s="1"/>
  <c r="L883" i="18"/>
  <c r="M883" i="18" s="1"/>
  <c r="L884" i="18"/>
  <c r="M884" i="18" s="1"/>
  <c r="L885" i="18"/>
  <c r="M885" i="18" s="1"/>
  <c r="L886" i="18"/>
  <c r="M886" i="18" s="1"/>
  <c r="L887" i="18"/>
  <c r="M887" i="18" s="1"/>
  <c r="L888" i="18"/>
  <c r="M888" i="18" s="1"/>
  <c r="L889" i="18"/>
  <c r="M889" i="18" s="1"/>
  <c r="L890" i="18"/>
  <c r="M890" i="18" s="1"/>
  <c r="L891" i="18"/>
  <c r="M891" i="18" s="1"/>
  <c r="L892" i="18"/>
  <c r="M892" i="18" s="1"/>
  <c r="L893" i="18"/>
  <c r="M893" i="18" s="1"/>
  <c r="L894" i="18"/>
  <c r="M894" i="18" s="1"/>
  <c r="L895" i="18"/>
  <c r="M895" i="18" s="1"/>
  <c r="L896" i="18"/>
  <c r="M896" i="18" s="1"/>
  <c r="L897" i="18"/>
  <c r="M897" i="18" s="1"/>
  <c r="L898" i="18"/>
  <c r="M898" i="18" s="1"/>
  <c r="L899" i="18"/>
  <c r="M899" i="18" s="1"/>
  <c r="L900" i="18"/>
  <c r="M900" i="18" s="1"/>
  <c r="L901" i="18"/>
  <c r="M901" i="18" s="1"/>
  <c r="L902" i="18"/>
  <c r="M902" i="18" s="1"/>
  <c r="L903" i="18"/>
  <c r="M903" i="18" s="1"/>
  <c r="L904" i="18"/>
  <c r="M904" i="18" s="1"/>
  <c r="L905" i="18"/>
  <c r="M905" i="18" s="1"/>
  <c r="L906" i="18"/>
  <c r="M906" i="18" s="1"/>
  <c r="L907" i="18"/>
  <c r="M907" i="18" s="1"/>
  <c r="L908" i="18"/>
  <c r="M908" i="18" s="1"/>
  <c r="L909" i="18"/>
  <c r="M909" i="18" s="1"/>
  <c r="L910" i="18"/>
  <c r="M910" i="18" s="1"/>
  <c r="L911" i="18"/>
  <c r="M911" i="18" s="1"/>
  <c r="L912" i="18"/>
  <c r="M912" i="18" s="1"/>
  <c r="L913" i="18"/>
  <c r="M913" i="18" s="1"/>
  <c r="L914" i="18"/>
  <c r="M914" i="18" s="1"/>
  <c r="L915" i="18"/>
  <c r="M915" i="18" s="1"/>
  <c r="L916" i="18"/>
  <c r="M916" i="18" s="1"/>
  <c r="L917" i="18"/>
  <c r="M917" i="18" s="1"/>
  <c r="L918" i="18"/>
  <c r="M918" i="18" s="1"/>
  <c r="L919" i="18"/>
  <c r="M919" i="18" s="1"/>
  <c r="L920" i="18"/>
  <c r="M920" i="18" s="1"/>
  <c r="L921" i="18"/>
  <c r="M921" i="18" s="1"/>
  <c r="L922" i="18"/>
  <c r="M922" i="18" s="1"/>
  <c r="L923" i="18"/>
  <c r="M923" i="18" s="1"/>
  <c r="L924" i="18"/>
  <c r="M924" i="18" s="1"/>
  <c r="L925" i="18"/>
  <c r="M925" i="18" s="1"/>
  <c r="L926" i="18"/>
  <c r="M926" i="18" s="1"/>
  <c r="L927" i="18"/>
  <c r="M927" i="18" s="1"/>
  <c r="L928" i="18"/>
  <c r="M928" i="18" s="1"/>
  <c r="L929" i="18"/>
  <c r="M929" i="18" s="1"/>
  <c r="L930" i="18"/>
  <c r="M930" i="18" s="1"/>
  <c r="L931" i="18"/>
  <c r="M931" i="18" s="1"/>
  <c r="L932" i="18"/>
  <c r="M932" i="18" s="1"/>
  <c r="L933" i="18"/>
  <c r="M933" i="18" s="1"/>
  <c r="L934" i="18"/>
  <c r="M934" i="18" s="1"/>
  <c r="L935" i="18"/>
  <c r="M935" i="18" s="1"/>
  <c r="L936" i="18"/>
  <c r="M936" i="18" s="1"/>
  <c r="L937" i="18"/>
  <c r="M937" i="18" s="1"/>
  <c r="L938" i="18"/>
  <c r="M938" i="18" s="1"/>
  <c r="L939" i="18"/>
  <c r="M939" i="18" s="1"/>
  <c r="L940" i="18"/>
  <c r="M940" i="18" s="1"/>
  <c r="L941" i="18"/>
  <c r="M941" i="18" s="1"/>
  <c r="L942" i="18"/>
  <c r="M942" i="18" s="1"/>
  <c r="L943" i="18"/>
  <c r="M943" i="18" s="1"/>
  <c r="L944" i="18"/>
  <c r="M944" i="18" s="1"/>
  <c r="L945" i="18"/>
  <c r="M945" i="18" s="1"/>
  <c r="L946" i="18"/>
  <c r="M946" i="18" s="1"/>
  <c r="L947" i="18"/>
  <c r="M947" i="18" s="1"/>
  <c r="L948" i="18"/>
  <c r="M948" i="18" s="1"/>
  <c r="L949" i="18"/>
  <c r="M949" i="18" s="1"/>
  <c r="L950" i="18"/>
  <c r="M950" i="18" s="1"/>
  <c r="L951" i="18"/>
  <c r="M951" i="18" s="1"/>
  <c r="L952" i="18"/>
  <c r="M952" i="18" s="1"/>
  <c r="L953" i="18"/>
  <c r="M953" i="18" s="1"/>
  <c r="L954" i="18"/>
  <c r="M954" i="18" s="1"/>
  <c r="L955" i="18"/>
  <c r="M955" i="18" s="1"/>
  <c r="L956" i="18"/>
  <c r="M956" i="18" s="1"/>
  <c r="L957" i="18"/>
  <c r="M957" i="18" s="1"/>
  <c r="L958" i="18"/>
  <c r="M958" i="18" s="1"/>
  <c r="L959" i="18"/>
  <c r="M959" i="18" s="1"/>
  <c r="L960" i="18"/>
  <c r="M960" i="18" s="1"/>
  <c r="L961" i="18"/>
  <c r="M961" i="18" s="1"/>
  <c r="L962" i="18"/>
  <c r="M962" i="18" s="1"/>
  <c r="L963" i="18"/>
  <c r="M963" i="18" s="1"/>
  <c r="L964" i="18"/>
  <c r="M964" i="18" s="1"/>
  <c r="L965" i="18"/>
  <c r="M965" i="18" s="1"/>
  <c r="L966" i="18"/>
  <c r="M966" i="18" s="1"/>
  <c r="L967" i="18"/>
  <c r="M967" i="18" s="1"/>
  <c r="L968" i="18"/>
  <c r="M968" i="18" s="1"/>
  <c r="L969" i="18"/>
  <c r="M969" i="18" s="1"/>
  <c r="L970" i="18"/>
  <c r="M970" i="18" s="1"/>
  <c r="L971" i="18"/>
  <c r="M971" i="18" s="1"/>
  <c r="L972" i="18"/>
  <c r="M972" i="18" s="1"/>
  <c r="L973" i="18"/>
  <c r="M973" i="18" s="1"/>
  <c r="L974" i="18"/>
  <c r="M974" i="18" s="1"/>
  <c r="L975" i="18"/>
  <c r="M975" i="18" s="1"/>
  <c r="L976" i="18"/>
  <c r="M976" i="18" s="1"/>
  <c r="L977" i="18"/>
  <c r="M977" i="18" s="1"/>
  <c r="L978" i="18"/>
  <c r="M978" i="18" s="1"/>
  <c r="L979" i="18"/>
  <c r="M979" i="18" s="1"/>
  <c r="L980" i="18"/>
  <c r="M980" i="18" s="1"/>
  <c r="L981" i="18"/>
  <c r="M981" i="18" s="1"/>
  <c r="L982" i="18"/>
  <c r="M982" i="18" s="1"/>
  <c r="L983" i="18"/>
  <c r="M983" i="18" s="1"/>
  <c r="L984" i="18"/>
  <c r="M984" i="18" s="1"/>
  <c r="L985" i="18"/>
  <c r="M985" i="18" s="1"/>
  <c r="L986" i="18"/>
  <c r="M986" i="18" s="1"/>
  <c r="L987" i="18"/>
  <c r="M987" i="18" s="1"/>
  <c r="L988" i="18"/>
  <c r="M988" i="18" s="1"/>
  <c r="L989" i="18"/>
  <c r="M989" i="18" s="1"/>
  <c r="L990" i="18"/>
  <c r="M990" i="18" s="1"/>
  <c r="L991" i="18"/>
  <c r="M991" i="18" s="1"/>
  <c r="L992" i="18"/>
  <c r="M992" i="18" s="1"/>
  <c r="L993" i="18"/>
  <c r="M993" i="18" s="1"/>
  <c r="L994" i="18"/>
  <c r="M994" i="18" s="1"/>
  <c r="L995" i="18"/>
  <c r="M995" i="18" s="1"/>
  <c r="L996" i="18"/>
  <c r="M996" i="18" s="1"/>
  <c r="L997" i="18"/>
  <c r="M997" i="18" s="1"/>
  <c r="L998" i="18"/>
  <c r="M998" i="18" s="1"/>
  <c r="L999" i="18"/>
  <c r="M999" i="18" s="1"/>
  <c r="L1000" i="18"/>
  <c r="M1000" i="18" s="1"/>
  <c r="L1001" i="18"/>
  <c r="M1001" i="18" s="1"/>
  <c r="L2" i="18"/>
  <c r="M2" i="18" s="1"/>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2" i="18"/>
  <c r="J3" i="18"/>
  <c r="O3" i="18" s="1"/>
  <c r="J4" i="18"/>
  <c r="O4" i="18" s="1"/>
  <c r="J5" i="18"/>
  <c r="O5" i="18" s="1"/>
  <c r="J6" i="18"/>
  <c r="O6" i="18" s="1"/>
  <c r="J7" i="18"/>
  <c r="O7" i="18" s="1"/>
  <c r="J8" i="18"/>
  <c r="O8" i="18" s="1"/>
  <c r="J9" i="18"/>
  <c r="O9" i="18" s="1"/>
  <c r="J10" i="18"/>
  <c r="O10" i="18" s="1"/>
  <c r="J11" i="18"/>
  <c r="O11" i="18" s="1"/>
  <c r="J12" i="18"/>
  <c r="O12" i="18" s="1"/>
  <c r="J13" i="18"/>
  <c r="O13" i="18" s="1"/>
  <c r="J14" i="18"/>
  <c r="O14" i="18" s="1"/>
  <c r="J15" i="18"/>
  <c r="O15" i="18" s="1"/>
  <c r="J16" i="18"/>
  <c r="O16" i="18" s="1"/>
  <c r="J17" i="18"/>
  <c r="O17" i="18" s="1"/>
  <c r="J18" i="18"/>
  <c r="O18" i="18" s="1"/>
  <c r="J19" i="18"/>
  <c r="O19" i="18" s="1"/>
  <c r="J20" i="18"/>
  <c r="O20" i="18" s="1"/>
  <c r="J21" i="18"/>
  <c r="O21" i="18" s="1"/>
  <c r="J22" i="18"/>
  <c r="O22" i="18" s="1"/>
  <c r="J23" i="18"/>
  <c r="O23" i="18" s="1"/>
  <c r="J24" i="18"/>
  <c r="O24" i="18" s="1"/>
  <c r="J25" i="18"/>
  <c r="O25" i="18" s="1"/>
  <c r="J26" i="18"/>
  <c r="O26" i="18" s="1"/>
  <c r="J27" i="18"/>
  <c r="O27" i="18" s="1"/>
  <c r="J28" i="18"/>
  <c r="O28" i="18" s="1"/>
  <c r="J29" i="18"/>
  <c r="O29" i="18" s="1"/>
  <c r="J30" i="18"/>
  <c r="O30" i="18" s="1"/>
  <c r="J31" i="18"/>
  <c r="O31" i="18" s="1"/>
  <c r="J32" i="18"/>
  <c r="O32" i="18" s="1"/>
  <c r="J33" i="18"/>
  <c r="O33" i="18" s="1"/>
  <c r="J34" i="18"/>
  <c r="O34" i="18" s="1"/>
  <c r="J35" i="18"/>
  <c r="O35" i="18" s="1"/>
  <c r="J36" i="18"/>
  <c r="O36" i="18" s="1"/>
  <c r="J37" i="18"/>
  <c r="O37" i="18" s="1"/>
  <c r="J38" i="18"/>
  <c r="O38" i="18" s="1"/>
  <c r="J39" i="18"/>
  <c r="O39" i="18" s="1"/>
  <c r="J40" i="18"/>
  <c r="O40" i="18" s="1"/>
  <c r="J41" i="18"/>
  <c r="O41" i="18" s="1"/>
  <c r="J42" i="18"/>
  <c r="O42" i="18" s="1"/>
  <c r="J43" i="18"/>
  <c r="O43" i="18" s="1"/>
  <c r="J44" i="18"/>
  <c r="O44" i="18" s="1"/>
  <c r="J45" i="18"/>
  <c r="O45" i="18" s="1"/>
  <c r="J46" i="18"/>
  <c r="O46" i="18" s="1"/>
  <c r="J47" i="18"/>
  <c r="O47" i="18" s="1"/>
  <c r="J48" i="18"/>
  <c r="O48" i="18" s="1"/>
  <c r="J49" i="18"/>
  <c r="O49" i="18" s="1"/>
  <c r="J50" i="18"/>
  <c r="O50" i="18" s="1"/>
  <c r="J51" i="18"/>
  <c r="O51" i="18" s="1"/>
  <c r="J52" i="18"/>
  <c r="O52" i="18" s="1"/>
  <c r="J53" i="18"/>
  <c r="O53" i="18" s="1"/>
  <c r="J54" i="18"/>
  <c r="O54" i="18" s="1"/>
  <c r="J55" i="18"/>
  <c r="O55" i="18" s="1"/>
  <c r="J56" i="18"/>
  <c r="O56" i="18" s="1"/>
  <c r="J57" i="18"/>
  <c r="O57" i="18" s="1"/>
  <c r="J58" i="18"/>
  <c r="O58" i="18" s="1"/>
  <c r="J59" i="18"/>
  <c r="O59" i="18" s="1"/>
  <c r="J60" i="18"/>
  <c r="O60" i="18" s="1"/>
  <c r="J61" i="18"/>
  <c r="O61" i="18" s="1"/>
  <c r="J62" i="18"/>
  <c r="O62" i="18" s="1"/>
  <c r="J63" i="18"/>
  <c r="O63" i="18" s="1"/>
  <c r="J64" i="18"/>
  <c r="O64" i="18" s="1"/>
  <c r="J65" i="18"/>
  <c r="O65" i="18" s="1"/>
  <c r="J66" i="18"/>
  <c r="O66" i="18" s="1"/>
  <c r="J67" i="18"/>
  <c r="O67" i="18" s="1"/>
  <c r="J68" i="18"/>
  <c r="O68" i="18" s="1"/>
  <c r="J69" i="18"/>
  <c r="O69" i="18" s="1"/>
  <c r="J70" i="18"/>
  <c r="O70" i="18" s="1"/>
  <c r="J71" i="18"/>
  <c r="O71" i="18" s="1"/>
  <c r="J72" i="18"/>
  <c r="O72" i="18" s="1"/>
  <c r="J73" i="18"/>
  <c r="O73" i="18" s="1"/>
  <c r="J74" i="18"/>
  <c r="O74" i="18" s="1"/>
  <c r="J75" i="18"/>
  <c r="O75" i="18" s="1"/>
  <c r="J76" i="18"/>
  <c r="O76" i="18" s="1"/>
  <c r="J77" i="18"/>
  <c r="O77" i="18" s="1"/>
  <c r="J78" i="18"/>
  <c r="O78" i="18" s="1"/>
  <c r="J79" i="18"/>
  <c r="O79" i="18" s="1"/>
  <c r="J80" i="18"/>
  <c r="O80" i="18" s="1"/>
  <c r="J81" i="18"/>
  <c r="O81" i="18" s="1"/>
  <c r="J82" i="18"/>
  <c r="O82" i="18" s="1"/>
  <c r="J83" i="18"/>
  <c r="O83" i="18" s="1"/>
  <c r="J84" i="18"/>
  <c r="O84" i="18" s="1"/>
  <c r="J85" i="18"/>
  <c r="O85" i="18" s="1"/>
  <c r="J86" i="18"/>
  <c r="O86" i="18" s="1"/>
  <c r="J87" i="18"/>
  <c r="O87" i="18" s="1"/>
  <c r="J88" i="18"/>
  <c r="O88" i="18" s="1"/>
  <c r="J89" i="18"/>
  <c r="O89" i="18" s="1"/>
  <c r="J90" i="18"/>
  <c r="O90" i="18" s="1"/>
  <c r="J91" i="18"/>
  <c r="O91" i="18" s="1"/>
  <c r="J92" i="18"/>
  <c r="O92" i="18" s="1"/>
  <c r="J93" i="18"/>
  <c r="O93" i="18" s="1"/>
  <c r="J94" i="18"/>
  <c r="O94" i="18" s="1"/>
  <c r="J95" i="18"/>
  <c r="O95" i="18" s="1"/>
  <c r="J96" i="18"/>
  <c r="O96" i="18" s="1"/>
  <c r="J97" i="18"/>
  <c r="O97" i="18" s="1"/>
  <c r="J98" i="18"/>
  <c r="O98" i="18" s="1"/>
  <c r="J99" i="18"/>
  <c r="O99" i="18" s="1"/>
  <c r="J100" i="18"/>
  <c r="O100" i="18" s="1"/>
  <c r="J101" i="18"/>
  <c r="O101" i="18" s="1"/>
  <c r="J102" i="18"/>
  <c r="O102" i="18" s="1"/>
  <c r="J103" i="18"/>
  <c r="O103" i="18" s="1"/>
  <c r="J104" i="18"/>
  <c r="O104" i="18" s="1"/>
  <c r="J105" i="18"/>
  <c r="O105" i="18" s="1"/>
  <c r="J106" i="18"/>
  <c r="O106" i="18" s="1"/>
  <c r="J107" i="18"/>
  <c r="O107" i="18" s="1"/>
  <c r="J108" i="18"/>
  <c r="O108" i="18" s="1"/>
  <c r="J109" i="18"/>
  <c r="O109" i="18" s="1"/>
  <c r="J110" i="18"/>
  <c r="O110" i="18" s="1"/>
  <c r="J111" i="18"/>
  <c r="O111" i="18" s="1"/>
  <c r="J112" i="18"/>
  <c r="O112" i="18" s="1"/>
  <c r="J113" i="18"/>
  <c r="O113" i="18" s="1"/>
  <c r="J114" i="18"/>
  <c r="O114" i="18" s="1"/>
  <c r="J115" i="18"/>
  <c r="O115" i="18" s="1"/>
  <c r="J116" i="18"/>
  <c r="O116" i="18" s="1"/>
  <c r="J117" i="18"/>
  <c r="O117" i="18" s="1"/>
  <c r="J118" i="18"/>
  <c r="O118" i="18" s="1"/>
  <c r="J119" i="18"/>
  <c r="O119" i="18" s="1"/>
  <c r="J120" i="18"/>
  <c r="O120" i="18" s="1"/>
  <c r="J121" i="18"/>
  <c r="O121" i="18" s="1"/>
  <c r="J122" i="18"/>
  <c r="O122" i="18" s="1"/>
  <c r="J123" i="18"/>
  <c r="O123" i="18" s="1"/>
  <c r="J124" i="18"/>
  <c r="O124" i="18" s="1"/>
  <c r="J125" i="18"/>
  <c r="O125" i="18" s="1"/>
  <c r="J126" i="18"/>
  <c r="O126" i="18" s="1"/>
  <c r="J127" i="18"/>
  <c r="O127" i="18" s="1"/>
  <c r="J128" i="18"/>
  <c r="O128" i="18" s="1"/>
  <c r="J129" i="18"/>
  <c r="O129" i="18" s="1"/>
  <c r="J130" i="18"/>
  <c r="O130" i="18" s="1"/>
  <c r="J131" i="18"/>
  <c r="O131" i="18" s="1"/>
  <c r="J132" i="18"/>
  <c r="O132" i="18" s="1"/>
  <c r="J133" i="18"/>
  <c r="O133" i="18" s="1"/>
  <c r="J134" i="18"/>
  <c r="O134" i="18" s="1"/>
  <c r="J135" i="18"/>
  <c r="O135" i="18" s="1"/>
  <c r="J136" i="18"/>
  <c r="O136" i="18" s="1"/>
  <c r="J137" i="18"/>
  <c r="O137" i="18" s="1"/>
  <c r="J138" i="18"/>
  <c r="O138" i="18" s="1"/>
  <c r="J139" i="18"/>
  <c r="O139" i="18" s="1"/>
  <c r="J140" i="18"/>
  <c r="O140" i="18" s="1"/>
  <c r="J141" i="18"/>
  <c r="O141" i="18" s="1"/>
  <c r="J142" i="18"/>
  <c r="O142" i="18" s="1"/>
  <c r="J143" i="18"/>
  <c r="O143" i="18" s="1"/>
  <c r="J144" i="18"/>
  <c r="O144" i="18" s="1"/>
  <c r="J145" i="18"/>
  <c r="O145" i="18" s="1"/>
  <c r="J146" i="18"/>
  <c r="O146" i="18" s="1"/>
  <c r="J147" i="18"/>
  <c r="O147" i="18" s="1"/>
  <c r="J148" i="18"/>
  <c r="O148" i="18" s="1"/>
  <c r="J149" i="18"/>
  <c r="O149" i="18" s="1"/>
  <c r="J150" i="18"/>
  <c r="O150" i="18" s="1"/>
  <c r="J151" i="18"/>
  <c r="O151" i="18" s="1"/>
  <c r="J152" i="18"/>
  <c r="O152" i="18" s="1"/>
  <c r="J153" i="18"/>
  <c r="O153" i="18" s="1"/>
  <c r="J154" i="18"/>
  <c r="O154" i="18" s="1"/>
  <c r="J155" i="18"/>
  <c r="O155" i="18" s="1"/>
  <c r="J156" i="18"/>
  <c r="O156" i="18" s="1"/>
  <c r="J157" i="18"/>
  <c r="O157" i="18" s="1"/>
  <c r="J158" i="18"/>
  <c r="O158" i="18" s="1"/>
  <c r="J159" i="18"/>
  <c r="O159" i="18" s="1"/>
  <c r="J160" i="18"/>
  <c r="O160" i="18" s="1"/>
  <c r="J161" i="18"/>
  <c r="O161" i="18" s="1"/>
  <c r="J162" i="18"/>
  <c r="O162" i="18" s="1"/>
  <c r="J163" i="18"/>
  <c r="O163" i="18" s="1"/>
  <c r="J164" i="18"/>
  <c r="O164" i="18" s="1"/>
  <c r="J165" i="18"/>
  <c r="O165" i="18" s="1"/>
  <c r="J166" i="18"/>
  <c r="O166" i="18" s="1"/>
  <c r="J167" i="18"/>
  <c r="O167" i="18" s="1"/>
  <c r="J168" i="18"/>
  <c r="O168" i="18" s="1"/>
  <c r="J169" i="18"/>
  <c r="O169" i="18" s="1"/>
  <c r="J170" i="18"/>
  <c r="O170" i="18" s="1"/>
  <c r="J171" i="18"/>
  <c r="O171" i="18" s="1"/>
  <c r="J172" i="18"/>
  <c r="O172" i="18" s="1"/>
  <c r="J173" i="18"/>
  <c r="O173" i="18" s="1"/>
  <c r="J174" i="18"/>
  <c r="O174" i="18" s="1"/>
  <c r="J175" i="18"/>
  <c r="O175" i="18" s="1"/>
  <c r="J176" i="18"/>
  <c r="O176" i="18" s="1"/>
  <c r="J177" i="18"/>
  <c r="O177" i="18" s="1"/>
  <c r="J178" i="18"/>
  <c r="O178" i="18" s="1"/>
  <c r="J179" i="18"/>
  <c r="O179" i="18" s="1"/>
  <c r="J180" i="18"/>
  <c r="O180" i="18" s="1"/>
  <c r="J181" i="18"/>
  <c r="O181" i="18" s="1"/>
  <c r="J182" i="18"/>
  <c r="O182" i="18" s="1"/>
  <c r="J183" i="18"/>
  <c r="O183" i="18" s="1"/>
  <c r="J184" i="18"/>
  <c r="O184" i="18" s="1"/>
  <c r="J185" i="18"/>
  <c r="O185" i="18" s="1"/>
  <c r="J186" i="18"/>
  <c r="O186" i="18" s="1"/>
  <c r="J187" i="18"/>
  <c r="O187" i="18" s="1"/>
  <c r="J188" i="18"/>
  <c r="O188" i="18" s="1"/>
  <c r="J189" i="18"/>
  <c r="O189" i="18" s="1"/>
  <c r="J190" i="18"/>
  <c r="O190" i="18" s="1"/>
  <c r="J191" i="18"/>
  <c r="O191" i="18" s="1"/>
  <c r="J192" i="18"/>
  <c r="O192" i="18" s="1"/>
  <c r="J193" i="18"/>
  <c r="O193" i="18" s="1"/>
  <c r="J194" i="18"/>
  <c r="O194" i="18" s="1"/>
  <c r="J195" i="18"/>
  <c r="O195" i="18" s="1"/>
  <c r="J196" i="18"/>
  <c r="O196" i="18" s="1"/>
  <c r="J197" i="18"/>
  <c r="O197" i="18" s="1"/>
  <c r="J198" i="18"/>
  <c r="O198" i="18" s="1"/>
  <c r="J199" i="18"/>
  <c r="O199" i="18" s="1"/>
  <c r="J200" i="18"/>
  <c r="O200" i="18" s="1"/>
  <c r="J201" i="18"/>
  <c r="O201" i="18" s="1"/>
  <c r="J202" i="18"/>
  <c r="O202" i="18" s="1"/>
  <c r="J203" i="18"/>
  <c r="O203" i="18" s="1"/>
  <c r="J204" i="18"/>
  <c r="O204" i="18" s="1"/>
  <c r="J205" i="18"/>
  <c r="O205" i="18" s="1"/>
  <c r="J206" i="18"/>
  <c r="O206" i="18" s="1"/>
  <c r="J207" i="18"/>
  <c r="O207" i="18" s="1"/>
  <c r="J208" i="18"/>
  <c r="O208" i="18" s="1"/>
  <c r="J209" i="18"/>
  <c r="O209" i="18" s="1"/>
  <c r="J210" i="18"/>
  <c r="O210" i="18" s="1"/>
  <c r="J211" i="18"/>
  <c r="O211" i="18" s="1"/>
  <c r="J212" i="18"/>
  <c r="O212" i="18" s="1"/>
  <c r="J213" i="18"/>
  <c r="O213" i="18" s="1"/>
  <c r="J214" i="18"/>
  <c r="O214" i="18" s="1"/>
  <c r="J215" i="18"/>
  <c r="O215" i="18" s="1"/>
  <c r="J216" i="18"/>
  <c r="O216" i="18" s="1"/>
  <c r="J217" i="18"/>
  <c r="O217" i="18" s="1"/>
  <c r="J218" i="18"/>
  <c r="O218" i="18" s="1"/>
  <c r="J219" i="18"/>
  <c r="O219" i="18" s="1"/>
  <c r="J220" i="18"/>
  <c r="O220" i="18" s="1"/>
  <c r="J221" i="18"/>
  <c r="O221" i="18" s="1"/>
  <c r="J222" i="18"/>
  <c r="O222" i="18" s="1"/>
  <c r="J223" i="18"/>
  <c r="O223" i="18" s="1"/>
  <c r="J224" i="18"/>
  <c r="O224" i="18" s="1"/>
  <c r="J225" i="18"/>
  <c r="O225" i="18" s="1"/>
  <c r="J226" i="18"/>
  <c r="O226" i="18" s="1"/>
  <c r="J227" i="18"/>
  <c r="O227" i="18" s="1"/>
  <c r="J228" i="18"/>
  <c r="O228" i="18" s="1"/>
  <c r="J229" i="18"/>
  <c r="O229" i="18" s="1"/>
  <c r="J230" i="18"/>
  <c r="O230" i="18" s="1"/>
  <c r="J231" i="18"/>
  <c r="O231" i="18" s="1"/>
  <c r="J232" i="18"/>
  <c r="O232" i="18" s="1"/>
  <c r="J233" i="18"/>
  <c r="O233" i="18" s="1"/>
  <c r="J234" i="18"/>
  <c r="O234" i="18" s="1"/>
  <c r="J235" i="18"/>
  <c r="O235" i="18" s="1"/>
  <c r="J236" i="18"/>
  <c r="O236" i="18" s="1"/>
  <c r="J237" i="18"/>
  <c r="O237" i="18" s="1"/>
  <c r="J238" i="18"/>
  <c r="O238" i="18" s="1"/>
  <c r="J239" i="18"/>
  <c r="O239" i="18" s="1"/>
  <c r="J240" i="18"/>
  <c r="O240" i="18" s="1"/>
  <c r="J241" i="18"/>
  <c r="O241" i="18" s="1"/>
  <c r="J242" i="18"/>
  <c r="O242" i="18" s="1"/>
  <c r="J243" i="18"/>
  <c r="O243" i="18" s="1"/>
  <c r="J244" i="18"/>
  <c r="O244" i="18" s="1"/>
  <c r="J245" i="18"/>
  <c r="O245" i="18" s="1"/>
  <c r="J246" i="18"/>
  <c r="O246" i="18" s="1"/>
  <c r="J247" i="18"/>
  <c r="O247" i="18" s="1"/>
  <c r="J248" i="18"/>
  <c r="O248" i="18" s="1"/>
  <c r="J249" i="18"/>
  <c r="O249" i="18" s="1"/>
  <c r="J250" i="18"/>
  <c r="O250" i="18" s="1"/>
  <c r="J251" i="18"/>
  <c r="O251" i="18" s="1"/>
  <c r="J252" i="18"/>
  <c r="O252" i="18" s="1"/>
  <c r="J253" i="18"/>
  <c r="O253" i="18" s="1"/>
  <c r="J254" i="18"/>
  <c r="O254" i="18" s="1"/>
  <c r="J255" i="18"/>
  <c r="O255" i="18" s="1"/>
  <c r="J256" i="18"/>
  <c r="O256" i="18" s="1"/>
  <c r="J257" i="18"/>
  <c r="O257" i="18" s="1"/>
  <c r="J258" i="18"/>
  <c r="O258" i="18" s="1"/>
  <c r="J259" i="18"/>
  <c r="O259" i="18" s="1"/>
  <c r="J260" i="18"/>
  <c r="O260" i="18" s="1"/>
  <c r="J261" i="18"/>
  <c r="O261" i="18" s="1"/>
  <c r="J262" i="18"/>
  <c r="O262" i="18" s="1"/>
  <c r="J263" i="18"/>
  <c r="O263" i="18" s="1"/>
  <c r="J264" i="18"/>
  <c r="O264" i="18" s="1"/>
  <c r="J265" i="18"/>
  <c r="O265" i="18" s="1"/>
  <c r="J266" i="18"/>
  <c r="O266" i="18" s="1"/>
  <c r="J267" i="18"/>
  <c r="O267" i="18" s="1"/>
  <c r="J268" i="18"/>
  <c r="O268" i="18" s="1"/>
  <c r="J269" i="18"/>
  <c r="O269" i="18" s="1"/>
  <c r="J270" i="18"/>
  <c r="O270" i="18" s="1"/>
  <c r="J271" i="18"/>
  <c r="O271" i="18" s="1"/>
  <c r="J272" i="18"/>
  <c r="O272" i="18" s="1"/>
  <c r="J273" i="18"/>
  <c r="O273" i="18" s="1"/>
  <c r="J274" i="18"/>
  <c r="O274" i="18" s="1"/>
  <c r="J275" i="18"/>
  <c r="O275" i="18" s="1"/>
  <c r="J276" i="18"/>
  <c r="O276" i="18" s="1"/>
  <c r="J277" i="18"/>
  <c r="O277" i="18" s="1"/>
  <c r="J278" i="18"/>
  <c r="O278" i="18" s="1"/>
  <c r="J279" i="18"/>
  <c r="O279" i="18" s="1"/>
  <c r="J280" i="18"/>
  <c r="O280" i="18" s="1"/>
  <c r="J281" i="18"/>
  <c r="O281" i="18" s="1"/>
  <c r="J282" i="18"/>
  <c r="O282" i="18" s="1"/>
  <c r="J283" i="18"/>
  <c r="O283" i="18" s="1"/>
  <c r="J284" i="18"/>
  <c r="O284" i="18" s="1"/>
  <c r="J285" i="18"/>
  <c r="O285" i="18" s="1"/>
  <c r="J286" i="18"/>
  <c r="O286" i="18" s="1"/>
  <c r="J287" i="18"/>
  <c r="O287" i="18" s="1"/>
  <c r="J288" i="18"/>
  <c r="O288" i="18" s="1"/>
  <c r="J289" i="18"/>
  <c r="O289" i="18" s="1"/>
  <c r="J290" i="18"/>
  <c r="O290" i="18" s="1"/>
  <c r="J291" i="18"/>
  <c r="O291" i="18" s="1"/>
  <c r="J292" i="18"/>
  <c r="O292" i="18" s="1"/>
  <c r="J293" i="18"/>
  <c r="O293" i="18" s="1"/>
  <c r="J294" i="18"/>
  <c r="O294" i="18" s="1"/>
  <c r="J295" i="18"/>
  <c r="O295" i="18" s="1"/>
  <c r="J296" i="18"/>
  <c r="O296" i="18" s="1"/>
  <c r="J297" i="18"/>
  <c r="O297" i="18" s="1"/>
  <c r="J298" i="18"/>
  <c r="O298" i="18" s="1"/>
  <c r="J299" i="18"/>
  <c r="O299" i="18" s="1"/>
  <c r="J300" i="18"/>
  <c r="O300" i="18" s="1"/>
  <c r="J301" i="18"/>
  <c r="O301" i="18" s="1"/>
  <c r="J302" i="18"/>
  <c r="O302" i="18" s="1"/>
  <c r="J303" i="18"/>
  <c r="O303" i="18" s="1"/>
  <c r="J304" i="18"/>
  <c r="O304" i="18" s="1"/>
  <c r="J305" i="18"/>
  <c r="O305" i="18" s="1"/>
  <c r="J306" i="18"/>
  <c r="O306" i="18" s="1"/>
  <c r="J307" i="18"/>
  <c r="O307" i="18" s="1"/>
  <c r="J308" i="18"/>
  <c r="O308" i="18" s="1"/>
  <c r="J309" i="18"/>
  <c r="O309" i="18" s="1"/>
  <c r="J310" i="18"/>
  <c r="O310" i="18" s="1"/>
  <c r="J311" i="18"/>
  <c r="O311" i="18" s="1"/>
  <c r="J312" i="18"/>
  <c r="O312" i="18" s="1"/>
  <c r="J313" i="18"/>
  <c r="O313" i="18" s="1"/>
  <c r="J314" i="18"/>
  <c r="O314" i="18" s="1"/>
  <c r="J315" i="18"/>
  <c r="O315" i="18" s="1"/>
  <c r="J316" i="18"/>
  <c r="O316" i="18" s="1"/>
  <c r="J317" i="18"/>
  <c r="O317" i="18" s="1"/>
  <c r="J318" i="18"/>
  <c r="O318" i="18" s="1"/>
  <c r="J319" i="18"/>
  <c r="O319" i="18" s="1"/>
  <c r="J320" i="18"/>
  <c r="O320" i="18" s="1"/>
  <c r="J321" i="18"/>
  <c r="O321" i="18" s="1"/>
  <c r="J322" i="18"/>
  <c r="O322" i="18" s="1"/>
  <c r="J323" i="18"/>
  <c r="O323" i="18" s="1"/>
  <c r="J324" i="18"/>
  <c r="O324" i="18" s="1"/>
  <c r="J325" i="18"/>
  <c r="O325" i="18" s="1"/>
  <c r="J326" i="18"/>
  <c r="O326" i="18" s="1"/>
  <c r="J327" i="18"/>
  <c r="O327" i="18" s="1"/>
  <c r="J328" i="18"/>
  <c r="O328" i="18" s="1"/>
  <c r="J329" i="18"/>
  <c r="O329" i="18" s="1"/>
  <c r="J330" i="18"/>
  <c r="O330" i="18" s="1"/>
  <c r="J331" i="18"/>
  <c r="O331" i="18" s="1"/>
  <c r="J332" i="18"/>
  <c r="O332" i="18" s="1"/>
  <c r="J333" i="18"/>
  <c r="O333" i="18" s="1"/>
  <c r="J334" i="18"/>
  <c r="O334" i="18" s="1"/>
  <c r="J335" i="18"/>
  <c r="O335" i="18" s="1"/>
  <c r="J336" i="18"/>
  <c r="O336" i="18" s="1"/>
  <c r="J337" i="18"/>
  <c r="O337" i="18" s="1"/>
  <c r="J338" i="18"/>
  <c r="O338" i="18" s="1"/>
  <c r="J339" i="18"/>
  <c r="O339" i="18" s="1"/>
  <c r="J340" i="18"/>
  <c r="O340" i="18" s="1"/>
  <c r="J341" i="18"/>
  <c r="O341" i="18" s="1"/>
  <c r="J342" i="18"/>
  <c r="O342" i="18" s="1"/>
  <c r="J343" i="18"/>
  <c r="O343" i="18" s="1"/>
  <c r="J344" i="18"/>
  <c r="O344" i="18" s="1"/>
  <c r="J345" i="18"/>
  <c r="O345" i="18" s="1"/>
  <c r="J346" i="18"/>
  <c r="O346" i="18" s="1"/>
  <c r="J347" i="18"/>
  <c r="O347" i="18" s="1"/>
  <c r="J348" i="18"/>
  <c r="O348" i="18" s="1"/>
  <c r="J349" i="18"/>
  <c r="O349" i="18" s="1"/>
  <c r="J350" i="18"/>
  <c r="O350" i="18" s="1"/>
  <c r="J351" i="18"/>
  <c r="O351" i="18" s="1"/>
  <c r="J352" i="18"/>
  <c r="O352" i="18" s="1"/>
  <c r="J353" i="18"/>
  <c r="O353" i="18" s="1"/>
  <c r="J354" i="18"/>
  <c r="O354" i="18" s="1"/>
  <c r="J355" i="18"/>
  <c r="O355" i="18" s="1"/>
  <c r="J356" i="18"/>
  <c r="O356" i="18" s="1"/>
  <c r="J357" i="18"/>
  <c r="O357" i="18" s="1"/>
  <c r="J358" i="18"/>
  <c r="O358" i="18" s="1"/>
  <c r="J359" i="18"/>
  <c r="O359" i="18" s="1"/>
  <c r="J360" i="18"/>
  <c r="O360" i="18" s="1"/>
  <c r="J361" i="18"/>
  <c r="O361" i="18" s="1"/>
  <c r="J362" i="18"/>
  <c r="O362" i="18" s="1"/>
  <c r="J363" i="18"/>
  <c r="O363" i="18" s="1"/>
  <c r="J364" i="18"/>
  <c r="O364" i="18" s="1"/>
  <c r="J365" i="18"/>
  <c r="O365" i="18" s="1"/>
  <c r="J366" i="18"/>
  <c r="O366" i="18" s="1"/>
  <c r="J367" i="18"/>
  <c r="O367" i="18" s="1"/>
  <c r="J368" i="18"/>
  <c r="O368" i="18" s="1"/>
  <c r="J369" i="18"/>
  <c r="O369" i="18" s="1"/>
  <c r="J370" i="18"/>
  <c r="O370" i="18" s="1"/>
  <c r="J371" i="18"/>
  <c r="O371" i="18" s="1"/>
  <c r="J372" i="18"/>
  <c r="O372" i="18" s="1"/>
  <c r="J373" i="18"/>
  <c r="O373" i="18" s="1"/>
  <c r="J374" i="18"/>
  <c r="O374" i="18" s="1"/>
  <c r="J375" i="18"/>
  <c r="O375" i="18" s="1"/>
  <c r="J376" i="18"/>
  <c r="O376" i="18" s="1"/>
  <c r="J377" i="18"/>
  <c r="O377" i="18" s="1"/>
  <c r="J378" i="18"/>
  <c r="O378" i="18" s="1"/>
  <c r="J379" i="18"/>
  <c r="O379" i="18" s="1"/>
  <c r="J380" i="18"/>
  <c r="O380" i="18" s="1"/>
  <c r="J381" i="18"/>
  <c r="O381" i="18" s="1"/>
  <c r="J382" i="18"/>
  <c r="O382" i="18" s="1"/>
  <c r="J383" i="18"/>
  <c r="O383" i="18" s="1"/>
  <c r="J384" i="18"/>
  <c r="O384" i="18" s="1"/>
  <c r="J385" i="18"/>
  <c r="O385" i="18" s="1"/>
  <c r="J386" i="18"/>
  <c r="O386" i="18" s="1"/>
  <c r="J387" i="18"/>
  <c r="O387" i="18" s="1"/>
  <c r="J388" i="18"/>
  <c r="O388" i="18" s="1"/>
  <c r="J389" i="18"/>
  <c r="O389" i="18" s="1"/>
  <c r="J390" i="18"/>
  <c r="O390" i="18" s="1"/>
  <c r="J391" i="18"/>
  <c r="O391" i="18" s="1"/>
  <c r="J392" i="18"/>
  <c r="O392" i="18" s="1"/>
  <c r="J393" i="18"/>
  <c r="O393" i="18" s="1"/>
  <c r="J394" i="18"/>
  <c r="O394" i="18" s="1"/>
  <c r="J395" i="18"/>
  <c r="O395" i="18" s="1"/>
  <c r="J396" i="18"/>
  <c r="O396" i="18" s="1"/>
  <c r="J397" i="18"/>
  <c r="O397" i="18" s="1"/>
  <c r="J398" i="18"/>
  <c r="O398" i="18" s="1"/>
  <c r="J399" i="18"/>
  <c r="O399" i="18" s="1"/>
  <c r="J400" i="18"/>
  <c r="O400" i="18" s="1"/>
  <c r="J401" i="18"/>
  <c r="O401" i="18" s="1"/>
  <c r="J402" i="18"/>
  <c r="O402" i="18" s="1"/>
  <c r="J403" i="18"/>
  <c r="O403" i="18" s="1"/>
  <c r="J404" i="18"/>
  <c r="O404" i="18" s="1"/>
  <c r="J405" i="18"/>
  <c r="O405" i="18" s="1"/>
  <c r="J406" i="18"/>
  <c r="O406" i="18" s="1"/>
  <c r="J407" i="18"/>
  <c r="O407" i="18" s="1"/>
  <c r="J408" i="18"/>
  <c r="O408" i="18" s="1"/>
  <c r="J409" i="18"/>
  <c r="O409" i="18" s="1"/>
  <c r="J410" i="18"/>
  <c r="O410" i="18" s="1"/>
  <c r="J411" i="18"/>
  <c r="O411" i="18" s="1"/>
  <c r="J412" i="18"/>
  <c r="O412" i="18" s="1"/>
  <c r="J413" i="18"/>
  <c r="O413" i="18" s="1"/>
  <c r="J414" i="18"/>
  <c r="O414" i="18" s="1"/>
  <c r="J415" i="18"/>
  <c r="O415" i="18" s="1"/>
  <c r="J416" i="18"/>
  <c r="O416" i="18" s="1"/>
  <c r="J417" i="18"/>
  <c r="O417" i="18" s="1"/>
  <c r="J418" i="18"/>
  <c r="O418" i="18" s="1"/>
  <c r="J419" i="18"/>
  <c r="O419" i="18" s="1"/>
  <c r="J420" i="18"/>
  <c r="O420" i="18" s="1"/>
  <c r="J421" i="18"/>
  <c r="O421" i="18" s="1"/>
  <c r="J422" i="18"/>
  <c r="O422" i="18" s="1"/>
  <c r="J423" i="18"/>
  <c r="O423" i="18" s="1"/>
  <c r="J424" i="18"/>
  <c r="O424" i="18" s="1"/>
  <c r="J425" i="18"/>
  <c r="O425" i="18" s="1"/>
  <c r="J426" i="18"/>
  <c r="O426" i="18" s="1"/>
  <c r="J427" i="18"/>
  <c r="O427" i="18" s="1"/>
  <c r="J428" i="18"/>
  <c r="O428" i="18" s="1"/>
  <c r="J429" i="18"/>
  <c r="O429" i="18" s="1"/>
  <c r="J430" i="18"/>
  <c r="O430" i="18" s="1"/>
  <c r="J431" i="18"/>
  <c r="O431" i="18" s="1"/>
  <c r="J432" i="18"/>
  <c r="O432" i="18" s="1"/>
  <c r="J433" i="18"/>
  <c r="O433" i="18" s="1"/>
  <c r="J434" i="18"/>
  <c r="O434" i="18" s="1"/>
  <c r="J435" i="18"/>
  <c r="O435" i="18" s="1"/>
  <c r="J436" i="18"/>
  <c r="O436" i="18" s="1"/>
  <c r="J437" i="18"/>
  <c r="O437" i="18" s="1"/>
  <c r="J438" i="18"/>
  <c r="O438" i="18" s="1"/>
  <c r="J439" i="18"/>
  <c r="O439" i="18" s="1"/>
  <c r="J440" i="18"/>
  <c r="O440" i="18" s="1"/>
  <c r="J441" i="18"/>
  <c r="O441" i="18" s="1"/>
  <c r="J442" i="18"/>
  <c r="O442" i="18" s="1"/>
  <c r="J443" i="18"/>
  <c r="O443" i="18" s="1"/>
  <c r="J444" i="18"/>
  <c r="O444" i="18" s="1"/>
  <c r="J445" i="18"/>
  <c r="O445" i="18" s="1"/>
  <c r="J446" i="18"/>
  <c r="O446" i="18" s="1"/>
  <c r="J447" i="18"/>
  <c r="O447" i="18" s="1"/>
  <c r="J448" i="18"/>
  <c r="O448" i="18" s="1"/>
  <c r="J449" i="18"/>
  <c r="O449" i="18" s="1"/>
  <c r="J450" i="18"/>
  <c r="O450" i="18" s="1"/>
  <c r="J451" i="18"/>
  <c r="O451" i="18" s="1"/>
  <c r="J452" i="18"/>
  <c r="O452" i="18" s="1"/>
  <c r="J453" i="18"/>
  <c r="O453" i="18" s="1"/>
  <c r="J454" i="18"/>
  <c r="O454" i="18" s="1"/>
  <c r="J455" i="18"/>
  <c r="O455" i="18" s="1"/>
  <c r="J456" i="18"/>
  <c r="O456" i="18" s="1"/>
  <c r="J457" i="18"/>
  <c r="O457" i="18" s="1"/>
  <c r="J458" i="18"/>
  <c r="O458" i="18" s="1"/>
  <c r="J459" i="18"/>
  <c r="O459" i="18" s="1"/>
  <c r="J460" i="18"/>
  <c r="O460" i="18" s="1"/>
  <c r="J461" i="18"/>
  <c r="O461" i="18" s="1"/>
  <c r="J462" i="18"/>
  <c r="O462" i="18" s="1"/>
  <c r="J463" i="18"/>
  <c r="O463" i="18" s="1"/>
  <c r="J464" i="18"/>
  <c r="O464" i="18" s="1"/>
  <c r="J465" i="18"/>
  <c r="O465" i="18" s="1"/>
  <c r="J466" i="18"/>
  <c r="O466" i="18" s="1"/>
  <c r="J467" i="18"/>
  <c r="O467" i="18" s="1"/>
  <c r="J468" i="18"/>
  <c r="O468" i="18" s="1"/>
  <c r="J469" i="18"/>
  <c r="O469" i="18" s="1"/>
  <c r="J470" i="18"/>
  <c r="O470" i="18" s="1"/>
  <c r="J471" i="18"/>
  <c r="O471" i="18" s="1"/>
  <c r="J472" i="18"/>
  <c r="O472" i="18" s="1"/>
  <c r="J473" i="18"/>
  <c r="O473" i="18" s="1"/>
  <c r="J474" i="18"/>
  <c r="O474" i="18" s="1"/>
  <c r="J475" i="18"/>
  <c r="O475" i="18" s="1"/>
  <c r="J476" i="18"/>
  <c r="O476" i="18" s="1"/>
  <c r="J477" i="18"/>
  <c r="O477" i="18" s="1"/>
  <c r="J478" i="18"/>
  <c r="O478" i="18" s="1"/>
  <c r="J479" i="18"/>
  <c r="O479" i="18" s="1"/>
  <c r="J480" i="18"/>
  <c r="O480" i="18" s="1"/>
  <c r="J481" i="18"/>
  <c r="O481" i="18" s="1"/>
  <c r="J482" i="18"/>
  <c r="O482" i="18" s="1"/>
  <c r="J483" i="18"/>
  <c r="O483" i="18" s="1"/>
  <c r="J484" i="18"/>
  <c r="O484" i="18" s="1"/>
  <c r="J485" i="18"/>
  <c r="O485" i="18" s="1"/>
  <c r="J486" i="18"/>
  <c r="O486" i="18" s="1"/>
  <c r="J487" i="18"/>
  <c r="O487" i="18" s="1"/>
  <c r="J488" i="18"/>
  <c r="O488" i="18" s="1"/>
  <c r="J489" i="18"/>
  <c r="O489" i="18" s="1"/>
  <c r="J490" i="18"/>
  <c r="O490" i="18" s="1"/>
  <c r="J491" i="18"/>
  <c r="O491" i="18" s="1"/>
  <c r="J492" i="18"/>
  <c r="O492" i="18" s="1"/>
  <c r="J493" i="18"/>
  <c r="O493" i="18" s="1"/>
  <c r="J494" i="18"/>
  <c r="O494" i="18" s="1"/>
  <c r="J495" i="18"/>
  <c r="O495" i="18" s="1"/>
  <c r="J496" i="18"/>
  <c r="O496" i="18" s="1"/>
  <c r="J497" i="18"/>
  <c r="O497" i="18" s="1"/>
  <c r="J498" i="18"/>
  <c r="O498" i="18" s="1"/>
  <c r="J499" i="18"/>
  <c r="O499" i="18" s="1"/>
  <c r="J500" i="18"/>
  <c r="O500" i="18" s="1"/>
  <c r="J501" i="18"/>
  <c r="O501" i="18" s="1"/>
  <c r="J502" i="18"/>
  <c r="O502" i="18" s="1"/>
  <c r="J503" i="18"/>
  <c r="O503" i="18" s="1"/>
  <c r="J504" i="18"/>
  <c r="O504" i="18" s="1"/>
  <c r="J505" i="18"/>
  <c r="O505" i="18" s="1"/>
  <c r="J506" i="18"/>
  <c r="O506" i="18" s="1"/>
  <c r="J507" i="18"/>
  <c r="O507" i="18" s="1"/>
  <c r="J508" i="18"/>
  <c r="O508" i="18" s="1"/>
  <c r="J509" i="18"/>
  <c r="O509" i="18" s="1"/>
  <c r="J510" i="18"/>
  <c r="O510" i="18" s="1"/>
  <c r="J511" i="18"/>
  <c r="O511" i="18" s="1"/>
  <c r="J512" i="18"/>
  <c r="O512" i="18" s="1"/>
  <c r="J513" i="18"/>
  <c r="O513" i="18" s="1"/>
  <c r="J514" i="18"/>
  <c r="O514" i="18" s="1"/>
  <c r="J515" i="18"/>
  <c r="O515" i="18" s="1"/>
  <c r="J516" i="18"/>
  <c r="O516" i="18" s="1"/>
  <c r="J517" i="18"/>
  <c r="O517" i="18" s="1"/>
  <c r="J518" i="18"/>
  <c r="O518" i="18" s="1"/>
  <c r="J519" i="18"/>
  <c r="O519" i="18" s="1"/>
  <c r="J520" i="18"/>
  <c r="O520" i="18" s="1"/>
  <c r="J521" i="18"/>
  <c r="O521" i="18" s="1"/>
  <c r="J522" i="18"/>
  <c r="O522" i="18" s="1"/>
  <c r="J523" i="18"/>
  <c r="O523" i="18" s="1"/>
  <c r="J524" i="18"/>
  <c r="O524" i="18" s="1"/>
  <c r="J525" i="18"/>
  <c r="O525" i="18" s="1"/>
  <c r="J526" i="18"/>
  <c r="O526" i="18" s="1"/>
  <c r="J527" i="18"/>
  <c r="O527" i="18" s="1"/>
  <c r="J528" i="18"/>
  <c r="O528" i="18" s="1"/>
  <c r="J529" i="18"/>
  <c r="O529" i="18" s="1"/>
  <c r="J530" i="18"/>
  <c r="O530" i="18" s="1"/>
  <c r="J531" i="18"/>
  <c r="O531" i="18" s="1"/>
  <c r="J532" i="18"/>
  <c r="O532" i="18" s="1"/>
  <c r="J533" i="18"/>
  <c r="O533" i="18" s="1"/>
  <c r="J534" i="18"/>
  <c r="O534" i="18" s="1"/>
  <c r="J535" i="18"/>
  <c r="O535" i="18" s="1"/>
  <c r="J536" i="18"/>
  <c r="O536" i="18" s="1"/>
  <c r="J537" i="18"/>
  <c r="O537" i="18" s="1"/>
  <c r="J538" i="18"/>
  <c r="O538" i="18" s="1"/>
  <c r="J539" i="18"/>
  <c r="O539" i="18" s="1"/>
  <c r="J540" i="18"/>
  <c r="O540" i="18" s="1"/>
  <c r="J541" i="18"/>
  <c r="O541" i="18" s="1"/>
  <c r="J542" i="18"/>
  <c r="O542" i="18" s="1"/>
  <c r="J543" i="18"/>
  <c r="O543" i="18" s="1"/>
  <c r="J544" i="18"/>
  <c r="O544" i="18" s="1"/>
  <c r="J545" i="18"/>
  <c r="O545" i="18" s="1"/>
  <c r="J546" i="18"/>
  <c r="O546" i="18" s="1"/>
  <c r="J547" i="18"/>
  <c r="O547" i="18" s="1"/>
  <c r="J548" i="18"/>
  <c r="O548" i="18" s="1"/>
  <c r="J549" i="18"/>
  <c r="O549" i="18" s="1"/>
  <c r="J550" i="18"/>
  <c r="O550" i="18" s="1"/>
  <c r="J551" i="18"/>
  <c r="O551" i="18" s="1"/>
  <c r="J552" i="18"/>
  <c r="O552" i="18" s="1"/>
  <c r="J553" i="18"/>
  <c r="O553" i="18" s="1"/>
  <c r="J554" i="18"/>
  <c r="O554" i="18" s="1"/>
  <c r="J555" i="18"/>
  <c r="O555" i="18" s="1"/>
  <c r="J556" i="18"/>
  <c r="O556" i="18" s="1"/>
  <c r="J557" i="18"/>
  <c r="O557" i="18" s="1"/>
  <c r="J558" i="18"/>
  <c r="O558" i="18" s="1"/>
  <c r="J559" i="18"/>
  <c r="O559" i="18" s="1"/>
  <c r="J560" i="18"/>
  <c r="O560" i="18" s="1"/>
  <c r="J561" i="18"/>
  <c r="O561" i="18" s="1"/>
  <c r="J562" i="18"/>
  <c r="O562" i="18" s="1"/>
  <c r="J563" i="18"/>
  <c r="O563" i="18" s="1"/>
  <c r="J564" i="18"/>
  <c r="O564" i="18" s="1"/>
  <c r="J565" i="18"/>
  <c r="O565" i="18" s="1"/>
  <c r="J566" i="18"/>
  <c r="O566" i="18" s="1"/>
  <c r="J567" i="18"/>
  <c r="O567" i="18" s="1"/>
  <c r="J568" i="18"/>
  <c r="O568" i="18" s="1"/>
  <c r="J569" i="18"/>
  <c r="O569" i="18" s="1"/>
  <c r="J570" i="18"/>
  <c r="O570" i="18" s="1"/>
  <c r="J571" i="18"/>
  <c r="O571" i="18" s="1"/>
  <c r="J572" i="18"/>
  <c r="O572" i="18" s="1"/>
  <c r="J573" i="18"/>
  <c r="O573" i="18" s="1"/>
  <c r="J574" i="18"/>
  <c r="O574" i="18" s="1"/>
  <c r="J575" i="18"/>
  <c r="O575" i="18" s="1"/>
  <c r="J576" i="18"/>
  <c r="O576" i="18" s="1"/>
  <c r="J577" i="18"/>
  <c r="O577" i="18" s="1"/>
  <c r="J578" i="18"/>
  <c r="O578" i="18" s="1"/>
  <c r="J579" i="18"/>
  <c r="O579" i="18" s="1"/>
  <c r="J580" i="18"/>
  <c r="O580" i="18" s="1"/>
  <c r="J581" i="18"/>
  <c r="O581" i="18" s="1"/>
  <c r="J582" i="18"/>
  <c r="O582" i="18" s="1"/>
  <c r="J583" i="18"/>
  <c r="O583" i="18" s="1"/>
  <c r="J584" i="18"/>
  <c r="O584" i="18" s="1"/>
  <c r="J585" i="18"/>
  <c r="O585" i="18" s="1"/>
  <c r="J586" i="18"/>
  <c r="O586" i="18" s="1"/>
  <c r="J587" i="18"/>
  <c r="O587" i="18" s="1"/>
  <c r="J588" i="18"/>
  <c r="O588" i="18" s="1"/>
  <c r="J589" i="18"/>
  <c r="O589" i="18" s="1"/>
  <c r="J590" i="18"/>
  <c r="O590" i="18" s="1"/>
  <c r="J591" i="18"/>
  <c r="O591" i="18" s="1"/>
  <c r="J592" i="18"/>
  <c r="O592" i="18" s="1"/>
  <c r="J593" i="18"/>
  <c r="O593" i="18" s="1"/>
  <c r="J594" i="18"/>
  <c r="O594" i="18" s="1"/>
  <c r="J595" i="18"/>
  <c r="O595" i="18" s="1"/>
  <c r="J596" i="18"/>
  <c r="O596" i="18" s="1"/>
  <c r="J597" i="18"/>
  <c r="O597" i="18" s="1"/>
  <c r="J598" i="18"/>
  <c r="O598" i="18" s="1"/>
  <c r="J599" i="18"/>
  <c r="O599" i="18" s="1"/>
  <c r="J600" i="18"/>
  <c r="O600" i="18" s="1"/>
  <c r="J601" i="18"/>
  <c r="O601" i="18" s="1"/>
  <c r="J602" i="18"/>
  <c r="O602" i="18" s="1"/>
  <c r="J603" i="18"/>
  <c r="O603" i="18" s="1"/>
  <c r="J604" i="18"/>
  <c r="O604" i="18" s="1"/>
  <c r="J605" i="18"/>
  <c r="O605" i="18" s="1"/>
  <c r="J606" i="18"/>
  <c r="O606" i="18" s="1"/>
  <c r="J607" i="18"/>
  <c r="O607" i="18" s="1"/>
  <c r="J608" i="18"/>
  <c r="O608" i="18" s="1"/>
  <c r="J609" i="18"/>
  <c r="O609" i="18" s="1"/>
  <c r="J610" i="18"/>
  <c r="O610" i="18" s="1"/>
  <c r="J611" i="18"/>
  <c r="O611" i="18" s="1"/>
  <c r="J612" i="18"/>
  <c r="O612" i="18" s="1"/>
  <c r="J613" i="18"/>
  <c r="O613" i="18" s="1"/>
  <c r="J614" i="18"/>
  <c r="O614" i="18" s="1"/>
  <c r="J615" i="18"/>
  <c r="O615" i="18" s="1"/>
  <c r="J616" i="18"/>
  <c r="O616" i="18" s="1"/>
  <c r="J617" i="18"/>
  <c r="O617" i="18" s="1"/>
  <c r="J618" i="18"/>
  <c r="O618" i="18" s="1"/>
  <c r="J619" i="18"/>
  <c r="O619" i="18" s="1"/>
  <c r="J620" i="18"/>
  <c r="O620" i="18" s="1"/>
  <c r="J621" i="18"/>
  <c r="O621" i="18" s="1"/>
  <c r="J622" i="18"/>
  <c r="O622" i="18" s="1"/>
  <c r="J623" i="18"/>
  <c r="O623" i="18" s="1"/>
  <c r="J624" i="18"/>
  <c r="O624" i="18" s="1"/>
  <c r="J625" i="18"/>
  <c r="O625" i="18" s="1"/>
  <c r="J626" i="18"/>
  <c r="O626" i="18" s="1"/>
  <c r="J627" i="18"/>
  <c r="O627" i="18" s="1"/>
  <c r="J628" i="18"/>
  <c r="O628" i="18" s="1"/>
  <c r="J629" i="18"/>
  <c r="O629" i="18" s="1"/>
  <c r="J630" i="18"/>
  <c r="O630" i="18" s="1"/>
  <c r="J631" i="18"/>
  <c r="O631" i="18" s="1"/>
  <c r="J632" i="18"/>
  <c r="O632" i="18" s="1"/>
  <c r="J633" i="18"/>
  <c r="O633" i="18" s="1"/>
  <c r="J634" i="18"/>
  <c r="O634" i="18" s="1"/>
  <c r="J635" i="18"/>
  <c r="O635" i="18" s="1"/>
  <c r="J636" i="18"/>
  <c r="O636" i="18" s="1"/>
  <c r="J637" i="18"/>
  <c r="O637" i="18" s="1"/>
  <c r="J638" i="18"/>
  <c r="O638" i="18" s="1"/>
  <c r="J639" i="18"/>
  <c r="O639" i="18" s="1"/>
  <c r="J640" i="18"/>
  <c r="O640" i="18" s="1"/>
  <c r="J641" i="18"/>
  <c r="O641" i="18" s="1"/>
  <c r="J642" i="18"/>
  <c r="O642" i="18" s="1"/>
  <c r="J643" i="18"/>
  <c r="O643" i="18" s="1"/>
  <c r="J644" i="18"/>
  <c r="O644" i="18" s="1"/>
  <c r="J645" i="18"/>
  <c r="O645" i="18" s="1"/>
  <c r="J646" i="18"/>
  <c r="O646" i="18" s="1"/>
  <c r="J647" i="18"/>
  <c r="O647" i="18" s="1"/>
  <c r="J648" i="18"/>
  <c r="O648" i="18" s="1"/>
  <c r="J649" i="18"/>
  <c r="O649" i="18" s="1"/>
  <c r="J650" i="18"/>
  <c r="O650" i="18" s="1"/>
  <c r="J651" i="18"/>
  <c r="O651" i="18" s="1"/>
  <c r="J652" i="18"/>
  <c r="O652" i="18" s="1"/>
  <c r="J653" i="18"/>
  <c r="O653" i="18" s="1"/>
  <c r="J654" i="18"/>
  <c r="O654" i="18" s="1"/>
  <c r="J655" i="18"/>
  <c r="O655" i="18" s="1"/>
  <c r="J656" i="18"/>
  <c r="O656" i="18" s="1"/>
  <c r="J657" i="18"/>
  <c r="O657" i="18" s="1"/>
  <c r="J658" i="18"/>
  <c r="O658" i="18" s="1"/>
  <c r="J659" i="18"/>
  <c r="O659" i="18" s="1"/>
  <c r="J660" i="18"/>
  <c r="O660" i="18" s="1"/>
  <c r="J661" i="18"/>
  <c r="O661" i="18" s="1"/>
  <c r="J662" i="18"/>
  <c r="O662" i="18" s="1"/>
  <c r="J663" i="18"/>
  <c r="O663" i="18" s="1"/>
  <c r="J664" i="18"/>
  <c r="O664" i="18" s="1"/>
  <c r="J665" i="18"/>
  <c r="O665" i="18" s="1"/>
  <c r="J666" i="18"/>
  <c r="O666" i="18" s="1"/>
  <c r="J667" i="18"/>
  <c r="O667" i="18" s="1"/>
  <c r="J668" i="18"/>
  <c r="O668" i="18" s="1"/>
  <c r="J669" i="18"/>
  <c r="O669" i="18" s="1"/>
  <c r="J670" i="18"/>
  <c r="O670" i="18" s="1"/>
  <c r="J671" i="18"/>
  <c r="O671" i="18" s="1"/>
  <c r="J672" i="18"/>
  <c r="O672" i="18" s="1"/>
  <c r="J673" i="18"/>
  <c r="O673" i="18" s="1"/>
  <c r="J674" i="18"/>
  <c r="O674" i="18" s="1"/>
  <c r="J675" i="18"/>
  <c r="O675" i="18" s="1"/>
  <c r="J676" i="18"/>
  <c r="O676" i="18" s="1"/>
  <c r="J677" i="18"/>
  <c r="O677" i="18" s="1"/>
  <c r="J678" i="18"/>
  <c r="O678" i="18" s="1"/>
  <c r="J679" i="18"/>
  <c r="O679" i="18" s="1"/>
  <c r="J680" i="18"/>
  <c r="O680" i="18" s="1"/>
  <c r="J681" i="18"/>
  <c r="O681" i="18" s="1"/>
  <c r="J682" i="18"/>
  <c r="O682" i="18" s="1"/>
  <c r="J683" i="18"/>
  <c r="O683" i="18" s="1"/>
  <c r="J684" i="18"/>
  <c r="O684" i="18" s="1"/>
  <c r="J685" i="18"/>
  <c r="O685" i="18" s="1"/>
  <c r="J686" i="18"/>
  <c r="O686" i="18" s="1"/>
  <c r="J687" i="18"/>
  <c r="O687" i="18" s="1"/>
  <c r="J688" i="18"/>
  <c r="O688" i="18" s="1"/>
  <c r="J689" i="18"/>
  <c r="O689" i="18" s="1"/>
  <c r="J690" i="18"/>
  <c r="O690" i="18" s="1"/>
  <c r="J691" i="18"/>
  <c r="O691" i="18" s="1"/>
  <c r="J692" i="18"/>
  <c r="O692" i="18" s="1"/>
  <c r="J693" i="18"/>
  <c r="O693" i="18" s="1"/>
  <c r="J694" i="18"/>
  <c r="O694" i="18" s="1"/>
  <c r="J695" i="18"/>
  <c r="O695" i="18" s="1"/>
  <c r="J696" i="18"/>
  <c r="O696" i="18" s="1"/>
  <c r="J697" i="18"/>
  <c r="O697" i="18" s="1"/>
  <c r="J698" i="18"/>
  <c r="O698" i="18" s="1"/>
  <c r="J699" i="18"/>
  <c r="O699" i="18" s="1"/>
  <c r="J700" i="18"/>
  <c r="O700" i="18" s="1"/>
  <c r="J701" i="18"/>
  <c r="O701" i="18" s="1"/>
  <c r="J702" i="18"/>
  <c r="O702" i="18" s="1"/>
  <c r="J703" i="18"/>
  <c r="O703" i="18" s="1"/>
  <c r="J704" i="18"/>
  <c r="O704" i="18" s="1"/>
  <c r="J705" i="18"/>
  <c r="O705" i="18" s="1"/>
  <c r="J706" i="18"/>
  <c r="O706" i="18" s="1"/>
  <c r="J707" i="18"/>
  <c r="O707" i="18" s="1"/>
  <c r="J708" i="18"/>
  <c r="O708" i="18" s="1"/>
  <c r="J709" i="18"/>
  <c r="O709" i="18" s="1"/>
  <c r="J710" i="18"/>
  <c r="O710" i="18" s="1"/>
  <c r="J711" i="18"/>
  <c r="O711" i="18" s="1"/>
  <c r="J712" i="18"/>
  <c r="O712" i="18" s="1"/>
  <c r="J713" i="18"/>
  <c r="O713" i="18" s="1"/>
  <c r="J714" i="18"/>
  <c r="O714" i="18" s="1"/>
  <c r="J715" i="18"/>
  <c r="O715" i="18" s="1"/>
  <c r="J716" i="18"/>
  <c r="O716" i="18" s="1"/>
  <c r="J717" i="18"/>
  <c r="O717" i="18" s="1"/>
  <c r="J718" i="18"/>
  <c r="O718" i="18" s="1"/>
  <c r="J719" i="18"/>
  <c r="O719" i="18" s="1"/>
  <c r="J720" i="18"/>
  <c r="O720" i="18" s="1"/>
  <c r="J721" i="18"/>
  <c r="O721" i="18" s="1"/>
  <c r="J722" i="18"/>
  <c r="O722" i="18" s="1"/>
  <c r="J723" i="18"/>
  <c r="O723" i="18" s="1"/>
  <c r="J724" i="18"/>
  <c r="O724" i="18" s="1"/>
  <c r="J725" i="18"/>
  <c r="O725" i="18" s="1"/>
  <c r="J726" i="18"/>
  <c r="O726" i="18" s="1"/>
  <c r="J727" i="18"/>
  <c r="O727" i="18" s="1"/>
  <c r="J728" i="18"/>
  <c r="O728" i="18" s="1"/>
  <c r="J729" i="18"/>
  <c r="O729" i="18" s="1"/>
  <c r="J730" i="18"/>
  <c r="O730" i="18" s="1"/>
  <c r="J731" i="18"/>
  <c r="O731" i="18" s="1"/>
  <c r="J732" i="18"/>
  <c r="O732" i="18" s="1"/>
  <c r="J733" i="18"/>
  <c r="O733" i="18" s="1"/>
  <c r="J734" i="18"/>
  <c r="O734" i="18" s="1"/>
  <c r="J735" i="18"/>
  <c r="O735" i="18" s="1"/>
  <c r="J736" i="18"/>
  <c r="O736" i="18" s="1"/>
  <c r="J737" i="18"/>
  <c r="O737" i="18" s="1"/>
  <c r="J738" i="18"/>
  <c r="O738" i="18" s="1"/>
  <c r="J739" i="18"/>
  <c r="O739" i="18" s="1"/>
  <c r="J740" i="18"/>
  <c r="O740" i="18" s="1"/>
  <c r="J741" i="18"/>
  <c r="O741" i="18" s="1"/>
  <c r="J742" i="18"/>
  <c r="O742" i="18" s="1"/>
  <c r="J743" i="18"/>
  <c r="O743" i="18" s="1"/>
  <c r="J744" i="18"/>
  <c r="O744" i="18" s="1"/>
  <c r="J745" i="18"/>
  <c r="O745" i="18" s="1"/>
  <c r="J746" i="18"/>
  <c r="O746" i="18" s="1"/>
  <c r="J747" i="18"/>
  <c r="O747" i="18" s="1"/>
  <c r="J748" i="18"/>
  <c r="O748" i="18" s="1"/>
  <c r="J749" i="18"/>
  <c r="O749" i="18" s="1"/>
  <c r="J750" i="18"/>
  <c r="O750" i="18" s="1"/>
  <c r="J751" i="18"/>
  <c r="O751" i="18" s="1"/>
  <c r="J752" i="18"/>
  <c r="O752" i="18" s="1"/>
  <c r="J753" i="18"/>
  <c r="O753" i="18" s="1"/>
  <c r="J754" i="18"/>
  <c r="O754" i="18" s="1"/>
  <c r="J755" i="18"/>
  <c r="O755" i="18" s="1"/>
  <c r="J756" i="18"/>
  <c r="O756" i="18" s="1"/>
  <c r="J757" i="18"/>
  <c r="O757" i="18" s="1"/>
  <c r="J758" i="18"/>
  <c r="O758" i="18" s="1"/>
  <c r="J759" i="18"/>
  <c r="O759" i="18" s="1"/>
  <c r="J760" i="18"/>
  <c r="O760" i="18" s="1"/>
  <c r="J761" i="18"/>
  <c r="O761" i="18" s="1"/>
  <c r="J762" i="18"/>
  <c r="O762" i="18" s="1"/>
  <c r="J763" i="18"/>
  <c r="O763" i="18" s="1"/>
  <c r="J764" i="18"/>
  <c r="O764" i="18" s="1"/>
  <c r="J765" i="18"/>
  <c r="O765" i="18" s="1"/>
  <c r="J766" i="18"/>
  <c r="O766" i="18" s="1"/>
  <c r="J767" i="18"/>
  <c r="O767" i="18" s="1"/>
  <c r="J768" i="18"/>
  <c r="O768" i="18" s="1"/>
  <c r="J769" i="18"/>
  <c r="O769" i="18" s="1"/>
  <c r="J770" i="18"/>
  <c r="O770" i="18" s="1"/>
  <c r="J771" i="18"/>
  <c r="O771" i="18" s="1"/>
  <c r="J772" i="18"/>
  <c r="O772" i="18" s="1"/>
  <c r="J773" i="18"/>
  <c r="O773" i="18" s="1"/>
  <c r="J774" i="18"/>
  <c r="O774" i="18" s="1"/>
  <c r="J775" i="18"/>
  <c r="O775" i="18" s="1"/>
  <c r="J776" i="18"/>
  <c r="O776" i="18" s="1"/>
  <c r="J777" i="18"/>
  <c r="O777" i="18" s="1"/>
  <c r="J778" i="18"/>
  <c r="O778" i="18" s="1"/>
  <c r="J779" i="18"/>
  <c r="O779" i="18" s="1"/>
  <c r="J780" i="18"/>
  <c r="O780" i="18" s="1"/>
  <c r="J781" i="18"/>
  <c r="O781" i="18" s="1"/>
  <c r="J782" i="18"/>
  <c r="O782" i="18" s="1"/>
  <c r="J783" i="18"/>
  <c r="O783" i="18" s="1"/>
  <c r="J784" i="18"/>
  <c r="O784" i="18" s="1"/>
  <c r="J785" i="18"/>
  <c r="O785" i="18" s="1"/>
  <c r="J786" i="18"/>
  <c r="O786" i="18" s="1"/>
  <c r="J787" i="18"/>
  <c r="O787" i="18" s="1"/>
  <c r="J788" i="18"/>
  <c r="O788" i="18" s="1"/>
  <c r="J789" i="18"/>
  <c r="O789" i="18" s="1"/>
  <c r="J790" i="18"/>
  <c r="O790" i="18" s="1"/>
  <c r="J791" i="18"/>
  <c r="O791" i="18" s="1"/>
  <c r="J792" i="18"/>
  <c r="O792" i="18" s="1"/>
  <c r="J793" i="18"/>
  <c r="O793" i="18" s="1"/>
  <c r="J794" i="18"/>
  <c r="O794" i="18" s="1"/>
  <c r="J795" i="18"/>
  <c r="O795" i="18" s="1"/>
  <c r="J796" i="18"/>
  <c r="O796" i="18" s="1"/>
  <c r="J797" i="18"/>
  <c r="O797" i="18" s="1"/>
  <c r="J798" i="18"/>
  <c r="O798" i="18" s="1"/>
  <c r="J799" i="18"/>
  <c r="O799" i="18" s="1"/>
  <c r="J800" i="18"/>
  <c r="O800" i="18" s="1"/>
  <c r="J801" i="18"/>
  <c r="O801" i="18" s="1"/>
  <c r="J802" i="18"/>
  <c r="O802" i="18" s="1"/>
  <c r="J803" i="18"/>
  <c r="O803" i="18" s="1"/>
  <c r="J804" i="18"/>
  <c r="O804" i="18" s="1"/>
  <c r="J805" i="18"/>
  <c r="O805" i="18" s="1"/>
  <c r="J806" i="18"/>
  <c r="O806" i="18" s="1"/>
  <c r="J807" i="18"/>
  <c r="O807" i="18" s="1"/>
  <c r="J808" i="18"/>
  <c r="O808" i="18" s="1"/>
  <c r="J809" i="18"/>
  <c r="O809" i="18" s="1"/>
  <c r="J810" i="18"/>
  <c r="O810" i="18" s="1"/>
  <c r="J811" i="18"/>
  <c r="O811" i="18" s="1"/>
  <c r="J812" i="18"/>
  <c r="O812" i="18" s="1"/>
  <c r="J813" i="18"/>
  <c r="O813" i="18" s="1"/>
  <c r="J814" i="18"/>
  <c r="O814" i="18" s="1"/>
  <c r="J815" i="18"/>
  <c r="O815" i="18" s="1"/>
  <c r="J816" i="18"/>
  <c r="O816" i="18" s="1"/>
  <c r="J817" i="18"/>
  <c r="O817" i="18" s="1"/>
  <c r="J818" i="18"/>
  <c r="O818" i="18" s="1"/>
  <c r="J819" i="18"/>
  <c r="O819" i="18" s="1"/>
  <c r="J820" i="18"/>
  <c r="O820" i="18" s="1"/>
  <c r="J821" i="18"/>
  <c r="O821" i="18" s="1"/>
  <c r="J822" i="18"/>
  <c r="O822" i="18" s="1"/>
  <c r="J823" i="18"/>
  <c r="O823" i="18" s="1"/>
  <c r="J824" i="18"/>
  <c r="O824" i="18" s="1"/>
  <c r="J825" i="18"/>
  <c r="O825" i="18" s="1"/>
  <c r="J826" i="18"/>
  <c r="O826" i="18" s="1"/>
  <c r="J827" i="18"/>
  <c r="O827" i="18" s="1"/>
  <c r="J828" i="18"/>
  <c r="O828" i="18" s="1"/>
  <c r="J829" i="18"/>
  <c r="O829" i="18" s="1"/>
  <c r="J830" i="18"/>
  <c r="O830" i="18" s="1"/>
  <c r="J831" i="18"/>
  <c r="O831" i="18" s="1"/>
  <c r="J832" i="18"/>
  <c r="O832" i="18" s="1"/>
  <c r="J833" i="18"/>
  <c r="O833" i="18" s="1"/>
  <c r="J834" i="18"/>
  <c r="O834" i="18" s="1"/>
  <c r="J835" i="18"/>
  <c r="O835" i="18" s="1"/>
  <c r="J836" i="18"/>
  <c r="O836" i="18" s="1"/>
  <c r="J837" i="18"/>
  <c r="O837" i="18" s="1"/>
  <c r="J838" i="18"/>
  <c r="O838" i="18" s="1"/>
  <c r="J839" i="18"/>
  <c r="O839" i="18" s="1"/>
  <c r="J840" i="18"/>
  <c r="O840" i="18" s="1"/>
  <c r="J841" i="18"/>
  <c r="O841" i="18" s="1"/>
  <c r="J842" i="18"/>
  <c r="O842" i="18" s="1"/>
  <c r="J843" i="18"/>
  <c r="O843" i="18" s="1"/>
  <c r="J844" i="18"/>
  <c r="O844" i="18" s="1"/>
  <c r="J845" i="18"/>
  <c r="O845" i="18" s="1"/>
  <c r="J846" i="18"/>
  <c r="O846" i="18" s="1"/>
  <c r="J847" i="18"/>
  <c r="O847" i="18" s="1"/>
  <c r="J848" i="18"/>
  <c r="O848" i="18" s="1"/>
  <c r="J849" i="18"/>
  <c r="O849" i="18" s="1"/>
  <c r="J850" i="18"/>
  <c r="O850" i="18" s="1"/>
  <c r="J851" i="18"/>
  <c r="O851" i="18" s="1"/>
  <c r="J852" i="18"/>
  <c r="O852" i="18" s="1"/>
  <c r="J853" i="18"/>
  <c r="O853" i="18" s="1"/>
  <c r="J854" i="18"/>
  <c r="O854" i="18" s="1"/>
  <c r="J855" i="18"/>
  <c r="O855" i="18" s="1"/>
  <c r="J856" i="18"/>
  <c r="O856" i="18" s="1"/>
  <c r="J857" i="18"/>
  <c r="O857" i="18" s="1"/>
  <c r="J858" i="18"/>
  <c r="O858" i="18" s="1"/>
  <c r="J859" i="18"/>
  <c r="O859" i="18" s="1"/>
  <c r="J860" i="18"/>
  <c r="O860" i="18" s="1"/>
  <c r="J861" i="18"/>
  <c r="O861" i="18" s="1"/>
  <c r="J862" i="18"/>
  <c r="O862" i="18" s="1"/>
  <c r="J863" i="18"/>
  <c r="O863" i="18" s="1"/>
  <c r="J864" i="18"/>
  <c r="O864" i="18" s="1"/>
  <c r="J865" i="18"/>
  <c r="O865" i="18" s="1"/>
  <c r="J866" i="18"/>
  <c r="O866" i="18" s="1"/>
  <c r="J867" i="18"/>
  <c r="O867" i="18" s="1"/>
  <c r="J868" i="18"/>
  <c r="O868" i="18" s="1"/>
  <c r="J869" i="18"/>
  <c r="O869" i="18" s="1"/>
  <c r="J870" i="18"/>
  <c r="O870" i="18" s="1"/>
  <c r="J871" i="18"/>
  <c r="O871" i="18" s="1"/>
  <c r="J872" i="18"/>
  <c r="O872" i="18" s="1"/>
  <c r="J873" i="18"/>
  <c r="O873" i="18" s="1"/>
  <c r="J874" i="18"/>
  <c r="O874" i="18" s="1"/>
  <c r="J875" i="18"/>
  <c r="O875" i="18" s="1"/>
  <c r="J876" i="18"/>
  <c r="O876" i="18" s="1"/>
  <c r="J877" i="18"/>
  <c r="O877" i="18" s="1"/>
  <c r="J878" i="18"/>
  <c r="O878" i="18" s="1"/>
  <c r="J879" i="18"/>
  <c r="O879" i="18" s="1"/>
  <c r="J880" i="18"/>
  <c r="O880" i="18" s="1"/>
  <c r="J881" i="18"/>
  <c r="O881" i="18" s="1"/>
  <c r="J882" i="18"/>
  <c r="O882" i="18" s="1"/>
  <c r="J883" i="18"/>
  <c r="O883" i="18" s="1"/>
  <c r="J884" i="18"/>
  <c r="O884" i="18" s="1"/>
  <c r="J885" i="18"/>
  <c r="O885" i="18" s="1"/>
  <c r="J886" i="18"/>
  <c r="O886" i="18" s="1"/>
  <c r="J887" i="18"/>
  <c r="O887" i="18" s="1"/>
  <c r="J888" i="18"/>
  <c r="O888" i="18" s="1"/>
  <c r="J889" i="18"/>
  <c r="O889" i="18" s="1"/>
  <c r="J890" i="18"/>
  <c r="O890" i="18" s="1"/>
  <c r="J891" i="18"/>
  <c r="O891" i="18" s="1"/>
  <c r="J892" i="18"/>
  <c r="O892" i="18" s="1"/>
  <c r="J893" i="18"/>
  <c r="O893" i="18" s="1"/>
  <c r="J894" i="18"/>
  <c r="O894" i="18" s="1"/>
  <c r="J895" i="18"/>
  <c r="O895" i="18" s="1"/>
  <c r="J896" i="18"/>
  <c r="O896" i="18" s="1"/>
  <c r="J897" i="18"/>
  <c r="O897" i="18" s="1"/>
  <c r="J898" i="18"/>
  <c r="O898" i="18" s="1"/>
  <c r="J899" i="18"/>
  <c r="O899" i="18" s="1"/>
  <c r="J900" i="18"/>
  <c r="O900" i="18" s="1"/>
  <c r="J901" i="18"/>
  <c r="O901" i="18" s="1"/>
  <c r="J902" i="18"/>
  <c r="O902" i="18" s="1"/>
  <c r="J903" i="18"/>
  <c r="O903" i="18" s="1"/>
  <c r="J904" i="18"/>
  <c r="O904" i="18" s="1"/>
  <c r="J905" i="18"/>
  <c r="O905" i="18" s="1"/>
  <c r="J906" i="18"/>
  <c r="O906" i="18" s="1"/>
  <c r="J907" i="18"/>
  <c r="O907" i="18" s="1"/>
  <c r="J908" i="18"/>
  <c r="O908" i="18" s="1"/>
  <c r="J909" i="18"/>
  <c r="O909" i="18" s="1"/>
  <c r="J910" i="18"/>
  <c r="O910" i="18" s="1"/>
  <c r="J911" i="18"/>
  <c r="O911" i="18" s="1"/>
  <c r="J912" i="18"/>
  <c r="O912" i="18" s="1"/>
  <c r="J913" i="18"/>
  <c r="O913" i="18" s="1"/>
  <c r="J914" i="18"/>
  <c r="O914" i="18" s="1"/>
  <c r="J915" i="18"/>
  <c r="O915" i="18" s="1"/>
  <c r="J916" i="18"/>
  <c r="O916" i="18" s="1"/>
  <c r="J917" i="18"/>
  <c r="O917" i="18" s="1"/>
  <c r="J918" i="18"/>
  <c r="O918" i="18" s="1"/>
  <c r="J919" i="18"/>
  <c r="O919" i="18" s="1"/>
  <c r="J920" i="18"/>
  <c r="O920" i="18" s="1"/>
  <c r="J921" i="18"/>
  <c r="O921" i="18" s="1"/>
  <c r="J922" i="18"/>
  <c r="O922" i="18" s="1"/>
  <c r="J923" i="18"/>
  <c r="O923" i="18" s="1"/>
  <c r="J924" i="18"/>
  <c r="O924" i="18" s="1"/>
  <c r="J925" i="18"/>
  <c r="O925" i="18" s="1"/>
  <c r="J926" i="18"/>
  <c r="O926" i="18" s="1"/>
  <c r="J927" i="18"/>
  <c r="O927" i="18" s="1"/>
  <c r="J928" i="18"/>
  <c r="O928" i="18" s="1"/>
  <c r="J929" i="18"/>
  <c r="O929" i="18" s="1"/>
  <c r="J930" i="18"/>
  <c r="O930" i="18" s="1"/>
  <c r="J931" i="18"/>
  <c r="O931" i="18" s="1"/>
  <c r="J932" i="18"/>
  <c r="O932" i="18" s="1"/>
  <c r="J933" i="18"/>
  <c r="O933" i="18" s="1"/>
  <c r="J934" i="18"/>
  <c r="O934" i="18" s="1"/>
  <c r="J935" i="18"/>
  <c r="O935" i="18" s="1"/>
  <c r="J936" i="18"/>
  <c r="O936" i="18" s="1"/>
  <c r="J937" i="18"/>
  <c r="O937" i="18" s="1"/>
  <c r="J938" i="18"/>
  <c r="O938" i="18" s="1"/>
  <c r="J939" i="18"/>
  <c r="O939" i="18" s="1"/>
  <c r="J940" i="18"/>
  <c r="O940" i="18" s="1"/>
  <c r="J941" i="18"/>
  <c r="O941" i="18" s="1"/>
  <c r="J942" i="18"/>
  <c r="O942" i="18" s="1"/>
  <c r="J943" i="18"/>
  <c r="O943" i="18" s="1"/>
  <c r="J944" i="18"/>
  <c r="O944" i="18" s="1"/>
  <c r="J945" i="18"/>
  <c r="O945" i="18" s="1"/>
  <c r="J946" i="18"/>
  <c r="O946" i="18" s="1"/>
  <c r="J947" i="18"/>
  <c r="O947" i="18" s="1"/>
  <c r="J948" i="18"/>
  <c r="O948" i="18" s="1"/>
  <c r="J949" i="18"/>
  <c r="O949" i="18" s="1"/>
  <c r="J950" i="18"/>
  <c r="O950" i="18" s="1"/>
  <c r="J951" i="18"/>
  <c r="O951" i="18" s="1"/>
  <c r="J952" i="18"/>
  <c r="O952" i="18" s="1"/>
  <c r="J953" i="18"/>
  <c r="O953" i="18" s="1"/>
  <c r="J954" i="18"/>
  <c r="O954" i="18" s="1"/>
  <c r="J955" i="18"/>
  <c r="O955" i="18" s="1"/>
  <c r="J956" i="18"/>
  <c r="O956" i="18" s="1"/>
  <c r="J957" i="18"/>
  <c r="O957" i="18" s="1"/>
  <c r="J958" i="18"/>
  <c r="O958" i="18" s="1"/>
  <c r="J959" i="18"/>
  <c r="O959" i="18" s="1"/>
  <c r="J960" i="18"/>
  <c r="O960" i="18" s="1"/>
  <c r="J961" i="18"/>
  <c r="O961" i="18" s="1"/>
  <c r="J962" i="18"/>
  <c r="O962" i="18" s="1"/>
  <c r="J963" i="18"/>
  <c r="O963" i="18" s="1"/>
  <c r="J964" i="18"/>
  <c r="O964" i="18" s="1"/>
  <c r="J965" i="18"/>
  <c r="O965" i="18" s="1"/>
  <c r="J966" i="18"/>
  <c r="O966" i="18" s="1"/>
  <c r="J967" i="18"/>
  <c r="O967" i="18" s="1"/>
  <c r="J968" i="18"/>
  <c r="O968" i="18" s="1"/>
  <c r="J969" i="18"/>
  <c r="O969" i="18" s="1"/>
  <c r="J970" i="18"/>
  <c r="O970" i="18" s="1"/>
  <c r="J971" i="18"/>
  <c r="O971" i="18" s="1"/>
  <c r="J972" i="18"/>
  <c r="O972" i="18" s="1"/>
  <c r="J973" i="18"/>
  <c r="O973" i="18" s="1"/>
  <c r="J974" i="18"/>
  <c r="O974" i="18" s="1"/>
  <c r="J975" i="18"/>
  <c r="O975" i="18" s="1"/>
  <c r="J976" i="18"/>
  <c r="O976" i="18" s="1"/>
  <c r="J977" i="18"/>
  <c r="O977" i="18" s="1"/>
  <c r="J978" i="18"/>
  <c r="O978" i="18" s="1"/>
  <c r="J979" i="18"/>
  <c r="O979" i="18" s="1"/>
  <c r="J980" i="18"/>
  <c r="O980" i="18" s="1"/>
  <c r="J981" i="18"/>
  <c r="O981" i="18" s="1"/>
  <c r="J982" i="18"/>
  <c r="O982" i="18" s="1"/>
  <c r="J983" i="18"/>
  <c r="O983" i="18" s="1"/>
  <c r="J984" i="18"/>
  <c r="O984" i="18" s="1"/>
  <c r="J985" i="18"/>
  <c r="O985" i="18" s="1"/>
  <c r="J986" i="18"/>
  <c r="O986" i="18" s="1"/>
  <c r="J987" i="18"/>
  <c r="O987" i="18" s="1"/>
  <c r="J988" i="18"/>
  <c r="O988" i="18" s="1"/>
  <c r="J989" i="18"/>
  <c r="O989" i="18" s="1"/>
  <c r="J990" i="18"/>
  <c r="O990" i="18" s="1"/>
  <c r="J991" i="18"/>
  <c r="O991" i="18" s="1"/>
  <c r="J992" i="18"/>
  <c r="O992" i="18" s="1"/>
  <c r="J993" i="18"/>
  <c r="O993" i="18" s="1"/>
  <c r="J994" i="18"/>
  <c r="O994" i="18" s="1"/>
  <c r="J995" i="18"/>
  <c r="O995" i="18" s="1"/>
  <c r="J996" i="18"/>
  <c r="O996" i="18" s="1"/>
  <c r="J997" i="18"/>
  <c r="O997" i="18" s="1"/>
  <c r="J998" i="18"/>
  <c r="O998" i="18" s="1"/>
  <c r="J999" i="18"/>
  <c r="O999" i="18" s="1"/>
  <c r="J1000" i="18"/>
  <c r="O1000" i="18" s="1"/>
  <c r="J1001" i="18"/>
  <c r="O1001" i="18" s="1"/>
  <c r="J2" i="18"/>
  <c r="O2" i="18" s="1"/>
  <c r="I3" i="18"/>
  <c r="N3"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N22" i="18" s="1"/>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N34" i="18" s="1"/>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N128" i="18" s="1"/>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I145" i="18"/>
  <c r="N145" i="18" s="1"/>
  <c r="I146" i="18"/>
  <c r="N146" i="18" s="1"/>
  <c r="I147" i="18"/>
  <c r="N147" i="18" s="1"/>
  <c r="I148" i="18"/>
  <c r="N148" i="18" s="1"/>
  <c r="I149" i="18"/>
  <c r="N149" i="18" s="1"/>
  <c r="I150" i="18"/>
  <c r="N150" i="18" s="1"/>
  <c r="I151" i="18"/>
  <c r="N151" i="18" s="1"/>
  <c r="I152" i="18"/>
  <c r="N152" i="18" s="1"/>
  <c r="I153" i="18"/>
  <c r="N153" i="18" s="1"/>
  <c r="I154" i="18"/>
  <c r="N154" i="18" s="1"/>
  <c r="I155" i="18"/>
  <c r="N155" i="18" s="1"/>
  <c r="I156" i="18"/>
  <c r="N156" i="18" s="1"/>
  <c r="I157" i="18"/>
  <c r="N157" i="18" s="1"/>
  <c r="I158" i="18"/>
  <c r="N158" i="18" s="1"/>
  <c r="I159" i="18"/>
  <c r="N159" i="18" s="1"/>
  <c r="I160" i="18"/>
  <c r="N160" i="18" s="1"/>
  <c r="I161" i="18"/>
  <c r="N161" i="18" s="1"/>
  <c r="I162" i="18"/>
  <c r="N162" i="18" s="1"/>
  <c r="I163" i="18"/>
  <c r="N163" i="18" s="1"/>
  <c r="I164" i="18"/>
  <c r="N164" i="18" s="1"/>
  <c r="I165" i="18"/>
  <c r="N165" i="18" s="1"/>
  <c r="I166" i="18"/>
  <c r="N166" i="18" s="1"/>
  <c r="I167" i="18"/>
  <c r="N167" i="18" s="1"/>
  <c r="I168" i="18"/>
  <c r="N168" i="18" s="1"/>
  <c r="I169" i="18"/>
  <c r="N169" i="18" s="1"/>
  <c r="I170" i="18"/>
  <c r="N170" i="18" s="1"/>
  <c r="I171" i="18"/>
  <c r="N171" i="18" s="1"/>
  <c r="I172" i="18"/>
  <c r="N172" i="18" s="1"/>
  <c r="I173" i="18"/>
  <c r="N173" i="18" s="1"/>
  <c r="I174" i="18"/>
  <c r="N174" i="18" s="1"/>
  <c r="I175" i="18"/>
  <c r="N175" i="18" s="1"/>
  <c r="I176" i="18"/>
  <c r="N176" i="18" s="1"/>
  <c r="I177" i="18"/>
  <c r="N177" i="18" s="1"/>
  <c r="I178" i="18"/>
  <c r="N178" i="18" s="1"/>
  <c r="I179" i="18"/>
  <c r="N179" i="18" s="1"/>
  <c r="I180" i="18"/>
  <c r="N180" i="18" s="1"/>
  <c r="I181" i="18"/>
  <c r="N181" i="18" s="1"/>
  <c r="I182" i="18"/>
  <c r="N182" i="18" s="1"/>
  <c r="I183" i="18"/>
  <c r="N183" i="18" s="1"/>
  <c r="I184" i="18"/>
  <c r="N184" i="18" s="1"/>
  <c r="I185" i="18"/>
  <c r="N185" i="18" s="1"/>
  <c r="I186" i="18"/>
  <c r="N186" i="18" s="1"/>
  <c r="I187" i="18"/>
  <c r="N187" i="18" s="1"/>
  <c r="I188" i="18"/>
  <c r="N188" i="18" s="1"/>
  <c r="I189" i="18"/>
  <c r="N189" i="18" s="1"/>
  <c r="I190" i="18"/>
  <c r="N190" i="18" s="1"/>
  <c r="I191" i="18"/>
  <c r="N191" i="18" s="1"/>
  <c r="I192" i="18"/>
  <c r="N192" i="18" s="1"/>
  <c r="I193" i="18"/>
  <c r="N193" i="18" s="1"/>
  <c r="I194" i="18"/>
  <c r="N194" i="18" s="1"/>
  <c r="I195" i="18"/>
  <c r="N195" i="18" s="1"/>
  <c r="I196" i="18"/>
  <c r="N196" i="18" s="1"/>
  <c r="I197" i="18"/>
  <c r="N197" i="18" s="1"/>
  <c r="I198" i="18"/>
  <c r="N198" i="18" s="1"/>
  <c r="I199" i="18"/>
  <c r="N199" i="18" s="1"/>
  <c r="I200" i="18"/>
  <c r="N200" i="18" s="1"/>
  <c r="I201" i="18"/>
  <c r="N201" i="18" s="1"/>
  <c r="I202" i="18"/>
  <c r="N202" i="18" s="1"/>
  <c r="I203" i="18"/>
  <c r="N203" i="18" s="1"/>
  <c r="I204" i="18"/>
  <c r="N204" i="18" s="1"/>
  <c r="I205" i="18"/>
  <c r="N205" i="18" s="1"/>
  <c r="I206" i="18"/>
  <c r="N206" i="18" s="1"/>
  <c r="I207" i="18"/>
  <c r="N207" i="18" s="1"/>
  <c r="I208" i="18"/>
  <c r="N208" i="18" s="1"/>
  <c r="I209" i="18"/>
  <c r="N209" i="18" s="1"/>
  <c r="I210" i="18"/>
  <c r="N210" i="18" s="1"/>
  <c r="I211" i="18"/>
  <c r="N211" i="18" s="1"/>
  <c r="I212" i="18"/>
  <c r="N212" i="18" s="1"/>
  <c r="I213" i="18"/>
  <c r="N213" i="18" s="1"/>
  <c r="I214" i="18"/>
  <c r="N214" i="18" s="1"/>
  <c r="I215" i="18"/>
  <c r="N215" i="18" s="1"/>
  <c r="I216" i="18"/>
  <c r="N216" i="18" s="1"/>
  <c r="I217" i="18"/>
  <c r="N217" i="18" s="1"/>
  <c r="I218" i="18"/>
  <c r="N218" i="18" s="1"/>
  <c r="I219" i="18"/>
  <c r="N219" i="18" s="1"/>
  <c r="I220" i="18"/>
  <c r="N220" i="18" s="1"/>
  <c r="I221" i="18"/>
  <c r="N221" i="18" s="1"/>
  <c r="I222" i="18"/>
  <c r="N222" i="18" s="1"/>
  <c r="I223" i="18"/>
  <c r="N223" i="18" s="1"/>
  <c r="I224" i="18"/>
  <c r="N224" i="18" s="1"/>
  <c r="I225" i="18"/>
  <c r="N225" i="18" s="1"/>
  <c r="I226" i="18"/>
  <c r="N226" i="18" s="1"/>
  <c r="I227" i="18"/>
  <c r="N227" i="18" s="1"/>
  <c r="I228" i="18"/>
  <c r="N228" i="18" s="1"/>
  <c r="I229" i="18"/>
  <c r="N229" i="18" s="1"/>
  <c r="I230" i="18"/>
  <c r="N230" i="18" s="1"/>
  <c r="I231" i="18"/>
  <c r="N231" i="18" s="1"/>
  <c r="I232" i="18"/>
  <c r="N232" i="18" s="1"/>
  <c r="I233" i="18"/>
  <c r="N233" i="18" s="1"/>
  <c r="I234" i="18"/>
  <c r="N234" i="18" s="1"/>
  <c r="I235" i="18"/>
  <c r="N235" i="18" s="1"/>
  <c r="I236" i="18"/>
  <c r="N236" i="18" s="1"/>
  <c r="I237" i="18"/>
  <c r="N237" i="18" s="1"/>
  <c r="I238" i="18"/>
  <c r="N238" i="18" s="1"/>
  <c r="I239" i="18"/>
  <c r="N239" i="18" s="1"/>
  <c r="I240" i="18"/>
  <c r="N240" i="18" s="1"/>
  <c r="I241" i="18"/>
  <c r="N241" i="18" s="1"/>
  <c r="I242" i="18"/>
  <c r="N242" i="18" s="1"/>
  <c r="I243" i="18"/>
  <c r="N243" i="18" s="1"/>
  <c r="I244" i="18"/>
  <c r="N244" i="18" s="1"/>
  <c r="I245" i="18"/>
  <c r="N245" i="18" s="1"/>
  <c r="I246" i="18"/>
  <c r="N246" i="18" s="1"/>
  <c r="I247" i="18"/>
  <c r="N247" i="18" s="1"/>
  <c r="I248" i="18"/>
  <c r="N248" i="18" s="1"/>
  <c r="I249" i="18"/>
  <c r="N249" i="18" s="1"/>
  <c r="I250" i="18"/>
  <c r="N250" i="18" s="1"/>
  <c r="I251" i="18"/>
  <c r="N251" i="18" s="1"/>
  <c r="I252" i="18"/>
  <c r="N252" i="18" s="1"/>
  <c r="I253" i="18"/>
  <c r="N253" i="18" s="1"/>
  <c r="I254" i="18"/>
  <c r="N254" i="18" s="1"/>
  <c r="I255" i="18"/>
  <c r="N255" i="18" s="1"/>
  <c r="I256" i="18"/>
  <c r="N256" i="18" s="1"/>
  <c r="I257" i="18"/>
  <c r="N257" i="18" s="1"/>
  <c r="I258" i="18"/>
  <c r="N258" i="18" s="1"/>
  <c r="I259" i="18"/>
  <c r="N259" i="18" s="1"/>
  <c r="I260" i="18"/>
  <c r="N260" i="18" s="1"/>
  <c r="I261" i="18"/>
  <c r="N261" i="18" s="1"/>
  <c r="I262" i="18"/>
  <c r="N262" i="18" s="1"/>
  <c r="I263" i="18"/>
  <c r="N263" i="18" s="1"/>
  <c r="I264" i="18"/>
  <c r="N264" i="18" s="1"/>
  <c r="I265" i="18"/>
  <c r="N265" i="18" s="1"/>
  <c r="I266" i="18"/>
  <c r="N266" i="18" s="1"/>
  <c r="I267" i="18"/>
  <c r="N267" i="18" s="1"/>
  <c r="I268" i="18"/>
  <c r="N268" i="18" s="1"/>
  <c r="I269" i="18"/>
  <c r="N269" i="18" s="1"/>
  <c r="I270" i="18"/>
  <c r="N270" i="18" s="1"/>
  <c r="I271" i="18"/>
  <c r="N271" i="18" s="1"/>
  <c r="I272" i="18"/>
  <c r="N272" i="18" s="1"/>
  <c r="I273" i="18"/>
  <c r="N273" i="18" s="1"/>
  <c r="I274" i="18"/>
  <c r="N274" i="18" s="1"/>
  <c r="I275" i="18"/>
  <c r="N275" i="18" s="1"/>
  <c r="I276" i="18"/>
  <c r="N276" i="18" s="1"/>
  <c r="I277" i="18"/>
  <c r="N277" i="18" s="1"/>
  <c r="I278" i="18"/>
  <c r="N278" i="18" s="1"/>
  <c r="I279" i="18"/>
  <c r="N279" i="18" s="1"/>
  <c r="I280" i="18"/>
  <c r="N280" i="18" s="1"/>
  <c r="I281" i="18"/>
  <c r="N281" i="18" s="1"/>
  <c r="I282" i="18"/>
  <c r="N282" i="18" s="1"/>
  <c r="I283" i="18"/>
  <c r="N283" i="18" s="1"/>
  <c r="I284" i="18"/>
  <c r="N284" i="18" s="1"/>
  <c r="I285" i="18"/>
  <c r="N285" i="18" s="1"/>
  <c r="I286" i="18"/>
  <c r="N286" i="18" s="1"/>
  <c r="I287" i="18"/>
  <c r="N287" i="18" s="1"/>
  <c r="I288" i="18"/>
  <c r="N288" i="18" s="1"/>
  <c r="I289" i="18"/>
  <c r="N289" i="18" s="1"/>
  <c r="I290" i="18"/>
  <c r="N290" i="18" s="1"/>
  <c r="I291" i="18"/>
  <c r="N291" i="18" s="1"/>
  <c r="I292" i="18"/>
  <c r="N292" i="18" s="1"/>
  <c r="I293" i="18"/>
  <c r="N293" i="18" s="1"/>
  <c r="I294" i="18"/>
  <c r="N294" i="18" s="1"/>
  <c r="I295" i="18"/>
  <c r="N295" i="18" s="1"/>
  <c r="I296" i="18"/>
  <c r="N296" i="18" s="1"/>
  <c r="I297" i="18"/>
  <c r="N297" i="18" s="1"/>
  <c r="I298" i="18"/>
  <c r="N298" i="18" s="1"/>
  <c r="I299" i="18"/>
  <c r="N299" i="18" s="1"/>
  <c r="I300" i="18"/>
  <c r="N300" i="18" s="1"/>
  <c r="I301" i="18"/>
  <c r="N301" i="18" s="1"/>
  <c r="I302" i="18"/>
  <c r="N302" i="18" s="1"/>
  <c r="I303" i="18"/>
  <c r="N303" i="18" s="1"/>
  <c r="I304" i="18"/>
  <c r="N304" i="18" s="1"/>
  <c r="I305" i="18"/>
  <c r="N305" i="18" s="1"/>
  <c r="I306" i="18"/>
  <c r="N306" i="18" s="1"/>
  <c r="I307" i="18"/>
  <c r="N307" i="18" s="1"/>
  <c r="I308" i="18"/>
  <c r="N308" i="18" s="1"/>
  <c r="I309" i="18"/>
  <c r="N309" i="18" s="1"/>
  <c r="I310" i="18"/>
  <c r="N310" i="18" s="1"/>
  <c r="I311" i="18"/>
  <c r="N311" i="18" s="1"/>
  <c r="I312" i="18"/>
  <c r="N312" i="18" s="1"/>
  <c r="I313" i="18"/>
  <c r="N313" i="18" s="1"/>
  <c r="I314" i="18"/>
  <c r="N314" i="18" s="1"/>
  <c r="I315" i="18"/>
  <c r="N315" i="18" s="1"/>
  <c r="I316" i="18"/>
  <c r="N316" i="18" s="1"/>
  <c r="I317" i="18"/>
  <c r="N317" i="18" s="1"/>
  <c r="I318" i="18"/>
  <c r="N318" i="18" s="1"/>
  <c r="I319" i="18"/>
  <c r="N319" i="18" s="1"/>
  <c r="I320" i="18"/>
  <c r="N320" i="18" s="1"/>
  <c r="I321" i="18"/>
  <c r="N321" i="18" s="1"/>
  <c r="I322" i="18"/>
  <c r="N322" i="18" s="1"/>
  <c r="I323" i="18"/>
  <c r="N323" i="18" s="1"/>
  <c r="I324" i="18"/>
  <c r="N324" i="18" s="1"/>
  <c r="I325" i="18"/>
  <c r="N325" i="18" s="1"/>
  <c r="I326" i="18"/>
  <c r="N326" i="18" s="1"/>
  <c r="I327" i="18"/>
  <c r="N327" i="18" s="1"/>
  <c r="I328" i="18"/>
  <c r="N328" i="18" s="1"/>
  <c r="I329" i="18"/>
  <c r="N329" i="18" s="1"/>
  <c r="I330" i="18"/>
  <c r="N330" i="18" s="1"/>
  <c r="I331" i="18"/>
  <c r="N331" i="18" s="1"/>
  <c r="I332" i="18"/>
  <c r="N332" i="18" s="1"/>
  <c r="I333" i="18"/>
  <c r="N333" i="18" s="1"/>
  <c r="I334" i="18"/>
  <c r="N334" i="18" s="1"/>
  <c r="I335" i="18"/>
  <c r="N335" i="18" s="1"/>
  <c r="I336" i="18"/>
  <c r="N336" i="18" s="1"/>
  <c r="I337" i="18"/>
  <c r="N337" i="18" s="1"/>
  <c r="I338" i="18"/>
  <c r="N338" i="18" s="1"/>
  <c r="I339" i="18"/>
  <c r="N339" i="18" s="1"/>
  <c r="I340" i="18"/>
  <c r="N340" i="18" s="1"/>
  <c r="I341" i="18"/>
  <c r="N341" i="18" s="1"/>
  <c r="I342" i="18"/>
  <c r="N342" i="18" s="1"/>
  <c r="I343" i="18"/>
  <c r="N343" i="18" s="1"/>
  <c r="I344" i="18"/>
  <c r="N344" i="18" s="1"/>
  <c r="I345" i="18"/>
  <c r="N345" i="18" s="1"/>
  <c r="I346" i="18"/>
  <c r="N346" i="18" s="1"/>
  <c r="I347" i="18"/>
  <c r="N347" i="18" s="1"/>
  <c r="I348" i="18"/>
  <c r="N348" i="18" s="1"/>
  <c r="I349" i="18"/>
  <c r="N349" i="18" s="1"/>
  <c r="I350" i="18"/>
  <c r="N350" i="18" s="1"/>
  <c r="I351" i="18"/>
  <c r="N351" i="18" s="1"/>
  <c r="I352" i="18"/>
  <c r="N352" i="18" s="1"/>
  <c r="I353" i="18"/>
  <c r="N353" i="18" s="1"/>
  <c r="I354" i="18"/>
  <c r="N354" i="18" s="1"/>
  <c r="I355" i="18"/>
  <c r="N355" i="18" s="1"/>
  <c r="I356" i="18"/>
  <c r="N356" i="18" s="1"/>
  <c r="I357" i="18"/>
  <c r="N357" i="18" s="1"/>
  <c r="I358" i="18"/>
  <c r="N358" i="18" s="1"/>
  <c r="I359" i="18"/>
  <c r="N359" i="18" s="1"/>
  <c r="I360" i="18"/>
  <c r="N360" i="18" s="1"/>
  <c r="I361" i="18"/>
  <c r="N361" i="18" s="1"/>
  <c r="I362" i="18"/>
  <c r="N362" i="18" s="1"/>
  <c r="I363" i="18"/>
  <c r="N363" i="18" s="1"/>
  <c r="I364" i="18"/>
  <c r="N364" i="18" s="1"/>
  <c r="I365" i="18"/>
  <c r="N365" i="18" s="1"/>
  <c r="I366" i="18"/>
  <c r="N366" i="18" s="1"/>
  <c r="I367" i="18"/>
  <c r="N367" i="18" s="1"/>
  <c r="I368" i="18"/>
  <c r="N368" i="18" s="1"/>
  <c r="I369" i="18"/>
  <c r="N369" i="18" s="1"/>
  <c r="I370" i="18"/>
  <c r="N370" i="18" s="1"/>
  <c r="I371" i="18"/>
  <c r="N371" i="18" s="1"/>
  <c r="I372" i="18"/>
  <c r="N372" i="18" s="1"/>
  <c r="I373" i="18"/>
  <c r="N373" i="18" s="1"/>
  <c r="I374" i="18"/>
  <c r="N374" i="18" s="1"/>
  <c r="I375" i="18"/>
  <c r="N375" i="18" s="1"/>
  <c r="I376" i="18"/>
  <c r="N376" i="18" s="1"/>
  <c r="I377" i="18"/>
  <c r="N377" i="18" s="1"/>
  <c r="I378" i="18"/>
  <c r="N378" i="18" s="1"/>
  <c r="I379" i="18"/>
  <c r="N379" i="18" s="1"/>
  <c r="I380" i="18"/>
  <c r="N380" i="18" s="1"/>
  <c r="I381" i="18"/>
  <c r="N381" i="18" s="1"/>
  <c r="I382" i="18"/>
  <c r="N382" i="18" s="1"/>
  <c r="I383" i="18"/>
  <c r="N383" i="18" s="1"/>
  <c r="I384" i="18"/>
  <c r="N384" i="18" s="1"/>
  <c r="I385" i="18"/>
  <c r="N385" i="18" s="1"/>
  <c r="I386" i="18"/>
  <c r="N386" i="18" s="1"/>
  <c r="I387" i="18"/>
  <c r="N387" i="18" s="1"/>
  <c r="I388" i="18"/>
  <c r="N388" i="18" s="1"/>
  <c r="I389" i="18"/>
  <c r="N389" i="18" s="1"/>
  <c r="I390" i="18"/>
  <c r="N390" i="18" s="1"/>
  <c r="I391" i="18"/>
  <c r="N391" i="18" s="1"/>
  <c r="I392" i="18"/>
  <c r="N392" i="18" s="1"/>
  <c r="I393" i="18"/>
  <c r="N393" i="18" s="1"/>
  <c r="I394" i="18"/>
  <c r="N394" i="18" s="1"/>
  <c r="I395" i="18"/>
  <c r="N395" i="18" s="1"/>
  <c r="I396" i="18"/>
  <c r="N396" i="18" s="1"/>
  <c r="I397" i="18"/>
  <c r="N397" i="18" s="1"/>
  <c r="I398" i="18"/>
  <c r="N398" i="18" s="1"/>
  <c r="I399" i="18"/>
  <c r="N399" i="18" s="1"/>
  <c r="I400" i="18"/>
  <c r="N400" i="18" s="1"/>
  <c r="I401" i="18"/>
  <c r="N401" i="18" s="1"/>
  <c r="I402" i="18"/>
  <c r="N402" i="18" s="1"/>
  <c r="I403" i="18"/>
  <c r="N403" i="18" s="1"/>
  <c r="I404" i="18"/>
  <c r="N404" i="18" s="1"/>
  <c r="I405" i="18"/>
  <c r="N405" i="18" s="1"/>
  <c r="I406" i="18"/>
  <c r="N406" i="18" s="1"/>
  <c r="I407" i="18"/>
  <c r="N407" i="18" s="1"/>
  <c r="I408" i="18"/>
  <c r="N408" i="18" s="1"/>
  <c r="I409" i="18"/>
  <c r="N409" i="18" s="1"/>
  <c r="I410" i="18"/>
  <c r="N410" i="18" s="1"/>
  <c r="I411" i="18"/>
  <c r="N411" i="18" s="1"/>
  <c r="I412" i="18"/>
  <c r="N412" i="18" s="1"/>
  <c r="I413" i="18"/>
  <c r="N413" i="18" s="1"/>
  <c r="I414" i="18"/>
  <c r="N414" i="18" s="1"/>
  <c r="I415" i="18"/>
  <c r="N415" i="18" s="1"/>
  <c r="I416" i="18"/>
  <c r="N416" i="18" s="1"/>
  <c r="I417" i="18"/>
  <c r="N417" i="18" s="1"/>
  <c r="I418" i="18"/>
  <c r="N418" i="18" s="1"/>
  <c r="I419" i="18"/>
  <c r="N419" i="18" s="1"/>
  <c r="I420" i="18"/>
  <c r="N420" i="18" s="1"/>
  <c r="I421" i="18"/>
  <c r="N421" i="18" s="1"/>
  <c r="I422" i="18"/>
  <c r="N422" i="18" s="1"/>
  <c r="I423" i="18"/>
  <c r="N423" i="18" s="1"/>
  <c r="I424" i="18"/>
  <c r="N424" i="18" s="1"/>
  <c r="I425" i="18"/>
  <c r="N425" i="18" s="1"/>
  <c r="I426" i="18"/>
  <c r="N426" i="18" s="1"/>
  <c r="I427" i="18"/>
  <c r="N427" i="18" s="1"/>
  <c r="I428" i="18"/>
  <c r="N428" i="18" s="1"/>
  <c r="I429" i="18"/>
  <c r="N429" i="18" s="1"/>
  <c r="I430" i="18"/>
  <c r="N430" i="18" s="1"/>
  <c r="I431" i="18"/>
  <c r="N431" i="18" s="1"/>
  <c r="I432" i="18"/>
  <c r="N432" i="18" s="1"/>
  <c r="I433" i="18"/>
  <c r="N433" i="18" s="1"/>
  <c r="I434" i="18"/>
  <c r="N434" i="18" s="1"/>
  <c r="I435" i="18"/>
  <c r="N435" i="18" s="1"/>
  <c r="I436" i="18"/>
  <c r="N436" i="18" s="1"/>
  <c r="I437" i="18"/>
  <c r="N437" i="18" s="1"/>
  <c r="I438" i="18"/>
  <c r="N438" i="18" s="1"/>
  <c r="I439" i="18"/>
  <c r="N439" i="18" s="1"/>
  <c r="I440" i="18"/>
  <c r="N440" i="18" s="1"/>
  <c r="I441" i="18"/>
  <c r="N441" i="18" s="1"/>
  <c r="I442" i="18"/>
  <c r="N442" i="18" s="1"/>
  <c r="I443" i="18"/>
  <c r="N443" i="18" s="1"/>
  <c r="I444" i="18"/>
  <c r="N444" i="18" s="1"/>
  <c r="I445" i="18"/>
  <c r="N445" i="18" s="1"/>
  <c r="I446" i="18"/>
  <c r="N446" i="18" s="1"/>
  <c r="I447" i="18"/>
  <c r="N447" i="18" s="1"/>
  <c r="I448" i="18"/>
  <c r="N448" i="18" s="1"/>
  <c r="I449" i="18"/>
  <c r="N449" i="18" s="1"/>
  <c r="I450" i="18"/>
  <c r="N450" i="18" s="1"/>
  <c r="I451" i="18"/>
  <c r="N451" i="18" s="1"/>
  <c r="I452" i="18"/>
  <c r="N452" i="18" s="1"/>
  <c r="I453" i="18"/>
  <c r="N453" i="18" s="1"/>
  <c r="I454" i="18"/>
  <c r="N454" i="18" s="1"/>
  <c r="I455" i="18"/>
  <c r="N455" i="18" s="1"/>
  <c r="I456" i="18"/>
  <c r="N456" i="18" s="1"/>
  <c r="I457" i="18"/>
  <c r="N457" i="18" s="1"/>
  <c r="I458" i="18"/>
  <c r="N458" i="18" s="1"/>
  <c r="I459" i="18"/>
  <c r="N459" i="18" s="1"/>
  <c r="I460" i="18"/>
  <c r="N460" i="18" s="1"/>
  <c r="I461" i="18"/>
  <c r="N461" i="18" s="1"/>
  <c r="I462" i="18"/>
  <c r="N462" i="18" s="1"/>
  <c r="I463" i="18"/>
  <c r="N463" i="18" s="1"/>
  <c r="I464" i="18"/>
  <c r="N464" i="18" s="1"/>
  <c r="I465" i="18"/>
  <c r="N465" i="18" s="1"/>
  <c r="I466" i="18"/>
  <c r="N466" i="18" s="1"/>
  <c r="I467" i="18"/>
  <c r="N467" i="18" s="1"/>
  <c r="I468" i="18"/>
  <c r="N468" i="18" s="1"/>
  <c r="I469" i="18"/>
  <c r="N469" i="18" s="1"/>
  <c r="I470" i="18"/>
  <c r="N470" i="18" s="1"/>
  <c r="I471" i="18"/>
  <c r="N471" i="18" s="1"/>
  <c r="I472" i="18"/>
  <c r="N472" i="18" s="1"/>
  <c r="I473" i="18"/>
  <c r="N473" i="18" s="1"/>
  <c r="I474" i="18"/>
  <c r="N474" i="18" s="1"/>
  <c r="I475" i="18"/>
  <c r="N475" i="18" s="1"/>
  <c r="I476" i="18"/>
  <c r="N476" i="18" s="1"/>
  <c r="I477" i="18"/>
  <c r="N477" i="18" s="1"/>
  <c r="I478" i="18"/>
  <c r="N478" i="18" s="1"/>
  <c r="I479" i="18"/>
  <c r="N479" i="18" s="1"/>
  <c r="I480" i="18"/>
  <c r="N480" i="18" s="1"/>
  <c r="I481" i="18"/>
  <c r="N481" i="18" s="1"/>
  <c r="I482" i="18"/>
  <c r="N482" i="18" s="1"/>
  <c r="I483" i="18"/>
  <c r="N483" i="18" s="1"/>
  <c r="I484" i="18"/>
  <c r="N484" i="18" s="1"/>
  <c r="I485" i="18"/>
  <c r="N485" i="18" s="1"/>
  <c r="I486" i="18"/>
  <c r="N486" i="18" s="1"/>
  <c r="I487" i="18"/>
  <c r="N487" i="18" s="1"/>
  <c r="I488" i="18"/>
  <c r="N488" i="18" s="1"/>
  <c r="I489" i="18"/>
  <c r="N489" i="18" s="1"/>
  <c r="I490" i="18"/>
  <c r="N490" i="18" s="1"/>
  <c r="I491" i="18"/>
  <c r="N491" i="18" s="1"/>
  <c r="I492" i="18"/>
  <c r="N492" i="18" s="1"/>
  <c r="I493" i="18"/>
  <c r="N493" i="18" s="1"/>
  <c r="I494" i="18"/>
  <c r="N494" i="18" s="1"/>
  <c r="I495" i="18"/>
  <c r="N495" i="18" s="1"/>
  <c r="I496" i="18"/>
  <c r="N496" i="18" s="1"/>
  <c r="I497" i="18"/>
  <c r="N497" i="18" s="1"/>
  <c r="I498" i="18"/>
  <c r="N498" i="18" s="1"/>
  <c r="I499" i="18"/>
  <c r="N499" i="18" s="1"/>
  <c r="I500" i="18"/>
  <c r="N500" i="18" s="1"/>
  <c r="I501" i="18"/>
  <c r="N501" i="18" s="1"/>
  <c r="I502" i="18"/>
  <c r="N502" i="18" s="1"/>
  <c r="I503" i="18"/>
  <c r="N503" i="18" s="1"/>
  <c r="I504" i="18"/>
  <c r="N504" i="18" s="1"/>
  <c r="I505" i="18"/>
  <c r="N505" i="18" s="1"/>
  <c r="I506" i="18"/>
  <c r="N506" i="18" s="1"/>
  <c r="I507" i="18"/>
  <c r="N507" i="18" s="1"/>
  <c r="I508" i="18"/>
  <c r="N508" i="18" s="1"/>
  <c r="I509" i="18"/>
  <c r="N509" i="18" s="1"/>
  <c r="I510" i="18"/>
  <c r="N510" i="18" s="1"/>
  <c r="I511" i="18"/>
  <c r="N511" i="18" s="1"/>
  <c r="I512" i="18"/>
  <c r="N512" i="18" s="1"/>
  <c r="I513" i="18"/>
  <c r="N513" i="18" s="1"/>
  <c r="I514" i="18"/>
  <c r="N514" i="18" s="1"/>
  <c r="I515" i="18"/>
  <c r="N515" i="18" s="1"/>
  <c r="I516" i="18"/>
  <c r="N516" i="18" s="1"/>
  <c r="I517" i="18"/>
  <c r="N517" i="18" s="1"/>
  <c r="I518" i="18"/>
  <c r="N518" i="18" s="1"/>
  <c r="I519" i="18"/>
  <c r="N519" i="18" s="1"/>
  <c r="I520" i="18"/>
  <c r="N520" i="18" s="1"/>
  <c r="I521" i="18"/>
  <c r="N521" i="18" s="1"/>
  <c r="I522" i="18"/>
  <c r="N522" i="18" s="1"/>
  <c r="I523" i="18"/>
  <c r="N523" i="18" s="1"/>
  <c r="I524" i="18"/>
  <c r="N524" i="18" s="1"/>
  <c r="I525" i="18"/>
  <c r="N525" i="18" s="1"/>
  <c r="I526" i="18"/>
  <c r="N526" i="18" s="1"/>
  <c r="I527" i="18"/>
  <c r="N527" i="18" s="1"/>
  <c r="I528" i="18"/>
  <c r="N528" i="18" s="1"/>
  <c r="I529" i="18"/>
  <c r="N529" i="18" s="1"/>
  <c r="I530" i="18"/>
  <c r="N530" i="18" s="1"/>
  <c r="I531" i="18"/>
  <c r="N531" i="18" s="1"/>
  <c r="I532" i="18"/>
  <c r="N532" i="18" s="1"/>
  <c r="I533" i="18"/>
  <c r="N533" i="18" s="1"/>
  <c r="I534" i="18"/>
  <c r="N534" i="18" s="1"/>
  <c r="I535" i="18"/>
  <c r="N535" i="18" s="1"/>
  <c r="I536" i="18"/>
  <c r="N536" i="18" s="1"/>
  <c r="I537" i="18"/>
  <c r="N537" i="18" s="1"/>
  <c r="I538" i="18"/>
  <c r="N538" i="18" s="1"/>
  <c r="I539" i="18"/>
  <c r="N539" i="18" s="1"/>
  <c r="I540" i="18"/>
  <c r="N540" i="18" s="1"/>
  <c r="I541" i="18"/>
  <c r="N541" i="18" s="1"/>
  <c r="I542" i="18"/>
  <c r="N542" i="18" s="1"/>
  <c r="I543" i="18"/>
  <c r="N543" i="18" s="1"/>
  <c r="I544" i="18"/>
  <c r="N544" i="18" s="1"/>
  <c r="I545" i="18"/>
  <c r="N545" i="18" s="1"/>
  <c r="I546" i="18"/>
  <c r="N546" i="18" s="1"/>
  <c r="I547" i="18"/>
  <c r="N547" i="18" s="1"/>
  <c r="I548" i="18"/>
  <c r="N548" i="18" s="1"/>
  <c r="I549" i="18"/>
  <c r="N549" i="18" s="1"/>
  <c r="I550" i="18"/>
  <c r="N550" i="18" s="1"/>
  <c r="I551" i="18"/>
  <c r="N551" i="18" s="1"/>
  <c r="I552" i="18"/>
  <c r="N552" i="18" s="1"/>
  <c r="I553" i="18"/>
  <c r="N553" i="18" s="1"/>
  <c r="I554" i="18"/>
  <c r="N554" i="18" s="1"/>
  <c r="I555" i="18"/>
  <c r="N555" i="18" s="1"/>
  <c r="I556" i="18"/>
  <c r="N556" i="18" s="1"/>
  <c r="I557" i="18"/>
  <c r="N557" i="18" s="1"/>
  <c r="I558" i="18"/>
  <c r="N558" i="18" s="1"/>
  <c r="I559" i="18"/>
  <c r="N559" i="18" s="1"/>
  <c r="I560" i="18"/>
  <c r="N560" i="18" s="1"/>
  <c r="I561" i="18"/>
  <c r="N561" i="18" s="1"/>
  <c r="I562" i="18"/>
  <c r="N562" i="18" s="1"/>
  <c r="I563" i="18"/>
  <c r="N563" i="18" s="1"/>
  <c r="I564" i="18"/>
  <c r="N564" i="18" s="1"/>
  <c r="I565" i="18"/>
  <c r="N565" i="18" s="1"/>
  <c r="I566" i="18"/>
  <c r="N566" i="18" s="1"/>
  <c r="I567" i="18"/>
  <c r="N567" i="18" s="1"/>
  <c r="I568" i="18"/>
  <c r="N568" i="18" s="1"/>
  <c r="I569" i="18"/>
  <c r="N569" i="18" s="1"/>
  <c r="I570" i="18"/>
  <c r="N570" i="18" s="1"/>
  <c r="I571" i="18"/>
  <c r="N571" i="18" s="1"/>
  <c r="I572" i="18"/>
  <c r="N572" i="18" s="1"/>
  <c r="I573" i="18"/>
  <c r="N573" i="18" s="1"/>
  <c r="I574" i="18"/>
  <c r="N574" i="18" s="1"/>
  <c r="I575" i="18"/>
  <c r="N575" i="18" s="1"/>
  <c r="I576" i="18"/>
  <c r="N576" i="18" s="1"/>
  <c r="I577" i="18"/>
  <c r="N577" i="18" s="1"/>
  <c r="I578" i="18"/>
  <c r="N578" i="18" s="1"/>
  <c r="I579" i="18"/>
  <c r="N579" i="18" s="1"/>
  <c r="I580" i="18"/>
  <c r="N580" i="18" s="1"/>
  <c r="I581" i="18"/>
  <c r="N581" i="18" s="1"/>
  <c r="I582" i="18"/>
  <c r="N582" i="18" s="1"/>
  <c r="I583" i="18"/>
  <c r="N583" i="18" s="1"/>
  <c r="I584" i="18"/>
  <c r="N584" i="18" s="1"/>
  <c r="I585" i="18"/>
  <c r="N585" i="18" s="1"/>
  <c r="I586" i="18"/>
  <c r="N586" i="18" s="1"/>
  <c r="I587" i="18"/>
  <c r="N587" i="18" s="1"/>
  <c r="I588" i="18"/>
  <c r="N588" i="18" s="1"/>
  <c r="I589" i="18"/>
  <c r="N589" i="18" s="1"/>
  <c r="I590" i="18"/>
  <c r="N590" i="18" s="1"/>
  <c r="I591" i="18"/>
  <c r="N591" i="18" s="1"/>
  <c r="I592" i="18"/>
  <c r="N592" i="18" s="1"/>
  <c r="I593" i="18"/>
  <c r="N593" i="18" s="1"/>
  <c r="I594" i="18"/>
  <c r="N594" i="18" s="1"/>
  <c r="I595" i="18"/>
  <c r="N595" i="18" s="1"/>
  <c r="I596" i="18"/>
  <c r="N596" i="18" s="1"/>
  <c r="I597" i="18"/>
  <c r="N597" i="18" s="1"/>
  <c r="I598" i="18"/>
  <c r="N598" i="18" s="1"/>
  <c r="I599" i="18"/>
  <c r="N599" i="18" s="1"/>
  <c r="I600" i="18"/>
  <c r="N600" i="18" s="1"/>
  <c r="I601" i="18"/>
  <c r="N601" i="18" s="1"/>
  <c r="I602" i="18"/>
  <c r="N602" i="18" s="1"/>
  <c r="I603" i="18"/>
  <c r="N603" i="18" s="1"/>
  <c r="I604" i="18"/>
  <c r="N604" i="18" s="1"/>
  <c r="I605" i="18"/>
  <c r="N605" i="18" s="1"/>
  <c r="I606" i="18"/>
  <c r="N606" i="18" s="1"/>
  <c r="I607" i="18"/>
  <c r="N607" i="18" s="1"/>
  <c r="I608" i="18"/>
  <c r="N608" i="18" s="1"/>
  <c r="I609" i="18"/>
  <c r="N609" i="18" s="1"/>
  <c r="I610" i="18"/>
  <c r="N610" i="18" s="1"/>
  <c r="I611" i="18"/>
  <c r="N611" i="18" s="1"/>
  <c r="I612" i="18"/>
  <c r="N612" i="18" s="1"/>
  <c r="I613" i="18"/>
  <c r="N613" i="18" s="1"/>
  <c r="I614" i="18"/>
  <c r="N614" i="18" s="1"/>
  <c r="I615" i="18"/>
  <c r="N615" i="18" s="1"/>
  <c r="I616" i="18"/>
  <c r="N616" i="18" s="1"/>
  <c r="I617" i="18"/>
  <c r="N617" i="18" s="1"/>
  <c r="I618" i="18"/>
  <c r="N618" i="18" s="1"/>
  <c r="I619" i="18"/>
  <c r="N619" i="18" s="1"/>
  <c r="I620" i="18"/>
  <c r="N620" i="18" s="1"/>
  <c r="I621" i="18"/>
  <c r="N621" i="18" s="1"/>
  <c r="I622" i="18"/>
  <c r="N622" i="18" s="1"/>
  <c r="I623" i="18"/>
  <c r="N623" i="18" s="1"/>
  <c r="I624" i="18"/>
  <c r="N624" i="18" s="1"/>
  <c r="I625" i="18"/>
  <c r="N625" i="18" s="1"/>
  <c r="I626" i="18"/>
  <c r="N626" i="18" s="1"/>
  <c r="I627" i="18"/>
  <c r="N627" i="18" s="1"/>
  <c r="I628" i="18"/>
  <c r="N628" i="18" s="1"/>
  <c r="I629" i="18"/>
  <c r="N629" i="18" s="1"/>
  <c r="I630" i="18"/>
  <c r="N630" i="18" s="1"/>
  <c r="I631" i="18"/>
  <c r="N631" i="18" s="1"/>
  <c r="I632" i="18"/>
  <c r="N632" i="18" s="1"/>
  <c r="I633" i="18"/>
  <c r="N633" i="18" s="1"/>
  <c r="I634" i="18"/>
  <c r="N634" i="18" s="1"/>
  <c r="I635" i="18"/>
  <c r="N635" i="18" s="1"/>
  <c r="I636" i="18"/>
  <c r="N636" i="18" s="1"/>
  <c r="I637" i="18"/>
  <c r="N637" i="18" s="1"/>
  <c r="I638" i="18"/>
  <c r="N638" i="18" s="1"/>
  <c r="I639" i="18"/>
  <c r="N639" i="18" s="1"/>
  <c r="I640" i="18"/>
  <c r="N640" i="18" s="1"/>
  <c r="I641" i="18"/>
  <c r="N641" i="18" s="1"/>
  <c r="I642" i="18"/>
  <c r="N642" i="18" s="1"/>
  <c r="I643" i="18"/>
  <c r="N643" i="18" s="1"/>
  <c r="I644" i="18"/>
  <c r="N644" i="18" s="1"/>
  <c r="I645" i="18"/>
  <c r="N645" i="18" s="1"/>
  <c r="I646" i="18"/>
  <c r="N646" i="18" s="1"/>
  <c r="I647" i="18"/>
  <c r="N647" i="18" s="1"/>
  <c r="I648" i="18"/>
  <c r="N648" i="18" s="1"/>
  <c r="I649" i="18"/>
  <c r="N649" i="18" s="1"/>
  <c r="I650" i="18"/>
  <c r="N650" i="18" s="1"/>
  <c r="I651" i="18"/>
  <c r="N651" i="18" s="1"/>
  <c r="I652" i="18"/>
  <c r="N652" i="18" s="1"/>
  <c r="I653" i="18"/>
  <c r="N653" i="18" s="1"/>
  <c r="I654" i="18"/>
  <c r="N654" i="18" s="1"/>
  <c r="I655" i="18"/>
  <c r="N655" i="18" s="1"/>
  <c r="I656" i="18"/>
  <c r="N656" i="18" s="1"/>
  <c r="I657" i="18"/>
  <c r="N657" i="18" s="1"/>
  <c r="I658" i="18"/>
  <c r="N658" i="18" s="1"/>
  <c r="I659" i="18"/>
  <c r="N659" i="18" s="1"/>
  <c r="I660" i="18"/>
  <c r="N660" i="18" s="1"/>
  <c r="I661" i="18"/>
  <c r="N661" i="18" s="1"/>
  <c r="I662" i="18"/>
  <c r="N662" i="18" s="1"/>
  <c r="I663" i="18"/>
  <c r="N663" i="18" s="1"/>
  <c r="I664" i="18"/>
  <c r="N664" i="18" s="1"/>
  <c r="I665" i="18"/>
  <c r="N665" i="18" s="1"/>
  <c r="I666" i="18"/>
  <c r="N666" i="18" s="1"/>
  <c r="I667" i="18"/>
  <c r="N667" i="18" s="1"/>
  <c r="I668" i="18"/>
  <c r="N668" i="18" s="1"/>
  <c r="I669" i="18"/>
  <c r="N669" i="18" s="1"/>
  <c r="I670" i="18"/>
  <c r="N670" i="18" s="1"/>
  <c r="I671" i="18"/>
  <c r="N671" i="18" s="1"/>
  <c r="I672" i="18"/>
  <c r="N672" i="18" s="1"/>
  <c r="I673" i="18"/>
  <c r="N673" i="18" s="1"/>
  <c r="I674" i="18"/>
  <c r="N674" i="18" s="1"/>
  <c r="I675" i="18"/>
  <c r="N675" i="18" s="1"/>
  <c r="I676" i="18"/>
  <c r="N676" i="18" s="1"/>
  <c r="I677" i="18"/>
  <c r="N677" i="18" s="1"/>
  <c r="I678" i="18"/>
  <c r="N678" i="18" s="1"/>
  <c r="I679" i="18"/>
  <c r="N679" i="18" s="1"/>
  <c r="I680" i="18"/>
  <c r="N680" i="18" s="1"/>
  <c r="I681" i="18"/>
  <c r="N681" i="18" s="1"/>
  <c r="I682" i="18"/>
  <c r="N682" i="18" s="1"/>
  <c r="I683" i="18"/>
  <c r="N683" i="18" s="1"/>
  <c r="I684" i="18"/>
  <c r="N684" i="18" s="1"/>
  <c r="I685" i="18"/>
  <c r="N685" i="18" s="1"/>
  <c r="I686" i="18"/>
  <c r="N686" i="18" s="1"/>
  <c r="I687" i="18"/>
  <c r="N687" i="18" s="1"/>
  <c r="I688" i="18"/>
  <c r="N688" i="18" s="1"/>
  <c r="I689" i="18"/>
  <c r="N689" i="18" s="1"/>
  <c r="I690" i="18"/>
  <c r="N690" i="18" s="1"/>
  <c r="I691" i="18"/>
  <c r="N691" i="18" s="1"/>
  <c r="I692" i="18"/>
  <c r="N692" i="18" s="1"/>
  <c r="I693" i="18"/>
  <c r="N693" i="18" s="1"/>
  <c r="I694" i="18"/>
  <c r="N694" i="18" s="1"/>
  <c r="I695" i="18"/>
  <c r="N695" i="18" s="1"/>
  <c r="I696" i="18"/>
  <c r="N696" i="18" s="1"/>
  <c r="I697" i="18"/>
  <c r="N697" i="18" s="1"/>
  <c r="I698" i="18"/>
  <c r="N698" i="18" s="1"/>
  <c r="I699" i="18"/>
  <c r="N699" i="18" s="1"/>
  <c r="I700" i="18"/>
  <c r="N700" i="18" s="1"/>
  <c r="I701" i="18"/>
  <c r="N701" i="18" s="1"/>
  <c r="I702" i="18"/>
  <c r="N702" i="18" s="1"/>
  <c r="I703" i="18"/>
  <c r="N703" i="18" s="1"/>
  <c r="I704" i="18"/>
  <c r="N704" i="18" s="1"/>
  <c r="I705" i="18"/>
  <c r="N705" i="18" s="1"/>
  <c r="I706" i="18"/>
  <c r="N706" i="18" s="1"/>
  <c r="I707" i="18"/>
  <c r="N707" i="18" s="1"/>
  <c r="I708" i="18"/>
  <c r="N708" i="18" s="1"/>
  <c r="I709" i="18"/>
  <c r="N709" i="18" s="1"/>
  <c r="I710" i="18"/>
  <c r="N710" i="18" s="1"/>
  <c r="I711" i="18"/>
  <c r="N711" i="18" s="1"/>
  <c r="I712" i="18"/>
  <c r="N712" i="18" s="1"/>
  <c r="I713" i="18"/>
  <c r="N713" i="18" s="1"/>
  <c r="I714" i="18"/>
  <c r="N714" i="18" s="1"/>
  <c r="I715" i="18"/>
  <c r="N715" i="18" s="1"/>
  <c r="I716" i="18"/>
  <c r="N716" i="18" s="1"/>
  <c r="I717" i="18"/>
  <c r="N717" i="18" s="1"/>
  <c r="I718" i="18"/>
  <c r="N718" i="18" s="1"/>
  <c r="I719" i="18"/>
  <c r="N719" i="18" s="1"/>
  <c r="I720" i="18"/>
  <c r="N720" i="18" s="1"/>
  <c r="I721" i="18"/>
  <c r="N721" i="18" s="1"/>
  <c r="I722" i="18"/>
  <c r="N722" i="18" s="1"/>
  <c r="I723" i="18"/>
  <c r="N723" i="18" s="1"/>
  <c r="I724" i="18"/>
  <c r="N724" i="18" s="1"/>
  <c r="I725" i="18"/>
  <c r="N725" i="18" s="1"/>
  <c r="I726" i="18"/>
  <c r="N726" i="18" s="1"/>
  <c r="I727" i="18"/>
  <c r="N727" i="18" s="1"/>
  <c r="I728" i="18"/>
  <c r="N728" i="18" s="1"/>
  <c r="I729" i="18"/>
  <c r="N729" i="18" s="1"/>
  <c r="I730" i="18"/>
  <c r="N730" i="18" s="1"/>
  <c r="I731" i="18"/>
  <c r="N731" i="18" s="1"/>
  <c r="I732" i="18"/>
  <c r="N732" i="18" s="1"/>
  <c r="I733" i="18"/>
  <c r="N733" i="18" s="1"/>
  <c r="I734" i="18"/>
  <c r="N734" i="18" s="1"/>
  <c r="I735" i="18"/>
  <c r="N735" i="18" s="1"/>
  <c r="I736" i="18"/>
  <c r="N736" i="18" s="1"/>
  <c r="I737" i="18"/>
  <c r="N737" i="18" s="1"/>
  <c r="I738" i="18"/>
  <c r="N738" i="18" s="1"/>
  <c r="I739" i="18"/>
  <c r="N739" i="18" s="1"/>
  <c r="I740" i="18"/>
  <c r="N740" i="18" s="1"/>
  <c r="I741" i="18"/>
  <c r="N741" i="18" s="1"/>
  <c r="I742" i="18"/>
  <c r="N742" i="18" s="1"/>
  <c r="I743" i="18"/>
  <c r="N743" i="18" s="1"/>
  <c r="I744" i="18"/>
  <c r="N744" i="18" s="1"/>
  <c r="I745" i="18"/>
  <c r="N745" i="18" s="1"/>
  <c r="I746" i="18"/>
  <c r="N746" i="18" s="1"/>
  <c r="I747" i="18"/>
  <c r="N747" i="18" s="1"/>
  <c r="I748" i="18"/>
  <c r="N748" i="18" s="1"/>
  <c r="I749" i="18"/>
  <c r="N749" i="18" s="1"/>
  <c r="I750" i="18"/>
  <c r="N750" i="18" s="1"/>
  <c r="I751" i="18"/>
  <c r="N751" i="18" s="1"/>
  <c r="I752" i="18"/>
  <c r="N752" i="18" s="1"/>
  <c r="I753" i="18"/>
  <c r="N753" i="18" s="1"/>
  <c r="I754" i="18"/>
  <c r="N754" i="18" s="1"/>
  <c r="I755" i="18"/>
  <c r="N755" i="18" s="1"/>
  <c r="I756" i="18"/>
  <c r="N756" i="18" s="1"/>
  <c r="I757" i="18"/>
  <c r="N757" i="18" s="1"/>
  <c r="I758" i="18"/>
  <c r="N758" i="18" s="1"/>
  <c r="I759" i="18"/>
  <c r="N759" i="18" s="1"/>
  <c r="I760" i="18"/>
  <c r="N760" i="18" s="1"/>
  <c r="I761" i="18"/>
  <c r="N761" i="18" s="1"/>
  <c r="I762" i="18"/>
  <c r="N762" i="18" s="1"/>
  <c r="I763" i="18"/>
  <c r="N763" i="18" s="1"/>
  <c r="I764" i="18"/>
  <c r="N764" i="18" s="1"/>
  <c r="I765" i="18"/>
  <c r="N765" i="18" s="1"/>
  <c r="I766" i="18"/>
  <c r="N766" i="18" s="1"/>
  <c r="I767" i="18"/>
  <c r="N767" i="18" s="1"/>
  <c r="I768" i="18"/>
  <c r="N768" i="18" s="1"/>
  <c r="I769" i="18"/>
  <c r="N769" i="18" s="1"/>
  <c r="I770" i="18"/>
  <c r="N770" i="18" s="1"/>
  <c r="I771" i="18"/>
  <c r="N771" i="18" s="1"/>
  <c r="I772" i="18"/>
  <c r="N772" i="18" s="1"/>
  <c r="I773" i="18"/>
  <c r="N773" i="18" s="1"/>
  <c r="I774" i="18"/>
  <c r="N774" i="18" s="1"/>
  <c r="I775" i="18"/>
  <c r="N775" i="18" s="1"/>
  <c r="I776" i="18"/>
  <c r="N776" i="18" s="1"/>
  <c r="I777" i="18"/>
  <c r="N777" i="18" s="1"/>
  <c r="I778" i="18"/>
  <c r="N778" i="18" s="1"/>
  <c r="I779" i="18"/>
  <c r="N779" i="18" s="1"/>
  <c r="I780" i="18"/>
  <c r="N780" i="18" s="1"/>
  <c r="I781" i="18"/>
  <c r="N781" i="18" s="1"/>
  <c r="I782" i="18"/>
  <c r="N782" i="18" s="1"/>
  <c r="I783" i="18"/>
  <c r="N783" i="18" s="1"/>
  <c r="I784" i="18"/>
  <c r="N784" i="18" s="1"/>
  <c r="I785" i="18"/>
  <c r="N785" i="18" s="1"/>
  <c r="I786" i="18"/>
  <c r="N786" i="18" s="1"/>
  <c r="I787" i="18"/>
  <c r="N787" i="18" s="1"/>
  <c r="I788" i="18"/>
  <c r="N788" i="18" s="1"/>
  <c r="I789" i="18"/>
  <c r="N789" i="18" s="1"/>
  <c r="I790" i="18"/>
  <c r="N790" i="18" s="1"/>
  <c r="I791" i="18"/>
  <c r="N791" i="18" s="1"/>
  <c r="I792" i="18"/>
  <c r="N792" i="18" s="1"/>
  <c r="I793" i="18"/>
  <c r="N793" i="18" s="1"/>
  <c r="I794" i="18"/>
  <c r="N794" i="18" s="1"/>
  <c r="I795" i="18"/>
  <c r="N795" i="18" s="1"/>
  <c r="I796" i="18"/>
  <c r="N796" i="18" s="1"/>
  <c r="I797" i="18"/>
  <c r="N797" i="18" s="1"/>
  <c r="I798" i="18"/>
  <c r="N798" i="18" s="1"/>
  <c r="I799" i="18"/>
  <c r="N799" i="18" s="1"/>
  <c r="I800" i="18"/>
  <c r="N800" i="18" s="1"/>
  <c r="I801" i="18"/>
  <c r="N801" i="18" s="1"/>
  <c r="I802" i="18"/>
  <c r="N802" i="18" s="1"/>
  <c r="I803" i="18"/>
  <c r="N803" i="18" s="1"/>
  <c r="I804" i="18"/>
  <c r="N804" i="18" s="1"/>
  <c r="I805" i="18"/>
  <c r="N805" i="18" s="1"/>
  <c r="I806" i="18"/>
  <c r="N806" i="18" s="1"/>
  <c r="I807" i="18"/>
  <c r="N807" i="18" s="1"/>
  <c r="I808" i="18"/>
  <c r="N808" i="18" s="1"/>
  <c r="I809" i="18"/>
  <c r="N809" i="18" s="1"/>
  <c r="I810" i="18"/>
  <c r="N810" i="18" s="1"/>
  <c r="I811" i="18"/>
  <c r="N811" i="18" s="1"/>
  <c r="I812" i="18"/>
  <c r="N812" i="18" s="1"/>
  <c r="I813" i="18"/>
  <c r="N813" i="18" s="1"/>
  <c r="I814" i="18"/>
  <c r="N814" i="18" s="1"/>
  <c r="I815" i="18"/>
  <c r="N815" i="18" s="1"/>
  <c r="I816" i="18"/>
  <c r="N816" i="18" s="1"/>
  <c r="I817" i="18"/>
  <c r="N817" i="18" s="1"/>
  <c r="I818" i="18"/>
  <c r="N818" i="18" s="1"/>
  <c r="I819" i="18"/>
  <c r="N819" i="18" s="1"/>
  <c r="I820" i="18"/>
  <c r="N820" i="18" s="1"/>
  <c r="I821" i="18"/>
  <c r="N821" i="18" s="1"/>
  <c r="I822" i="18"/>
  <c r="N822" i="18" s="1"/>
  <c r="I823" i="18"/>
  <c r="N823" i="18" s="1"/>
  <c r="I824" i="18"/>
  <c r="N824" i="18" s="1"/>
  <c r="I825" i="18"/>
  <c r="N825" i="18" s="1"/>
  <c r="I826" i="18"/>
  <c r="N826" i="18" s="1"/>
  <c r="I827" i="18"/>
  <c r="N827" i="18" s="1"/>
  <c r="I828" i="18"/>
  <c r="N828" i="18" s="1"/>
  <c r="I829" i="18"/>
  <c r="N829" i="18" s="1"/>
  <c r="I830" i="18"/>
  <c r="N830" i="18" s="1"/>
  <c r="I831" i="18"/>
  <c r="N831" i="18" s="1"/>
  <c r="I832" i="18"/>
  <c r="N832" i="18" s="1"/>
  <c r="I833" i="18"/>
  <c r="N833" i="18" s="1"/>
  <c r="I834" i="18"/>
  <c r="N834" i="18" s="1"/>
  <c r="I835" i="18"/>
  <c r="N835" i="18" s="1"/>
  <c r="I836" i="18"/>
  <c r="N836" i="18" s="1"/>
  <c r="I837" i="18"/>
  <c r="N837" i="18" s="1"/>
  <c r="I838" i="18"/>
  <c r="N838" i="18" s="1"/>
  <c r="I839" i="18"/>
  <c r="N839" i="18" s="1"/>
  <c r="I840" i="18"/>
  <c r="N840" i="18" s="1"/>
  <c r="I841" i="18"/>
  <c r="N841" i="18" s="1"/>
  <c r="I842" i="18"/>
  <c r="N842" i="18" s="1"/>
  <c r="I843" i="18"/>
  <c r="N843" i="18" s="1"/>
  <c r="I844" i="18"/>
  <c r="N844" i="18" s="1"/>
  <c r="I845" i="18"/>
  <c r="N845" i="18" s="1"/>
  <c r="I846" i="18"/>
  <c r="N846" i="18" s="1"/>
  <c r="I847" i="18"/>
  <c r="N847" i="18" s="1"/>
  <c r="I848" i="18"/>
  <c r="N848" i="18" s="1"/>
  <c r="I849" i="18"/>
  <c r="N849" i="18" s="1"/>
  <c r="I850" i="18"/>
  <c r="N850" i="18" s="1"/>
  <c r="I851" i="18"/>
  <c r="N851" i="18" s="1"/>
  <c r="I852" i="18"/>
  <c r="N852" i="18" s="1"/>
  <c r="I853" i="18"/>
  <c r="N853" i="18" s="1"/>
  <c r="I854" i="18"/>
  <c r="N854" i="18" s="1"/>
  <c r="I855" i="18"/>
  <c r="N855" i="18" s="1"/>
  <c r="I856" i="18"/>
  <c r="N856" i="18" s="1"/>
  <c r="I857" i="18"/>
  <c r="N857" i="18" s="1"/>
  <c r="I858" i="18"/>
  <c r="N858" i="18" s="1"/>
  <c r="I859" i="18"/>
  <c r="N859" i="18" s="1"/>
  <c r="I860" i="18"/>
  <c r="N860" i="18" s="1"/>
  <c r="I861" i="18"/>
  <c r="N861" i="18" s="1"/>
  <c r="I862" i="18"/>
  <c r="N862" i="18" s="1"/>
  <c r="I863" i="18"/>
  <c r="N863" i="18" s="1"/>
  <c r="I864" i="18"/>
  <c r="N864" i="18" s="1"/>
  <c r="I865" i="18"/>
  <c r="N865" i="18" s="1"/>
  <c r="I866" i="18"/>
  <c r="N866" i="18" s="1"/>
  <c r="I867" i="18"/>
  <c r="N867" i="18" s="1"/>
  <c r="I868" i="18"/>
  <c r="N868" i="18" s="1"/>
  <c r="I869" i="18"/>
  <c r="N869" i="18" s="1"/>
  <c r="I870" i="18"/>
  <c r="N870" i="18" s="1"/>
  <c r="I871" i="18"/>
  <c r="N871" i="18" s="1"/>
  <c r="I872" i="18"/>
  <c r="N872" i="18" s="1"/>
  <c r="I873" i="18"/>
  <c r="N873" i="18" s="1"/>
  <c r="I874" i="18"/>
  <c r="N874" i="18" s="1"/>
  <c r="I875" i="18"/>
  <c r="N875" i="18" s="1"/>
  <c r="I876" i="18"/>
  <c r="N876" i="18" s="1"/>
  <c r="I877" i="18"/>
  <c r="N877" i="18" s="1"/>
  <c r="I878" i="18"/>
  <c r="N878" i="18" s="1"/>
  <c r="I879" i="18"/>
  <c r="N879" i="18" s="1"/>
  <c r="I880" i="18"/>
  <c r="N880" i="18" s="1"/>
  <c r="I881" i="18"/>
  <c r="N881" i="18" s="1"/>
  <c r="I882" i="18"/>
  <c r="N882" i="18" s="1"/>
  <c r="I883" i="18"/>
  <c r="N883" i="18" s="1"/>
  <c r="I884" i="18"/>
  <c r="N884" i="18" s="1"/>
  <c r="I885" i="18"/>
  <c r="N885" i="18" s="1"/>
  <c r="I886" i="18"/>
  <c r="N886" i="18" s="1"/>
  <c r="I887" i="18"/>
  <c r="N887" i="18" s="1"/>
  <c r="I888" i="18"/>
  <c r="N888" i="18" s="1"/>
  <c r="I889" i="18"/>
  <c r="N889" i="18" s="1"/>
  <c r="I890" i="18"/>
  <c r="N890" i="18" s="1"/>
  <c r="I891" i="18"/>
  <c r="N891" i="18" s="1"/>
  <c r="I892" i="18"/>
  <c r="N892" i="18" s="1"/>
  <c r="I893" i="18"/>
  <c r="N893" i="18" s="1"/>
  <c r="I894" i="18"/>
  <c r="N894" i="18" s="1"/>
  <c r="I895" i="18"/>
  <c r="N895" i="18" s="1"/>
  <c r="I896" i="18"/>
  <c r="N896" i="18" s="1"/>
  <c r="I897" i="18"/>
  <c r="N897" i="18" s="1"/>
  <c r="I898" i="18"/>
  <c r="N898" i="18" s="1"/>
  <c r="I899" i="18"/>
  <c r="N899" i="18" s="1"/>
  <c r="I900" i="18"/>
  <c r="N900" i="18" s="1"/>
  <c r="I901" i="18"/>
  <c r="N901" i="18" s="1"/>
  <c r="I902" i="18"/>
  <c r="N902" i="18" s="1"/>
  <c r="I903" i="18"/>
  <c r="N903" i="18" s="1"/>
  <c r="I904" i="18"/>
  <c r="N904" i="18" s="1"/>
  <c r="I905" i="18"/>
  <c r="N905" i="18" s="1"/>
  <c r="I906" i="18"/>
  <c r="N906" i="18" s="1"/>
  <c r="I907" i="18"/>
  <c r="N907" i="18" s="1"/>
  <c r="I908" i="18"/>
  <c r="N908" i="18" s="1"/>
  <c r="I909" i="18"/>
  <c r="N909" i="18" s="1"/>
  <c r="I910" i="18"/>
  <c r="N910" i="18" s="1"/>
  <c r="I911" i="18"/>
  <c r="N911" i="18" s="1"/>
  <c r="I912" i="18"/>
  <c r="N912" i="18" s="1"/>
  <c r="I913" i="18"/>
  <c r="N913" i="18" s="1"/>
  <c r="I914" i="18"/>
  <c r="N914" i="18" s="1"/>
  <c r="I915" i="18"/>
  <c r="N915" i="18" s="1"/>
  <c r="I916" i="18"/>
  <c r="N916" i="18" s="1"/>
  <c r="I917" i="18"/>
  <c r="N917" i="18" s="1"/>
  <c r="I918" i="18"/>
  <c r="N918" i="18" s="1"/>
  <c r="I919" i="18"/>
  <c r="N919" i="18" s="1"/>
  <c r="I920" i="18"/>
  <c r="N920" i="18" s="1"/>
  <c r="I921" i="18"/>
  <c r="N921" i="18" s="1"/>
  <c r="I922" i="18"/>
  <c r="N922" i="18" s="1"/>
  <c r="I923" i="18"/>
  <c r="N923" i="18" s="1"/>
  <c r="I924" i="18"/>
  <c r="N924" i="18" s="1"/>
  <c r="I925" i="18"/>
  <c r="N925" i="18" s="1"/>
  <c r="I926" i="18"/>
  <c r="N926" i="18" s="1"/>
  <c r="I927" i="18"/>
  <c r="N927" i="18" s="1"/>
  <c r="I928" i="18"/>
  <c r="N928" i="18" s="1"/>
  <c r="I929" i="18"/>
  <c r="N929" i="18" s="1"/>
  <c r="I930" i="18"/>
  <c r="N930" i="18" s="1"/>
  <c r="I931" i="18"/>
  <c r="N931" i="18" s="1"/>
  <c r="I932" i="18"/>
  <c r="N932" i="18" s="1"/>
  <c r="I933" i="18"/>
  <c r="N933" i="18" s="1"/>
  <c r="I934" i="18"/>
  <c r="N934" i="18" s="1"/>
  <c r="I935" i="18"/>
  <c r="N935" i="18" s="1"/>
  <c r="I936" i="18"/>
  <c r="N936" i="18" s="1"/>
  <c r="I937" i="18"/>
  <c r="N937" i="18" s="1"/>
  <c r="I938" i="18"/>
  <c r="N938" i="18" s="1"/>
  <c r="I939" i="18"/>
  <c r="N939" i="18" s="1"/>
  <c r="I940" i="18"/>
  <c r="N940" i="18" s="1"/>
  <c r="I941" i="18"/>
  <c r="N941" i="18" s="1"/>
  <c r="I942" i="18"/>
  <c r="N942" i="18" s="1"/>
  <c r="I943" i="18"/>
  <c r="N943" i="18" s="1"/>
  <c r="I944" i="18"/>
  <c r="N944" i="18" s="1"/>
  <c r="I945" i="18"/>
  <c r="N945" i="18" s="1"/>
  <c r="I946" i="18"/>
  <c r="N946" i="18" s="1"/>
  <c r="I947" i="18"/>
  <c r="N947" i="18" s="1"/>
  <c r="I948" i="18"/>
  <c r="N948" i="18" s="1"/>
  <c r="I949" i="18"/>
  <c r="N949" i="18" s="1"/>
  <c r="I950" i="18"/>
  <c r="N950" i="18" s="1"/>
  <c r="I951" i="18"/>
  <c r="N951" i="18" s="1"/>
  <c r="I952" i="18"/>
  <c r="N952" i="18" s="1"/>
  <c r="I953" i="18"/>
  <c r="N953" i="18" s="1"/>
  <c r="I954" i="18"/>
  <c r="N954" i="18" s="1"/>
  <c r="I955" i="18"/>
  <c r="N955" i="18" s="1"/>
  <c r="I956" i="18"/>
  <c r="N956" i="18" s="1"/>
  <c r="I957" i="18"/>
  <c r="N957" i="18" s="1"/>
  <c r="I958" i="18"/>
  <c r="N958" i="18" s="1"/>
  <c r="I959" i="18"/>
  <c r="N959" i="18" s="1"/>
  <c r="I960" i="18"/>
  <c r="N960" i="18" s="1"/>
  <c r="I961" i="18"/>
  <c r="N961" i="18" s="1"/>
  <c r="I962" i="18"/>
  <c r="N962" i="18" s="1"/>
  <c r="I963" i="18"/>
  <c r="N963" i="18" s="1"/>
  <c r="I964" i="18"/>
  <c r="N964" i="18" s="1"/>
  <c r="I965" i="18"/>
  <c r="N965" i="18" s="1"/>
  <c r="I966" i="18"/>
  <c r="N966" i="18" s="1"/>
  <c r="I967" i="18"/>
  <c r="N967" i="18" s="1"/>
  <c r="I968" i="18"/>
  <c r="N968" i="18" s="1"/>
  <c r="I969" i="18"/>
  <c r="N969" i="18" s="1"/>
  <c r="I970" i="18"/>
  <c r="N970" i="18" s="1"/>
  <c r="I971" i="18"/>
  <c r="N971" i="18" s="1"/>
  <c r="I972" i="18"/>
  <c r="N972" i="18" s="1"/>
  <c r="I973" i="18"/>
  <c r="N973" i="18" s="1"/>
  <c r="I974" i="18"/>
  <c r="N974" i="18" s="1"/>
  <c r="I975" i="18"/>
  <c r="N975" i="18" s="1"/>
  <c r="I976" i="18"/>
  <c r="N976" i="18" s="1"/>
  <c r="I977" i="18"/>
  <c r="N977" i="18" s="1"/>
  <c r="I978" i="18"/>
  <c r="N978" i="18" s="1"/>
  <c r="I979" i="18"/>
  <c r="N979" i="18" s="1"/>
  <c r="I980" i="18"/>
  <c r="N980" i="18" s="1"/>
  <c r="I981" i="18"/>
  <c r="N981" i="18" s="1"/>
  <c r="I982" i="18"/>
  <c r="N982" i="18" s="1"/>
  <c r="I983" i="18"/>
  <c r="N983" i="18" s="1"/>
  <c r="I984" i="18"/>
  <c r="N984" i="18" s="1"/>
  <c r="I985" i="18"/>
  <c r="N985" i="18" s="1"/>
  <c r="I986" i="18"/>
  <c r="N986" i="18" s="1"/>
  <c r="I987" i="18"/>
  <c r="N987" i="18" s="1"/>
  <c r="I988" i="18"/>
  <c r="N988" i="18" s="1"/>
  <c r="I989" i="18"/>
  <c r="N989" i="18" s="1"/>
  <c r="I990" i="18"/>
  <c r="N990" i="18" s="1"/>
  <c r="I991" i="18"/>
  <c r="N991" i="18" s="1"/>
  <c r="I992" i="18"/>
  <c r="N992" i="18" s="1"/>
  <c r="I993" i="18"/>
  <c r="N993" i="18" s="1"/>
  <c r="I994" i="18"/>
  <c r="N994" i="18" s="1"/>
  <c r="I995" i="18"/>
  <c r="N995" i="18" s="1"/>
  <c r="I996" i="18"/>
  <c r="N996" i="18" s="1"/>
  <c r="I997" i="18"/>
  <c r="N997" i="18" s="1"/>
  <c r="I998" i="18"/>
  <c r="N998" i="18" s="1"/>
  <c r="I999" i="18"/>
  <c r="N999" i="18" s="1"/>
  <c r="I1000" i="18"/>
  <c r="N1000" i="18" s="1"/>
  <c r="I1001" i="18"/>
  <c r="N1001" i="18" s="1"/>
  <c r="I2" i="18"/>
  <c r="N2" i="18" s="1"/>
  <c r="F7"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F3" i="18"/>
  <c r="F4" i="18"/>
  <c r="F5" i="18"/>
  <c r="F6"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alcChain>
</file>

<file path=xl/sharedStrings.xml><?xml version="1.0" encoding="utf-8"?>
<sst xmlns="http://schemas.openxmlformats.org/spreadsheetml/2006/main" count="15145" uniqueCount="6223">
  <si>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</si>
  <si>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</si>
  <si>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</si>
  <si>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</si>
  <si>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</si>
  <si>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</si>
  <si>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</si>
  <si>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</si>
  <si>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</si>
  <si>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</si>
  <si>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</si>
  <si>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</si>
  <si>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</si>
  <si>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</si>
  <si>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</si>
  <si>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</si>
  <si>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</si>
  <si>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</si>
  <si>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</si>
  <si>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</si>
  <si>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</si>
  <si>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</si>
  <si>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</si>
  <si>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</si>
  <si>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</si>
  <si>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</si>
  <si>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</si>
  <si>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</si>
  <si>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</si>
  <si>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</si>
  <si>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</si>
  <si>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</si>
  <si>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</si>
  <si>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</si>
  <si>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</si>
  <si>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</si>
  <si>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</si>
  <si>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</si>
  <si>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</si>
  <si>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</si>
  <si>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</si>
  <si>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</si>
  <si>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</si>
  <si>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</si>
  <si>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</si>
  <si>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</si>
  <si>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</si>
  <si>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</si>
  <si>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</si>
  <si>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</si>
  <si>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</si>
  <si>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</si>
  <si>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</si>
  <si>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</si>
  <si>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</si>
  <si>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</si>
  <si>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</si>
  <si>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</si>
  <si>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</si>
  <si>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</si>
  <si>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</si>
  <si>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</si>
  <si>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</si>
  <si>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</si>
  <si>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</si>
  <si>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</si>
  <si>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</si>
  <si>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</si>
  <si>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</si>
  <si>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</si>
  <si>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</si>
  <si>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</si>
  <si>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</si>
  <si>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</si>
  <si>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</si>
  <si>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</si>
  <si>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</si>
  <si>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</si>
  <si>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</si>
  <si>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</si>
  <si>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</si>
  <si>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</si>
  <si>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</si>
  <si>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</si>
  <si>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</si>
  <si>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</si>
  <si>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</si>
  <si>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</si>
  <si>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</si>
  <si>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</si>
  <si>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</si>
  <si>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</si>
  <si>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</si>
  <si>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</si>
  <si>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</si>
  <si>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</si>
  <si>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</si>
  <si>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</si>
  <si>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</si>
  <si>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</si>
  <si>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</si>
  <si>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</si>
  <si>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</si>
  <si>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</si>
  <si>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</si>
  <si>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</si>
  <si>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</si>
  <si>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</si>
  <si>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</si>
  <si>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</si>
  <si>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</si>
  <si>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</si>
  <si>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</si>
  <si>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</si>
  <si>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</si>
  <si>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</si>
  <si>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</si>
  <si>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</si>
  <si>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</si>
  <si>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</si>
  <si>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</si>
  <si>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</si>
  <si>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</si>
  <si>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</si>
  <si>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</si>
  <si>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</si>
  <si>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</si>
  <si>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</si>
  <si>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</si>
  <si>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</si>
  <si>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</si>
  <si>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</si>
  <si>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</si>
  <si>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</si>
  <si>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</si>
  <si>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</si>
  <si>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</si>
  <si>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</si>
  <si>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</si>
  <si>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</si>
  <si>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</si>
  <si>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</si>
  <si>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</si>
  <si>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</si>
  <si>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</si>
  <si>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</si>
  <si>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</si>
  <si>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</si>
  <si>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</si>
  <si>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</si>
  <si>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</si>
  <si>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</si>
  <si>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</si>
  <si>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</si>
  <si>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</si>
  <si>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</si>
  <si>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</si>
  <si>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</si>
  <si>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</si>
  <si>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</si>
  <si>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</si>
  <si>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</si>
  <si>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</si>
  <si>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</si>
  <si>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</si>
  <si>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</si>
  <si>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</si>
  <si>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</si>
  <si>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</si>
  <si>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</si>
  <si>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</si>
  <si>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</si>
  <si>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</si>
  <si>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</si>
  <si>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</si>
  <si>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</si>
  <si>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</si>
  <si>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</si>
  <si>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</si>
  <si>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</si>
  <si>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</si>
  <si>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</si>
  <si>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</si>
  <si>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</si>
  <si>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</si>
  <si>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</si>
  <si>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</si>
  <si>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</si>
  <si>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</si>
  <si>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</si>
  <si>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</si>
  <si>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</si>
  <si>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</si>
  <si>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</si>
  <si>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</si>
  <si>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</si>
  <si>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</si>
  <si>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</si>
  <si>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</si>
  <si>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</si>
  <si>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</si>
  <si>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</si>
  <si>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</si>
  <si>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</si>
  <si>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</si>
  <si>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</si>
  <si>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</si>
  <si>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</si>
  <si>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</si>
  <si>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</si>
  <si>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</si>
  <si>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</si>
  <si>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</si>
  <si>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</si>
  <si>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</si>
  <si>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</si>
  <si>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</si>
  <si>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</si>
  <si>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</si>
  <si>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</si>
  <si>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</si>
  <si>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</si>
  <si>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</si>
  <si>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</si>
  <si>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</si>
  <si>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</si>
  <si>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</si>
  <si>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</si>
  <si>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</si>
  <si>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</si>
  <si>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</si>
  <si>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</si>
  <si>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</si>
  <si>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</si>
  <si>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</si>
  <si>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</si>
  <si>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</si>
  <si>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</si>
  <si>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</si>
  <si>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</si>
  <si>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</si>
  <si>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</si>
  <si>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</si>
  <si>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</si>
  <si>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</si>
  <si>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</si>
  <si>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</si>
  <si>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</si>
  <si>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</si>
  <si>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</si>
  <si>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</si>
  <si>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</si>
  <si>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</si>
  <si>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</si>
  <si>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</si>
  <si>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</si>
  <si>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</si>
  <si>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</si>
  <si>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</si>
  <si>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</si>
  <si>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</si>
  <si>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</si>
  <si>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</si>
  <si>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</si>
  <si>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</si>
  <si>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</si>
  <si>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</si>
  <si>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</si>
  <si>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</si>
  <si>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</si>
  <si>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</si>
  <si>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</si>
  <si>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</si>
  <si>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</si>
  <si>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</si>
  <si>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</si>
  <si>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</si>
  <si>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</si>
  <si>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</si>
  <si>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</si>
  <si>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</si>
  <si>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</si>
  <si>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</si>
  <si>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</si>
  <si>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</si>
  <si>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</si>
  <si>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</si>
  <si>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</si>
  <si>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</si>
  <si>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</si>
  <si>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</si>
  <si>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</si>
  <si>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</si>
  <si>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</si>
  <si>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</si>
  <si>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</si>
  <si>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</si>
  <si>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</si>
  <si>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</si>
  <si>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</si>
  <si>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</si>
  <si>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</si>
  <si>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</si>
  <si>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</si>
  <si>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</si>
  <si>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</si>
  <si>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</si>
  <si>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</si>
  <si>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</si>
  <si>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</si>
  <si>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</si>
  <si>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</si>
  <si>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</si>
  <si>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</si>
  <si>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</si>
  <si>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</si>
  <si>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</si>
  <si>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</si>
  <si>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</si>
  <si>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</si>
  <si>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</si>
  <si>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</si>
  <si>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</si>
  <si>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</si>
  <si>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</si>
  <si>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</si>
  <si>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</si>
  <si>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</si>
  <si>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</si>
  <si>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</si>
  <si>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</si>
  <si>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</si>
  <si>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</si>
  <si>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</si>
  <si>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</si>
  <si>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</si>
  <si>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</si>
  <si>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</si>
  <si>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</si>
  <si>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</si>
  <si>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</si>
  <si>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</si>
  <si>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</si>
  <si>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</si>
  <si>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</si>
  <si>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</si>
  <si>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</si>
  <si>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</si>
  <si>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</si>
  <si>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</si>
  <si>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</si>
  <si>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</si>
  <si>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</si>
  <si>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</si>
  <si>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</si>
  <si>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</si>
  <si>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</si>
  <si>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</si>
  <si>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</si>
  <si>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</si>
  <si>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</si>
  <si>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</si>
  <si>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</si>
  <si>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</si>
  <si>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</si>
  <si>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</si>
  <si>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</si>
  <si>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</si>
  <si>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</si>
  <si>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</si>
  <si>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</si>
  <si>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</si>
  <si>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</si>
  <si>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</si>
  <si>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</si>
  <si>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</si>
  <si>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</si>
  <si>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</si>
  <si>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</si>
  <si>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</si>
  <si>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</si>
  <si>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</si>
  <si>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</si>
  <si>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</si>
  <si>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</si>
  <si>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</si>
  <si>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</si>
  <si>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</si>
  <si>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</si>
  <si>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</si>
  <si>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</si>
  <si>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</si>
  <si>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</si>
  <si>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</si>
  <si>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</si>
  <si>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</si>
  <si>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</si>
  <si>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</si>
  <si>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</si>
  <si>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</si>
  <si>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</si>
  <si>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</si>
  <si>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</si>
  <si>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</si>
  <si>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</si>
  <si>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</si>
  <si>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</si>
  <si>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</si>
  <si>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</si>
  <si>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</si>
  <si>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</si>
  <si>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</si>
  <si>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</si>
  <si>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</si>
  <si>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</si>
  <si>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</si>
  <si>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</si>
  <si>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</si>
  <si>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</si>
  <si>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</si>
  <si>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</si>
  <si>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</si>
  <si>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</si>
  <si>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</si>
  <si>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</si>
  <si>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</si>
  <si>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</si>
  <si>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</si>
  <si>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</si>
  <si>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</si>
  <si>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</si>
  <si>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</si>
  <si>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</si>
  <si>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</si>
  <si>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</si>
  <si>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</si>
  <si>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</si>
  <si>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</si>
  <si>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</si>
  <si>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</si>
  <si>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</si>
  <si>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</si>
  <si>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</si>
  <si>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</si>
  <si>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</si>
  <si>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</si>
  <si>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</si>
  <si>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</si>
  <si>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</si>
  <si>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</si>
  <si>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</si>
  <si>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</si>
  <si>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</si>
  <si>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</si>
  <si>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</si>
  <si>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</si>
  <si>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</si>
  <si>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</si>
  <si>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</si>
  <si>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</si>
  <si>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</si>
  <si>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</si>
  <si>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</si>
  <si>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</si>
  <si>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</si>
  <si>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</si>
  <si>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</si>
  <si>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</si>
  <si>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</si>
  <si>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</si>
  <si>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</si>
  <si>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</si>
  <si>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</si>
  <si>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</si>
  <si>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</si>
  <si>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</si>
  <si>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</si>
  <si>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</si>
  <si>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</si>
  <si>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</si>
  <si>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</si>
  <si>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</si>
  <si>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</si>
  <si>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</si>
  <si>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</si>
  <si>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</si>
  <si>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</si>
  <si>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</si>
  <si>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</si>
  <si>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</si>
  <si>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</si>
  <si>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</si>
  <si>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</si>
  <si>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</si>
  <si>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</si>
  <si>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</si>
  <si>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</si>
  <si>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</si>
  <si>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</si>
  <si>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</si>
  <si>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</si>
  <si>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</si>
  <si>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</si>
  <si>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</si>
  <si>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</si>
  <si>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</si>
  <si>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</si>
  <si>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</si>
  <si>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</si>
  <si>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</si>
  <si>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</si>
  <si>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</si>
  <si>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</si>
  <si>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</si>
  <si>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</si>
  <si>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</si>
  <si>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</si>
  <si>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</si>
  <si>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</si>
  <si>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</si>
  <si>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</si>
  <si>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</si>
  <si>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</si>
  <si>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</si>
  <si>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</si>
  <si>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</si>
  <si>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</si>
  <si>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</si>
  <si>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</si>
  <si>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</si>
  <si>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</si>
  <si>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</si>
  <si>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</si>
  <si>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</si>
  <si>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</si>
  <si>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</si>
  <si>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</si>
  <si>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</si>
  <si>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</si>
  <si>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</si>
  <si>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</si>
  <si>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</si>
  <si>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</si>
  <si>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</si>
  <si>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</si>
  <si>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</si>
  <si>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</si>
  <si>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</si>
  <si>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</si>
  <si>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</si>
  <si>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</si>
  <si>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</si>
  <si>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</si>
  <si>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</si>
  <si>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</si>
  <si>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</si>
  <si>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</si>
  <si>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</si>
  <si>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</si>
  <si>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</si>
  <si>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</si>
  <si>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</si>
  <si>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</si>
  <si>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</si>
  <si>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</si>
  <si>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</si>
  <si>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</si>
  <si>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</si>
  <si>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</si>
  <si>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</si>
  <si>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</si>
  <si>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</si>
  <si>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</si>
  <si>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</si>
  <si>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</si>
  <si>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</si>
  <si>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</si>
  <si>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</si>
  <si>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</si>
  <si>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</si>
  <si>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</si>
  <si>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</si>
  <si>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</si>
  <si>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</si>
  <si>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</si>
  <si>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</si>
  <si>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</si>
  <si>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</si>
  <si>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</si>
  <si>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</si>
  <si>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</si>
  <si>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</si>
  <si>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</si>
  <si>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</si>
  <si>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</si>
  <si>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</si>
  <si>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</si>
  <si>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</si>
  <si>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</si>
  <si>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</si>
  <si>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</si>
  <si>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</si>
  <si>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</si>
  <si>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</si>
  <si>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</si>
  <si>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</si>
  <si>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</si>
  <si>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</si>
  <si>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</si>
  <si>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</si>
  <si>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</si>
  <si>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</si>
  <si>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</si>
  <si>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</si>
  <si>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</si>
  <si>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</si>
  <si>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</si>
  <si>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</si>
  <si>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</si>
  <si>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</si>
  <si>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</si>
  <si>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</si>
  <si>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</si>
  <si>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</si>
  <si>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</si>
  <si>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</si>
  <si>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</si>
  <si>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</si>
  <si>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</si>
  <si>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</si>
  <si>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</si>
  <si>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</si>
  <si>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</si>
  <si>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</si>
  <si>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</si>
  <si>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</si>
  <si>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</si>
  <si>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</si>
  <si>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</si>
  <si>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</si>
  <si>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</si>
  <si>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</si>
  <si>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</si>
  <si>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</si>
  <si>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</si>
  <si>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</si>
  <si>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</si>
  <si>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</si>
  <si>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</si>
  <si>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</si>
  <si>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</si>
  <si>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</si>
  <si>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</si>
  <si>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</si>
  <si>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</si>
  <si>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</si>
  <si>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</si>
  <si>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</si>
  <si>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</si>
  <si>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</si>
  <si>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</si>
  <si>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</si>
  <si>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</si>
  <si>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</si>
  <si>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</si>
  <si>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</si>
  <si>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</si>
  <si>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</si>
  <si>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</si>
  <si>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</si>
  <si>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</si>
  <si>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</si>
  <si>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</si>
  <si>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</si>
  <si>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</si>
  <si>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</si>
  <si>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</si>
  <si>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</si>
  <si>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</si>
  <si>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</si>
  <si>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</si>
  <si>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</si>
  <si>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</si>
  <si>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</si>
  <si>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</si>
  <si>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</si>
  <si>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</si>
  <si>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</si>
  <si>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</si>
  <si>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</si>
  <si>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</si>
  <si>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</si>
  <si>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</si>
  <si>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</si>
  <si>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</si>
  <si>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</si>
  <si>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</si>
  <si>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</si>
  <si>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</si>
  <si>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</si>
  <si>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</si>
  <si>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</si>
  <si>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</si>
  <si>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</si>
  <si>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</si>
  <si>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</si>
  <si>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</si>
  <si>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</si>
  <si>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</si>
  <si>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</si>
  <si>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</si>
  <si>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</si>
  <si>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</si>
  <si>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</si>
  <si>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</si>
  <si>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</si>
  <si>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</si>
  <si>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</si>
  <si>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</si>
  <si>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</si>
  <si>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</si>
  <si>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</si>
  <si>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</si>
  <si>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</si>
  <si>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</si>
  <si>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</si>
  <si>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</si>
  <si>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</si>
  <si>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</si>
  <si>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</si>
  <si>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</si>
  <si>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</si>
  <si>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</si>
  <si>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</si>
  <si>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</si>
  <si>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</si>
  <si>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</si>
  <si>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</si>
  <si>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</si>
  <si>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</si>
  <si>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</si>
  <si>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</si>
  <si>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</si>
  <si>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</si>
  <si>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</si>
  <si>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</si>
  <si>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</si>
  <si>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</si>
  <si>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</si>
  <si>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</si>
  <si>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</si>
  <si>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</si>
  <si>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</si>
  <si>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</si>
  <si>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</si>
  <si>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</si>
  <si>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</si>
  <si>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</si>
  <si>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</si>
  <si>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</si>
  <si>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</si>
  <si>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</si>
  <si>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</si>
  <si>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</si>
  <si>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</si>
  <si>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</si>
  <si>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</si>
  <si>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</si>
  <si>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</si>
  <si>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</si>
  <si>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</si>
  <si>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</si>
  <si>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</si>
  <si>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</si>
  <si>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</si>
  <si>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</si>
  <si>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</si>
  <si>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</si>
  <si>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</si>
  <si>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</si>
  <si>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</si>
  <si>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</si>
  <si>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</si>
  <si>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</si>
  <si>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</si>
  <si>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</si>
  <si>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</si>
  <si>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</si>
  <si>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</si>
  <si>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</si>
  <si>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</si>
  <si>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</si>
  <si>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</si>
  <si>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</si>
  <si>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</si>
  <si>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</si>
  <si>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</si>
  <si>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</si>
  <si>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</si>
  <si>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</si>
  <si>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</si>
  <si>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</si>
  <si>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</si>
  <si>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</si>
  <si>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</si>
  <si>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</si>
  <si>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</si>
  <si>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</si>
  <si>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</si>
  <si>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</si>
  <si>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</si>
  <si>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</si>
  <si>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</si>
  <si>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</si>
  <si>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</si>
  <si>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</si>
  <si>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</si>
  <si>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</si>
  <si>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</si>
  <si>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</si>
  <si>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</si>
  <si>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</si>
  <si>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</si>
  <si>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</si>
  <si>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</si>
  <si>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</si>
  <si>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</si>
  <si>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</si>
  <si>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</si>
  <si>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</si>
  <si>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</si>
  <si>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</si>
  <si>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</si>
  <si>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</si>
  <si>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</si>
  <si>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</si>
  <si>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</si>
  <si>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</si>
  <si>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</si>
  <si>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</si>
  <si>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</si>
  <si>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</si>
  <si>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</si>
  <si>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</si>
  <si>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</si>
  <si>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</si>
  <si>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</si>
  <si>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</si>
  <si>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</si>
  <si>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</si>
  <si>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</si>
  <si>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</si>
  <si>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</si>
  <si>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</si>
  <si>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</si>
  <si>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</si>
  <si>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</si>
  <si>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</si>
  <si>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</si>
  <si>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</si>
  <si>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</si>
  <si>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</si>
  <si>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</si>
  <si>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</si>
  <si>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</si>
  <si>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</si>
  <si>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</si>
  <si>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</si>
  <si>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</si>
  <si>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</si>
  <si>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</si>
  <si>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</si>
  <si>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</si>
  <si>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</si>
  <si>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</si>
  <si>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</si>
  <si>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</si>
  <si>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</si>
  <si>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</si>
  <si>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</si>
  <si>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</si>
  <si>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</si>
  <si>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</si>
  <si>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</si>
  <si>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</si>
  <si>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</si>
  <si>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</si>
  <si>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</si>
  <si>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</si>
  <si>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</si>
  <si>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</si>
  <si>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</si>
  <si>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</si>
  <si>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</si>
  <si>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</si>
  <si>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</si>
  <si>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</si>
  <si>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</si>
  <si>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</si>
  <si>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</si>
  <si>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</si>
  <si>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</si>
  <si>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</si>
  <si>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</si>
  <si>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</si>
  <si>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</si>
  <si>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</si>
  <si>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</si>
  <si>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</si>
  <si>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</si>
  <si>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</si>
  <si>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</si>
  <si>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</si>
  <si>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</si>
  <si>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</si>
  <si>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</si>
  <si>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</si>
  <si>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</si>
  <si>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</si>
  <si>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</si>
  <si>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</si>
  <si>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</si>
  <si>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</si>
  <si>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</si>
  <si>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</si>
  <si>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</si>
  <si>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</si>
  <si>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</si>
  <si>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</si>
  <si>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</si>
  <si>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</si>
  <si>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</si>
  <si>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</si>
  <si>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</si>
  <si>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</si>
  <si>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</si>
  <si>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</si>
  <si>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</si>
  <si>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</si>
  <si>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</si>
  <si>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</si>
  <si>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</si>
  <si>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</si>
  <si>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</si>
  <si>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</si>
  <si>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</si>
  <si>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</si>
  <si>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</si>
  <si>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</si>
  <si>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</si>
  <si>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</si>
  <si>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</si>
  <si>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</si>
  <si>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</si>
  <si>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</si>
  <si>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</si>
  <si>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</si>
  <si>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</si>
  <si>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</si>
  <si>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</si>
  <si>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</si>
  <si>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</si>
  <si>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</si>
  <si>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</si>
  <si>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</si>
  <si>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</si>
  <si>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</si>
  <si>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</si>
  <si>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</si>
  <si>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</si>
  <si>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</si>
  <si>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</si>
  <si>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</si>
  <si>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</si>
  <si>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</si>
  <si>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</si>
  <si>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</si>
  <si>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</si>
  <si>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</si>
  <si>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</si>
  <si>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</si>
  <si>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</si>
  <si>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</si>
  <si>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</si>
  <si>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</si>
  <si>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</si>
  <si>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</si>
  <si>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</si>
  <si>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</si>
  <si>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</si>
  <si>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</si>
  <si>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</si>
  <si>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</si>
  <si>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</si>
  <si>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</si>
  <si>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</si>
  <si>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</si>
  <si>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</si>
  <si>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</si>
  <si>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</si>
  <si>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</si>
  <si>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</si>
  <si>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</si>
  <si>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</si>
  <si>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</si>
  <si>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</si>
  <si>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</si>
  <si>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</si>
  <si>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</si>
  <si>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</si>
  <si>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</si>
  <si>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</si>
  <si>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</si>
  <si>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</si>
  <si>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</si>
  <si>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</si>
  <si>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</si>
  <si>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</si>
  <si>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</si>
  <si>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</si>
  <si>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</si>
  <si>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</si>
  <si>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</si>
  <si>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</si>
  <si>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</si>
  <si>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</si>
  <si>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</si>
  <si>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</si>
  <si>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</si>
  <si>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</si>
  <si>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</si>
  <si>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</si>
  <si>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</si>
  <si>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</si>
  <si>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</si>
  <si>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</si>
  <si>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</si>
  <si>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</si>
  <si>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</si>
  <si>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</si>
  <si>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</si>
  <si>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</si>
  <si>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</si>
  <si>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</si>
  <si>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</si>
  <si>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</si>
  <si>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</si>
  <si>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</si>
  <si>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</si>
  <si>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</si>
  <si>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</si>
  <si>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</si>
  <si>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</si>
  <si>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</si>
  <si>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</si>
  <si>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</si>
  <si>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</si>
  <si>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</si>
  <si>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</si>
  <si>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</si>
  <si>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</si>
  <si>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</si>
  <si>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</si>
  <si>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</si>
  <si>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</si>
  <si>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</si>
  <si>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</si>
  <si>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</si>
  <si>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</si>
  <si>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</si>
  <si>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</si>
  <si>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</si>
  <si>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</si>
  <si>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</si>
  <si>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</si>
  <si>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</si>
  <si>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</si>
  <si>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</si>
  <si>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</si>
  <si>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</si>
  <si>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</si>
  <si>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</si>
  <si>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</si>
  <si>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</si>
  <si>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</si>
  <si>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</si>
  <si>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</si>
  <si>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</si>
  <si>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</si>
  <si>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</si>
  <si>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</si>
  <si>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</si>
  <si>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</si>
  <si>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</si>
  <si>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</si>
  <si>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</si>
  <si>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</si>
  <si>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</si>
  <si>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</si>
  <si>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</si>
  <si>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</si>
  <si>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</si>
  <si>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</si>
  <si>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</si>
  <si>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</si>
  <si>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</si>
  <si>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</si>
  <si>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</si>
  <si>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</si>
  <si>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</si>
  <si>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</si>
  <si>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</si>
  <si>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</si>
  <si>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</si>
  <si>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</si>
  <si>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</si>
  <si>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</si>
  <si>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</si>
  <si>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</si>
  <si>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</si>
  <si>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</si>
  <si>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</si>
  <si>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</si>
  <si>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</si>
  <si>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</si>
  <si>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</si>
  <si>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</si>
  <si>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</si>
  <si>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</si>
  <si>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</si>
  <si>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</si>
  <si>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</si>
  <si>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</si>
  <si>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</si>
  <si>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</si>
  <si>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</si>
  <si>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</si>
  <si>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</si>
  <si>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</si>
  <si>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</si>
  <si>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</si>
  <si>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</si>
  <si>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</si>
  <si>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</si>
  <si>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</si>
  <si>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</si>
  <si>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</si>
  <si>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</si>
  <si>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</si>
  <si>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</si>
  <si>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</si>
  <si>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</si>
  <si>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</si>
  <si>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</si>
  <si>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</si>
  <si>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</si>
  <si>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</si>
  <si>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</si>
  <si>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</si>
  <si>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</si>
  <si>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</si>
  <si>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</si>
  <si>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</si>
  <si>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</si>
  <si>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</si>
  <si>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</si>
  <si>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</si>
  <si>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</si>
  <si>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</si>
  <si>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</si>
  <si>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</si>
  <si>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</si>
  <si>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</si>
  <si>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</si>
  <si>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</si>
  <si>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</si>
  <si>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</si>
  <si>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</si>
  <si>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</si>
  <si>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</si>
  <si>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</si>
  <si>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</si>
  <si>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</si>
  <si>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</si>
  <si>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</si>
  <si>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</si>
  <si>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</si>
  <si>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</si>
  <si>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</si>
  <si>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</si>
  <si>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</si>
  <si>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</si>
  <si>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</si>
  <si>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</si>
  <si>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</si>
  <si>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</si>
  <si>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</si>
  <si>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</si>
  <si>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</si>
  <si>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</si>
  <si>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</si>
  <si>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</si>
  <si>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</si>
  <si>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</si>
  <si>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</si>
  <si>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</si>
  <si>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</si>
  <si>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</si>
  <si>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</si>
  <si>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</si>
  <si>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</si>
  <si>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</si>
  <si>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</si>
  <si>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</si>
  <si>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</si>
  <si>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</si>
  <si>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</si>
  <si>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</si>
  <si>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</si>
  <si>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</si>
  <si>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</si>
  <si>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</si>
  <si>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</si>
  <si>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</si>
  <si>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</si>
  <si>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</si>
  <si>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</si>
  <si>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</si>
  <si>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</si>
  <si>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</si>
  <si>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</si>
  <si>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</si>
  <si>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</si>
  <si>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</si>
  <si>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</si>
  <si>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</si>
  <si>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</si>
  <si>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</si>
  <si>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</si>
  <si>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</si>
  <si>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</si>
  <si>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</si>
  <si>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</si>
  <si>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</si>
  <si>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</si>
  <si>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</si>
  <si>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</si>
  <si>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</si>
  <si>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</si>
  <si>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</si>
  <si>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</si>
  <si>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</si>
  <si>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</si>
  <si>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</si>
  <si>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</si>
  <si>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</si>
  <si>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</si>
  <si>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</si>
  <si>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</si>
  <si>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</si>
  <si>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</si>
  <si>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</si>
  <si>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</si>
  <si>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</si>
  <si>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</si>
  <si>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</si>
  <si>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</si>
  <si>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</si>
  <si>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</si>
  <si>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</si>
  <si>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</si>
  <si>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</si>
  <si>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</si>
  <si>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</si>
  <si>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</si>
  <si>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</si>
  <si>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</si>
  <si>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</si>
  <si>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</si>
  <si>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</si>
  <si>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</si>
  <si>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</si>
  <si>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</si>
  <si>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</si>
  <si>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</si>
  <si>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</si>
  <si>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</si>
  <si>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</si>
  <si>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</si>
  <si>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</si>
  <si>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</si>
  <si>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</si>
  <si>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</si>
  <si>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</si>
  <si>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</si>
  <si>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</si>
  <si>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</si>
  <si>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</si>
  <si>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</si>
  <si>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</si>
  <si>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</si>
  <si>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</si>
  <si>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</si>
  <si>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</si>
  <si>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</si>
  <si>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</si>
  <si>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</si>
  <si>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</si>
  <si>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</si>
  <si>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</si>
  <si>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</si>
  <si>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</si>
  <si>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</si>
  <si>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</si>
  <si>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</si>
  <si>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</si>
  <si>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</si>
  <si>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</si>
  <si>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</si>
  <si>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</si>
  <si>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</si>
  <si>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</si>
  <si>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</si>
  <si>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</si>
  <si>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</si>
  <si>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</si>
  <si>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</si>
  <si>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</si>
  <si>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</si>
  <si>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</si>
  <si>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</si>
  <si>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</si>
  <si>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</si>
  <si>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</si>
  <si>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</si>
  <si>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</si>
  <si>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</si>
  <si>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</si>
  <si>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</si>
  <si>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</si>
  <si>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</si>
  <si>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</si>
  <si>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</si>
  <si>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</si>
  <si>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</si>
  <si>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</si>
  <si>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</si>
  <si>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</si>
  <si>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</si>
  <si>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</si>
  <si>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</si>
  <si>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</si>
  <si>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</si>
  <si>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</si>
  <si>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</si>
  <si>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</si>
  <si>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</si>
  <si>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</si>
  <si>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</si>
  <si>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</si>
  <si>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</si>
  <si>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</si>
  <si>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</si>
  <si>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</si>
  <si>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</si>
  <si>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</si>
  <si>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</si>
  <si>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</si>
  <si>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</si>
  <si>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</si>
  <si>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</si>
  <si>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</si>
  <si>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</si>
  <si>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</si>
  <si>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</si>
  <si>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</si>
  <si>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</si>
  <si>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</si>
  <si>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</si>
  <si>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</si>
  <si>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</si>
  <si>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</si>
  <si>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</si>
  <si>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</si>
  <si>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</si>
  <si>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</si>
  <si>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</si>
  <si>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</si>
  <si>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</si>
  <si>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</si>
  <si>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</si>
  <si>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</si>
  <si>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</si>
  <si>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</si>
  <si>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</si>
  <si>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</si>
  <si>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</si>
  <si>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</si>
  <si>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</si>
  <si>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</si>
  <si>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</si>
  <si>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</si>
  <si>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</si>
  <si>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</si>
  <si>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</si>
  <si>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</si>
  <si>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</si>
  <si>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</si>
  <si>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</si>
  <si>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</si>
  <si>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</si>
  <si>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</si>
  <si>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</si>
  <si>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</si>
  <si>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</si>
  <si>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</si>
  <si>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</si>
  <si>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</si>
  <si>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</si>
  <si>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</si>
  <si>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</si>
  <si>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</si>
  <si>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</si>
  <si>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</si>
  <si>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</si>
  <si>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</si>
  <si>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</si>
  <si>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</si>
  <si>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</si>
  <si>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</si>
  <si>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</si>
  <si>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</si>
  <si>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</si>
  <si>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</si>
  <si>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</si>
  <si>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</si>
  <si>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</si>
  <si>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</si>
  <si>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</si>
  <si>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</si>
  <si>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</si>
  <si>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</si>
  <si>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</si>
  <si>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</si>
  <si>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</si>
  <si>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</si>
  <si>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</si>
  <si>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</si>
  <si>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</si>
  <si>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</si>
  <si>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</si>
  <si>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</si>
  <si>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</si>
  <si>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</si>
  <si>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</si>
  <si>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</si>
  <si>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</si>
  <si>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</si>
  <si>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</si>
  <si>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</si>
  <si>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</si>
  <si>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</si>
  <si>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</si>
  <si>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</si>
  <si>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</si>
  <si>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</si>
  <si>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</si>
  <si>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</si>
  <si>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</si>
  <si>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</si>
  <si>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</si>
  <si>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</si>
  <si>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</si>
  <si>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</si>
  <si>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</si>
  <si>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</si>
  <si>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</si>
  <si>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</si>
  <si>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</si>
  <si>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</si>
  <si>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</si>
  <si>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</si>
  <si>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</si>
  <si>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</si>
  <si>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</si>
  <si>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</si>
  <si>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</si>
  <si>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</si>
  <si>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</si>
  <si>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</si>
  <si>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</si>
  <si>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</si>
  <si>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</si>
  <si>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</si>
  <si>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</si>
  <si>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</si>
  <si>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</si>
  <si>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</si>
  <si>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</si>
  <si>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</si>
  <si>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</si>
  <si>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</si>
  <si>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</si>
  <si>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</si>
  <si>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</si>
  <si>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</si>
  <si>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</si>
  <si>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</si>
  <si>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</si>
  <si>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</si>
  <si>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</si>
  <si>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</si>
  <si>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</si>
  <si>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</si>
  <si>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</si>
  <si>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</si>
  <si>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</si>
  <si>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</si>
  <si>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</si>
  <si>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</si>
  <si>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</si>
  <si>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</si>
  <si>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</si>
  <si>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</si>
  <si>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</si>
  <si>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</si>
  <si>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</si>
  <si>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</si>
  <si>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</si>
  <si>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</si>
  <si>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</si>
  <si>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</si>
  <si>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</si>
  <si>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</si>
  <si>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</si>
  <si>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</si>
  <si>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</si>
  <si>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</si>
  <si>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</si>
  <si>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</si>
  <si>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</si>
  <si>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</si>
  <si>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</si>
  <si>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</si>
  <si>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</si>
  <si>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</si>
  <si>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</si>
  <si>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</si>
  <si>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</si>
  <si>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</si>
  <si>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</si>
  <si>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</si>
  <si>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</si>
  <si>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</si>
  <si>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</si>
  <si>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</si>
  <si>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</si>
  <si>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</si>
  <si>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</si>
  <si>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</si>
  <si>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</si>
  <si>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</si>
  <si>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</si>
  <si>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</si>
  <si>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</si>
  <si>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</si>
  <si>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</si>
  <si>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</si>
  <si>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</si>
  <si>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</si>
  <si>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</si>
  <si>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</si>
  <si>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</si>
  <si>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</si>
  <si>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</si>
  <si>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</si>
  <si>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</si>
  <si>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</si>
  <si>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</si>
  <si>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</si>
  <si>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</si>
  <si>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</si>
  <si>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</si>
  <si>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</si>
  <si>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</si>
  <si>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</si>
  <si>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</si>
  <si>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</si>
  <si>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</si>
  <si>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</si>
  <si>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</si>
  <si>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</si>
  <si>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</si>
  <si>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</si>
  <si>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</si>
  <si>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</si>
  <si>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</si>
  <si>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</si>
  <si>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</si>
  <si>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</si>
  <si>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</si>
  <si>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</si>
  <si>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</si>
  <si>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</si>
  <si>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</si>
  <si>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</si>
  <si>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</si>
  <si>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</si>
  <si>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</si>
  <si>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</si>
  <si>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</si>
  <si>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</si>
  <si>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</si>
  <si>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</si>
  <si>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</si>
  <si>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</si>
  <si>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</si>
  <si>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</si>
  <si>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</si>
  <si>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</si>
  <si>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</si>
  <si>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</si>
  <si>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</si>
  <si>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</si>
  <si>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</si>
  <si>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</si>
  <si>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</si>
  <si>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</si>
  <si>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</si>
  <si>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</si>
  <si>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</si>
  <si>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</si>
  <si>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</si>
  <si>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</si>
  <si>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</si>
  <si>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</si>
  <si>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</si>
  <si>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</si>
  <si>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</si>
  <si>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</si>
  <si>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</si>
  <si>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</si>
  <si>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</si>
  <si>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</si>
  <si>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</si>
  <si>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</si>
  <si>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</si>
  <si>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</si>
  <si>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</si>
  <si>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</si>
  <si>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</si>
  <si>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</si>
  <si>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</si>
  <si>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</si>
  <si>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</si>
  <si>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</si>
  <si>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</si>
  <si>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</si>
  <si>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</si>
  <si>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</si>
  <si>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</si>
  <si>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</si>
  <si>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</si>
  <si>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</si>
  <si>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</si>
  <si>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</si>
  <si>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</si>
  <si>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</si>
  <si>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</si>
  <si>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</si>
  <si>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</si>
  <si>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</si>
  <si>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</si>
  <si>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</si>
  <si>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</si>
  <si>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</si>
  <si>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</si>
  <si>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</si>
  <si>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</si>
  <si>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</si>
  <si>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</si>
  <si>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</si>
  <si>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</si>
  <si>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</si>
  <si>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</si>
  <si>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</si>
  <si>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</si>
  <si>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</si>
  <si>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</si>
  <si>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</si>
  <si>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</si>
  <si>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</si>
  <si>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</si>
  <si>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</si>
  <si>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</si>
  <si>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</si>
  <si>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</si>
  <si>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</si>
  <si>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</si>
  <si>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</si>
  <si>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</si>
  <si>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</si>
  <si>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</si>
  <si>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</si>
  <si>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</si>
  <si>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</si>
  <si>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</si>
  <si>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</si>
  <si>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</si>
  <si>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</si>
  <si>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</si>
  <si>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</si>
  <si>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</si>
  <si>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</si>
  <si>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</si>
  <si>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</si>
  <si>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</si>
  <si>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</si>
  <si>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</si>
  <si>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</si>
  <si>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</si>
  <si>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</si>
  <si>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</si>
  <si>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</si>
  <si>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</si>
  <si>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</si>
  <si>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</si>
  <si>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</si>
  <si>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</si>
  <si>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</si>
  <si>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</si>
  <si>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</si>
  <si>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</si>
  <si>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</si>
  <si>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</si>
  <si>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</si>
  <si>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</si>
  <si>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</si>
  <si>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</si>
  <si>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</si>
  <si>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</si>
  <si>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</si>
  <si>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</si>
  <si>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</si>
  <si>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</si>
  <si>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</si>
  <si>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</si>
  <si>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</si>
  <si>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</si>
  <si>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</si>
  <si>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</si>
  <si>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</si>
  <si>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</si>
  <si>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</si>
  <si>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</si>
  <si>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</si>
  <si>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</si>
  <si>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</si>
  <si>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</si>
  <si>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</si>
  <si>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</si>
  <si>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</si>
  <si>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</si>
  <si>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</si>
  <si>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</si>
  <si>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</si>
  <si>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</si>
  <si>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</si>
  <si>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</si>
  <si>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</si>
  <si>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</si>
  <si>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</si>
  <si>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</si>
  <si>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</si>
  <si>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</si>
  <si>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</si>
  <si>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</si>
  <si>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</si>
  <si>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</si>
  <si>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</si>
  <si>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</si>
  <si>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</si>
  <si>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</si>
  <si>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</si>
  <si>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</si>
  <si>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</si>
  <si>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</si>
  <si>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</si>
  <si>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</si>
  <si>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</si>
  <si>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</si>
  <si>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</si>
  <si>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</si>
  <si>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</si>
  <si>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</si>
  <si>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</si>
  <si>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</si>
  <si>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</si>
  <si>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</si>
  <si>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</si>
  <si>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</si>
  <si>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</si>
  <si>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</si>
  <si>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</si>
  <si>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</si>
  <si>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</si>
  <si>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</si>
  <si>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</si>
  <si>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</si>
  <si>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</si>
  <si>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</si>
  <si>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</si>
  <si>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</si>
  <si>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</si>
  <si>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</si>
  <si>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</si>
  <si>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</si>
  <si>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</si>
  <si>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</si>
  <si>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</si>
  <si>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</si>
  <si>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</si>
  <si>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</si>
  <si>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</si>
  <si>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</si>
  <si>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</si>
  <si>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</si>
  <si>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</si>
  <si>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</si>
  <si>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</si>
  <si>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</si>
  <si>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</si>
  <si>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</si>
  <si>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</si>
  <si>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</si>
  <si>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</si>
  <si>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</si>
  <si>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</si>
  <si>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</si>
  <si>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</si>
  <si>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</si>
  <si>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</si>
  <si>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</si>
  <si>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</si>
  <si>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</si>
  <si>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</si>
  <si>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</si>
  <si>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</si>
  <si>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</si>
  <si>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</si>
  <si>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</si>
  <si>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</si>
  <si>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</si>
  <si>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</si>
  <si>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</si>
  <si>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</si>
  <si>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</si>
  <si>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</si>
  <si>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</si>
  <si>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</si>
  <si>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</si>
  <si>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</si>
  <si>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</si>
  <si>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</si>
  <si>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</si>
  <si>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</si>
  <si>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</si>
  <si>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</si>
  <si>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</si>
  <si>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</si>
  <si>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</si>
  <si>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</si>
  <si>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</si>
  <si>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</si>
  <si>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</si>
  <si>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</si>
  <si>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</si>
  <si>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</si>
  <si>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</si>
  <si>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</si>
  <si>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</si>
  <si>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</si>
  <si>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</si>
  <si>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</si>
  <si>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</si>
  <si>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</si>
  <si>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</si>
  <si>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</si>
  <si>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</si>
  <si>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</si>
  <si>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</si>
  <si>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</si>
  <si>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</si>
  <si>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</si>
  <si>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</si>
  <si>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</si>
  <si>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</si>
  <si>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</si>
  <si>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</si>
  <si>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</si>
  <si>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</si>
  <si>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</si>
  <si>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</si>
  <si>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</si>
  <si>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</si>
  <si>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</si>
  <si>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</si>
  <si>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</si>
  <si>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</si>
  <si>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</si>
  <si>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</si>
  <si>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</si>
  <si>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</si>
  <si>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</si>
  <si>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</si>
  <si>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</si>
  <si>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</si>
  <si>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</si>
  <si>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</si>
  <si>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</si>
  <si>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</si>
  <si>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</si>
  <si>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</si>
  <si>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</si>
  <si>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</si>
  <si>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</si>
  <si>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</si>
  <si>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</si>
  <si>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</si>
  <si>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</si>
  <si>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</si>
  <si>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</si>
  <si>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</si>
  <si>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</si>
  <si>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</si>
  <si>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</si>
  <si>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</si>
  <si>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</si>
  <si>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</si>
  <si>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</si>
  <si>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</si>
  <si>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</si>
  <si>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</si>
  <si>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</si>
  <si>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</si>
  <si>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</si>
  <si>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</si>
  <si>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</si>
  <si>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</si>
  <si>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</si>
  <si>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</si>
  <si>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</si>
  <si>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</si>
  <si>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</si>
  <si>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</si>
  <si>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</si>
  <si>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</si>
  <si>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</si>
  <si>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</si>
  <si>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</si>
  <si>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</si>
  <si>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</si>
  <si>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</si>
  <si>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</si>
  <si>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</si>
  <si>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</si>
  <si>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</si>
  <si>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</si>
  <si>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</si>
  <si>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</si>
  <si>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</si>
  <si>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</si>
  <si>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</si>
  <si>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</si>
  <si>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</si>
  <si>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</si>
  <si>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</si>
  <si>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</si>
  <si>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</si>
  <si>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</si>
  <si>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</si>
  <si>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</si>
  <si>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</si>
  <si>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</si>
  <si>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</si>
  <si>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</si>
  <si>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</si>
  <si>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</si>
  <si>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</si>
  <si>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</si>
  <si>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</si>
  <si>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</si>
  <si>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</si>
  <si>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</si>
  <si>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</si>
  <si>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</si>
  <si>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</si>
  <si>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</si>
  <si>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</si>
  <si>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</si>
  <si>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</si>
  <si>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</si>
  <si>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</si>
  <si>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</si>
  <si>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</si>
  <si>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</si>
  <si>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</si>
  <si>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</si>
  <si>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</si>
  <si>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</si>
  <si>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</si>
  <si>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</si>
  <si>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</si>
  <si>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</si>
  <si>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</si>
  <si>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</si>
  <si>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</si>
  <si>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</si>
  <si>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</si>
  <si>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</si>
  <si>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</si>
  <si>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</si>
  <si>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</si>
  <si>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</si>
  <si>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</si>
  <si>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</si>
  <si>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</si>
  <si>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</si>
  <si>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</si>
  <si>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</si>
  <si>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</si>
  <si>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</si>
  <si>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</si>
  <si>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</si>
  <si>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</si>
  <si>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</si>
  <si>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</si>
  <si>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</si>
  <si>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</si>
  <si>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</si>
  <si>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</si>
  <si>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</si>
  <si>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</si>
  <si>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</si>
  <si>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</si>
  <si>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</si>
  <si>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</si>
  <si>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</si>
  <si>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</si>
  <si>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</si>
  <si>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</si>
  <si>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</si>
  <si>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</si>
  <si>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</si>
  <si>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</si>
  <si>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</si>
  <si>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</si>
  <si>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</si>
  <si>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</si>
  <si>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</si>
  <si>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</si>
  <si>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</si>
  <si>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</si>
  <si>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</si>
  <si>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</si>
  <si>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</si>
  <si>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</si>
  <si>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</si>
  <si>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</si>
  <si>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</si>
  <si>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</si>
  <si>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</si>
  <si>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</si>
  <si>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</si>
  <si>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</si>
  <si>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</si>
  <si>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</si>
  <si>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</si>
  <si>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</si>
  <si>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</si>
  <si>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</si>
  <si>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</si>
  <si>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</si>
  <si>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</si>
  <si>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</si>
  <si>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</si>
  <si>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</si>
  <si>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</si>
  <si>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</si>
  <si>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</si>
  <si>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</si>
  <si>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</si>
  <si>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</si>
  <si>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</si>
  <si>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</si>
  <si>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</si>
  <si>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</si>
  <si>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</si>
  <si>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</si>
  <si>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</si>
  <si>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</si>
  <si>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</si>
  <si>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</si>
  <si>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</si>
  <si>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</si>
  <si>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</si>
  <si>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</si>
  <si>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</si>
  <si>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</si>
  <si>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</si>
  <si>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</si>
  <si>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</si>
  <si>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</si>
  <si>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</si>
  <si>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</si>
  <si>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</si>
  <si>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</si>
  <si>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</si>
  <si>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</si>
  <si>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</si>
  <si>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</si>
  <si>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</si>
  <si>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</si>
  <si>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</si>
  <si>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</si>
  <si>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</si>
  <si>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</si>
  <si>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</si>
  <si>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</si>
  <si>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</si>
  <si>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</si>
  <si>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</si>
  <si>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</si>
  <si>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</si>
  <si>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</si>
  <si>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</si>
  <si>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</si>
  <si>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</si>
  <si>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</si>
  <si>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</si>
  <si>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</si>
  <si>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</si>
  <si>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</si>
  <si>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</si>
  <si>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</si>
  <si>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</si>
  <si>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</si>
  <si>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</si>
  <si>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</si>
  <si>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</si>
  <si>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</si>
  <si>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</si>
  <si>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</si>
  <si>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</si>
  <si>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</si>
  <si>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</si>
  <si>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</si>
  <si>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</si>
  <si>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</si>
  <si>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</si>
  <si>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</si>
  <si>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</si>
  <si>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</si>
  <si>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</si>
  <si>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</si>
  <si>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</si>
  <si>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</si>
  <si>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</si>
  <si>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</si>
  <si>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</si>
  <si>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</si>
  <si>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</si>
  <si>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</si>
  <si>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</si>
  <si>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</si>
  <si>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</si>
  <si>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</si>
  <si>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</si>
  <si>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</si>
  <si>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</si>
  <si>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</si>
  <si>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</si>
  <si>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</si>
  <si>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</si>
  <si>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</si>
  <si>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</si>
  <si>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</si>
  <si>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</si>
  <si>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</si>
  <si>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</si>
  <si>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</si>
  <si>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</si>
  <si>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</si>
  <si>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</si>
  <si>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</si>
  <si>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</si>
  <si>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</si>
  <si>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</si>
  <si>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</si>
  <si>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</si>
  <si>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</si>
  <si>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</si>
  <si>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</si>
  <si>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</si>
  <si>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</si>
  <si>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</si>
  <si>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</si>
  <si>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</si>
  <si>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</si>
  <si>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</si>
  <si>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</si>
  <si>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</si>
  <si>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</si>
  <si>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</si>
  <si>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</si>
  <si>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</si>
  <si>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</si>
  <si>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</si>
  <si>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</si>
  <si>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</si>
  <si>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</si>
  <si>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</si>
  <si>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</si>
  <si>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</si>
  <si>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</si>
  <si>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</si>
  <si>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</si>
  <si>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</si>
  <si>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</si>
  <si>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</si>
  <si>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</si>
  <si>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</si>
  <si>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</si>
  <si>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</si>
  <si>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</si>
  <si>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</si>
  <si>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</si>
  <si>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</si>
  <si>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</si>
  <si>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</si>
  <si>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</si>
  <si>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</si>
  <si>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</si>
  <si>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</si>
  <si>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</si>
  <si>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</si>
  <si>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</si>
  <si>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</si>
  <si>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</si>
  <si>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</si>
  <si>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</si>
  <si>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</si>
  <si>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</si>
  <si>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</si>
  <si>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</si>
  <si>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</si>
  <si>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</si>
  <si>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</si>
  <si>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</si>
  <si>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</si>
  <si>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</si>
  <si>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</si>
  <si>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</si>
  <si>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</si>
  <si>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</si>
  <si>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</si>
  <si>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</si>
  <si>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</si>
  <si>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</si>
  <si>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</si>
  <si>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</si>
  <si>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</si>
  <si>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</si>
  <si>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</si>
  <si>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</si>
  <si>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</si>
  <si>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</si>
  <si>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</si>
  <si>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</si>
  <si>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</si>
  <si>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</si>
  <si>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</si>
  <si>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</si>
  <si>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</si>
  <si>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</si>
  <si>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</si>
  <si>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</si>
  <si>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</si>
  <si>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</si>
  <si>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</si>
  <si>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</si>
  <si>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</si>
  <si>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</si>
  <si>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</si>
  <si>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</si>
  <si>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</si>
  <si>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</si>
  <si>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</si>
  <si>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</si>
  <si>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</si>
  <si>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</si>
  <si>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</si>
  <si>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</si>
  <si>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</si>
  <si>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</si>
  <si>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</si>
  <si>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</si>
  <si>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</si>
  <si>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</si>
  <si>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</si>
  <si>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</si>
  <si>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</si>
  <si>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</si>
  <si>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</si>
  <si>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</si>
  <si>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</si>
  <si>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</si>
  <si>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</si>
  <si>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</si>
  <si>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</si>
  <si>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</si>
  <si>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</si>
  <si>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</si>
  <si>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</si>
  <si>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</si>
  <si>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</si>
  <si>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</si>
  <si>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</si>
  <si>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</si>
  <si>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</si>
  <si>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</si>
  <si>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</si>
  <si>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</si>
  <si>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</si>
  <si>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</si>
  <si>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</si>
  <si>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</si>
  <si>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</si>
  <si>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</si>
  <si>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</si>
  <si>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</si>
  <si>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</si>
  <si>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</si>
  <si>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</si>
  <si>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</si>
  <si>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</si>
  <si>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</si>
  <si>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</si>
  <si>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</si>
  <si>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</si>
  <si>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</si>
  <si>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</si>
  <si>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</si>
  <si>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</si>
  <si>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</si>
  <si>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</si>
  <si>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</si>
  <si>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</si>
  <si>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</si>
  <si>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</si>
  <si>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</si>
  <si>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</si>
  <si>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</si>
  <si>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</si>
  <si>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</si>
  <si>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</si>
  <si>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</si>
  <si>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</si>
  <si>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</si>
  <si>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</si>
  <si>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</si>
  <si>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</si>
  <si>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</si>
  <si>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</si>
  <si>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</si>
  <si>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</si>
  <si>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</si>
  <si>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</si>
  <si>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</si>
  <si>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</si>
  <si>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</si>
  <si>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</si>
  <si>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</si>
  <si>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</si>
  <si>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</si>
  <si>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</si>
  <si>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</si>
  <si>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</si>
  <si>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</si>
  <si>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</si>
  <si>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</si>
  <si>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</si>
  <si>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</si>
  <si>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</si>
  <si>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</si>
  <si>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</si>
  <si>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</si>
  <si>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</si>
  <si>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</si>
  <si>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</si>
  <si>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</si>
  <si>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</si>
  <si>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</si>
  <si>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</si>
  <si>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</si>
  <si>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</si>
  <si>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</si>
  <si>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</si>
  <si>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</si>
  <si>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</si>
  <si>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</si>
  <si>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</si>
  <si>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</si>
  <si>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</si>
  <si>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</si>
  <si>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</si>
  <si>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</si>
  <si>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</si>
  <si>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</si>
  <si>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</si>
  <si>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</si>
  <si>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</si>
  <si>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</si>
  <si>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</si>
  <si>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</si>
  <si>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</si>
  <si>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</si>
  <si>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</si>
  <si>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</si>
  <si>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</si>
  <si>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</si>
  <si>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</si>
  <si>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</si>
  <si>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</si>
  <si>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</si>
  <si>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</si>
  <si>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</si>
  <si>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</si>
  <si>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</si>
  <si>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</si>
  <si>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</si>
  <si>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</si>
  <si>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</si>
  <si>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</si>
  <si>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</si>
  <si>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</si>
  <si>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</si>
  <si>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</si>
  <si>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</si>
  <si>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</si>
  <si>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</si>
  <si>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</si>
  <si>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</si>
  <si>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</si>
  <si>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</si>
  <si>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</si>
  <si>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</si>
  <si>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</si>
  <si>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</si>
  <si>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</si>
  <si>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</si>
  <si>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</si>
  <si>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</si>
  <si>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</si>
  <si>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</si>
  <si>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</si>
  <si>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</si>
  <si>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</si>
  <si>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</si>
  <si>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</si>
  <si>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</si>
  <si>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</si>
  <si>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</si>
  <si>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</si>
  <si>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</si>
  <si>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</si>
  <si>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</si>
  <si>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</si>
  <si>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</si>
  <si>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</si>
  <si>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</si>
  <si>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</si>
  <si>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</si>
  <si>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</si>
  <si>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</si>
  <si>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</si>
  <si>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</si>
  <si>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</si>
  <si>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</si>
  <si>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</si>
  <si>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</si>
  <si>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</si>
  <si>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</si>
  <si>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</si>
  <si>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</si>
  <si>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</si>
  <si>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</si>
  <si>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</si>
  <si>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</si>
  <si>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</si>
  <si>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</si>
  <si>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</si>
  <si>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</si>
  <si>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</si>
  <si>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</si>
  <si>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</si>
  <si>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</si>
  <si>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</si>
  <si>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</si>
  <si>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</si>
  <si>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</si>
  <si>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</si>
  <si>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</si>
  <si>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</si>
  <si>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</si>
  <si>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</si>
  <si>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</si>
  <si>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</si>
  <si>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</si>
  <si>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</si>
  <si>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</si>
  <si>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</si>
  <si>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</si>
  <si>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</si>
  <si>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</si>
  <si>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</si>
  <si>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</si>
  <si>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</si>
  <si>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</si>
  <si>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</si>
  <si>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</si>
  <si>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</si>
  <si>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</si>
  <si>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</si>
  <si>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</si>
  <si>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</si>
  <si>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</si>
  <si>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</si>
  <si>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</si>
  <si>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</si>
  <si>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</si>
  <si>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</si>
  <si>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</si>
  <si>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</si>
  <si>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</si>
  <si>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</si>
  <si>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</si>
  <si>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</si>
  <si>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</si>
  <si>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</si>
  <si>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</si>
  <si>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</si>
  <si>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</si>
  <si>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</si>
  <si>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</si>
  <si>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</si>
  <si>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</si>
  <si>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</si>
  <si>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</si>
  <si>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</si>
  <si>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</si>
  <si>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</si>
  <si>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</si>
  <si>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</si>
  <si>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</si>
  <si>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</si>
  <si>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</si>
  <si>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</si>
  <si>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</si>
  <si>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</si>
  <si>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</si>
  <si>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</si>
  <si>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</si>
  <si>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</si>
  <si>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</si>
  <si>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</si>
  <si>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</si>
  <si>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</si>
  <si>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</si>
  <si>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</si>
  <si>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</si>
  <si>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</si>
  <si>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</si>
  <si>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</si>
  <si>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</si>
  <si>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</si>
  <si>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</si>
  <si>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</si>
  <si>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</si>
  <si>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</si>
  <si>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</si>
  <si>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</si>
  <si>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</si>
  <si>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</si>
  <si>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</si>
  <si>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</si>
  <si>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</si>
  <si>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</si>
  <si>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</si>
  <si>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</si>
  <si>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</si>
  <si>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</si>
  <si>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</si>
  <si>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</si>
  <si>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</si>
  <si>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</si>
  <si>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</si>
  <si>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</si>
  <si>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</si>
  <si>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</si>
  <si>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</si>
  <si>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</si>
  <si>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</si>
  <si>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</si>
  <si>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</si>
  <si>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</si>
  <si>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</si>
  <si>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</si>
  <si>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</si>
  <si>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</si>
  <si>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</si>
  <si>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</si>
  <si>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</si>
  <si>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</si>
  <si>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</si>
  <si>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</si>
  <si>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</si>
  <si>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</si>
  <si>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</si>
  <si>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</si>
  <si>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</si>
  <si>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</si>
  <si>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</si>
  <si>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</si>
  <si>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</si>
  <si>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</si>
  <si>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</si>
  <si>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</si>
  <si>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</si>
  <si>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</si>
  <si>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</si>
  <si>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</si>
  <si>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</si>
  <si>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</si>
  <si>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</si>
  <si>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</si>
  <si>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</si>
  <si>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</si>
  <si>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</si>
  <si>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</si>
  <si>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</si>
  <si>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</si>
  <si>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</si>
  <si>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</si>
  <si>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</si>
  <si>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</si>
  <si>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</si>
  <si>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</si>
  <si>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</si>
  <si>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</si>
  <si>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</si>
  <si>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</si>
  <si>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</si>
  <si>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</si>
  <si>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</si>
  <si>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</si>
  <si>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</si>
  <si>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</si>
  <si>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</si>
  <si>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</si>
  <si>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</si>
  <si>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</si>
  <si>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</si>
  <si>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</si>
  <si>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</si>
  <si>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</si>
  <si>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</si>
  <si>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</si>
  <si>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</si>
  <si>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</si>
  <si>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</si>
  <si>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</si>
  <si>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</si>
  <si>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</si>
  <si>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</si>
  <si>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</si>
  <si>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</si>
  <si>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</si>
  <si>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</si>
  <si>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</si>
  <si>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</si>
  <si>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</si>
  <si>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</si>
  <si>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</si>
  <si>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</si>
  <si>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</si>
  <si>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</si>
  <si>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</si>
  <si>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</si>
  <si>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</si>
  <si>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</si>
  <si>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</si>
  <si>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</si>
  <si>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</si>
  <si>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</si>
  <si>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</si>
  <si>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</si>
  <si>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</si>
  <si>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</si>
  <si>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</si>
  <si>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</si>
  <si>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</si>
  <si>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</si>
  <si>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</si>
  <si>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</si>
  <si>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</si>
  <si>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</si>
  <si>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</si>
  <si>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</si>
  <si>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</si>
  <si>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</si>
  <si>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</si>
  <si>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</si>
  <si>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</si>
  <si>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</si>
  <si>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</si>
  <si>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</si>
  <si>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</si>
  <si>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</si>
  <si>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</si>
  <si>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</si>
  <si>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</si>
  <si>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</si>
  <si>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</si>
  <si>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</si>
  <si>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</si>
  <si>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</si>
  <si>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</si>
  <si>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</si>
  <si>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</si>
  <si>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</si>
  <si>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</si>
  <si>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</si>
  <si>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</si>
  <si>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</si>
  <si>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</si>
  <si>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</si>
  <si>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</si>
  <si>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</si>
  <si>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</si>
  <si>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</si>
  <si>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</si>
  <si>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</si>
  <si>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</si>
  <si>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</si>
  <si>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</si>
  <si>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</si>
  <si>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</si>
  <si>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</si>
  <si>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</si>
  <si>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</si>
  <si>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</si>
  <si>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</si>
  <si>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</si>
  <si>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</si>
  <si>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</si>
  <si>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</si>
  <si>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</si>
  <si>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</si>
  <si>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</si>
  <si>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</si>
  <si>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</si>
  <si>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</si>
  <si>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</si>
  <si>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</si>
  <si>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</si>
  <si>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</si>
  <si>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</si>
  <si>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</si>
  <si>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</si>
  <si>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</si>
  <si>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</si>
  <si>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</si>
  <si>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</si>
  <si>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</si>
  <si>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</si>
  <si>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</si>
  <si>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</si>
  <si>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</si>
  <si>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</si>
  <si>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</si>
  <si>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</si>
  <si>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</si>
  <si>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</si>
  <si>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</si>
  <si>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</si>
  <si>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</si>
  <si>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</si>
  <si>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</si>
  <si>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</si>
  <si>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</si>
  <si>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</si>
  <si>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</si>
  <si>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</si>
  <si>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</si>
  <si>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</si>
  <si>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</si>
  <si>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</si>
  <si>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</si>
  <si>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</si>
  <si>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</si>
  <si>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</si>
  <si>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</si>
  <si>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</si>
  <si>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</si>
  <si>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</si>
  <si>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</si>
  <si>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</si>
  <si>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</si>
  <si>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</si>
  <si>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</si>
  <si>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</si>
  <si>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</si>
  <si>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</si>
  <si>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</si>
  <si>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</si>
  <si>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</si>
  <si>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</si>
  <si>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</si>
  <si>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</si>
  <si>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</si>
  <si>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</si>
  <si>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</si>
  <si>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</si>
  <si>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</si>
  <si>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</si>
  <si>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</si>
  <si>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</si>
  <si>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</si>
  <si>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</si>
  <si>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</si>
  <si>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</si>
  <si>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</si>
  <si>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</si>
  <si>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</si>
  <si>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</si>
  <si>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</si>
  <si>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</si>
  <si>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</si>
  <si>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</si>
  <si>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</si>
  <si>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</si>
  <si>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</si>
  <si>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</si>
  <si>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</si>
  <si>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</si>
  <si>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</si>
  <si>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</si>
  <si>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</si>
  <si>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</si>
  <si>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</si>
  <si>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</si>
  <si>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</si>
  <si>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</si>
  <si>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</si>
  <si>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</si>
  <si>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</si>
  <si>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</si>
  <si>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</si>
  <si>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</si>
  <si>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</si>
  <si>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</si>
  <si>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</si>
  <si>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</si>
  <si>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</si>
  <si>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</si>
  <si>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</si>
  <si>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</si>
  <si>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</si>
  <si>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</si>
  <si>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</si>
  <si>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</si>
  <si>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</si>
  <si>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</si>
  <si>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</si>
  <si>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</si>
  <si>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</si>
  <si>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</si>
  <si>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</si>
  <si>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</si>
  <si>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</si>
  <si>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</si>
  <si>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</si>
  <si>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</si>
  <si>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</si>
  <si>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</si>
  <si>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</si>
  <si>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</si>
  <si>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</si>
  <si>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</si>
  <si>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</si>
  <si>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</si>
  <si>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</si>
  <si>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</si>
  <si>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</si>
  <si>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</si>
  <si>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</si>
  <si>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</si>
  <si>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</si>
  <si>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</si>
  <si>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</si>
  <si>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</si>
  <si>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</si>
  <si>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</si>
  <si>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</si>
  <si>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</si>
  <si>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</si>
  <si>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</si>
  <si>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</si>
  <si>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</si>
  <si>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</si>
  <si>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</si>
  <si>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</si>
  <si>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</si>
  <si>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</si>
  <si>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</si>
  <si>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</si>
  <si>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</si>
  <si>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</si>
  <si>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</si>
  <si>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</si>
  <si>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</si>
  <si>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</si>
  <si>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</si>
  <si>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</si>
  <si>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</si>
  <si>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</si>
  <si>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</si>
  <si>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</si>
  <si>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</si>
  <si>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</si>
  <si>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</si>
  <si>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</si>
  <si>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</si>
  <si>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</si>
  <si>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</si>
  <si>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</si>
  <si>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</si>
  <si>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</si>
  <si>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</si>
  <si>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</si>
  <si>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</si>
  <si>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</si>
  <si>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</si>
  <si>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</si>
  <si>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</si>
  <si>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</si>
  <si>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</si>
  <si>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</si>
  <si>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</si>
  <si>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</si>
  <si>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</si>
  <si>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</si>
  <si>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</si>
  <si>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</si>
  <si>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</si>
  <si>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</si>
  <si>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</si>
  <si>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</si>
  <si>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</si>
  <si>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</si>
  <si>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</si>
  <si>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</si>
  <si>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</si>
  <si>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</si>
  <si>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</si>
  <si>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</si>
  <si>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</si>
  <si>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</si>
  <si>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</si>
  <si>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</si>
  <si>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</si>
  <si>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</si>
  <si>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</si>
  <si>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</si>
  <si>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</si>
  <si>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</si>
  <si>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</si>
  <si>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</si>
  <si>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</si>
  <si>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</si>
  <si>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</si>
  <si>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</si>
  <si>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</si>
  <si>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</si>
  <si>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</si>
  <si>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</si>
  <si>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</si>
  <si>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</si>
  <si>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</si>
  <si>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</si>
  <si>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</si>
  <si>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</si>
  <si>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</si>
  <si>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</si>
  <si>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</si>
  <si>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</si>
  <si>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</si>
  <si>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</si>
  <si>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</si>
  <si>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</si>
  <si>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</si>
  <si>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</si>
  <si>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</si>
  <si>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</si>
  <si>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</si>
  <si>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</si>
  <si>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</si>
  <si>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</si>
  <si>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</si>
  <si>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</si>
  <si>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</si>
  <si>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</si>
  <si>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</si>
  <si>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</si>
  <si>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</si>
  <si>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</si>
  <si>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</si>
  <si>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</si>
  <si>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</si>
  <si>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</si>
  <si>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</si>
  <si>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</si>
  <si>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</si>
  <si>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</si>
  <si>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</si>
  <si>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</si>
  <si>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</si>
  <si>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</si>
  <si>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</si>
  <si>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</si>
  <si>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</si>
  <si>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</si>
  <si>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</si>
  <si>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</si>
  <si>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</si>
  <si>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</si>
  <si>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</si>
  <si>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</si>
  <si>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</si>
  <si>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</si>
  <si>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</si>
  <si>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</si>
  <si>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</si>
  <si>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</si>
  <si>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</si>
  <si>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</si>
  <si>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</si>
  <si>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</si>
  <si>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</si>
  <si>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</si>
  <si>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</si>
  <si>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</si>
  <si>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</si>
  <si>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</si>
  <si>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</si>
  <si>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</si>
  <si>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</si>
  <si>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</si>
  <si>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</si>
  <si>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</si>
  <si>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</si>
  <si>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</si>
  <si>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</si>
  <si>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</si>
  <si>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</si>
  <si>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</si>
  <si>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</si>
  <si>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</si>
  <si>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</si>
  <si>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</si>
  <si>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</si>
  <si>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</si>
  <si>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</si>
  <si>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</si>
  <si>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</si>
  <si>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</si>
  <si>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</si>
  <si>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</si>
  <si>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</si>
  <si>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</si>
  <si>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</si>
  <si>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</si>
  <si>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</si>
  <si>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</si>
  <si>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</si>
  <si>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</si>
  <si>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</si>
  <si>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</si>
  <si>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</si>
  <si>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</si>
  <si>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</si>
  <si>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</si>
  <si>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</si>
  <si>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</si>
  <si>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</si>
  <si>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</si>
  <si>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</si>
  <si>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</si>
  <si>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</si>
  <si>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</si>
  <si>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</si>
  <si>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</si>
  <si>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</si>
  <si>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</si>
  <si>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</si>
  <si>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</si>
  <si>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</si>
  <si>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</si>
  <si>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</si>
  <si>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</si>
  <si>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</si>
  <si>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</si>
  <si>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</si>
  <si>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</si>
  <si>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</si>
  <si>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</si>
  <si>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</si>
  <si>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</si>
  <si>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</si>
  <si>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</si>
  <si>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</si>
  <si>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</si>
  <si>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</si>
  <si>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</si>
  <si>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</si>
  <si>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</si>
  <si>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</si>
  <si>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</si>
  <si>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</si>
  <si>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</si>
  <si>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</si>
  <si>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</si>
  <si>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</si>
  <si>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</si>
  <si>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</si>
  <si>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</si>
  <si>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</si>
  <si>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</si>
  <si>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</si>
  <si>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</si>
  <si>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</si>
  <si>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</si>
  <si>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</si>
  <si>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</si>
  <si>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</si>
  <si>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</si>
  <si>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</si>
  <si>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</si>
  <si>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</si>
  <si>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</si>
  <si>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</si>
  <si>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</si>
  <si>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</si>
  <si>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</si>
  <si>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</si>
  <si>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</si>
  <si>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</si>
  <si>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</si>
  <si>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</si>
  <si>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</si>
  <si>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</si>
  <si>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</si>
  <si>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</si>
  <si>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</si>
  <si>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</si>
  <si>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</si>
  <si>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</si>
  <si>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</si>
  <si>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</si>
  <si>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</si>
  <si>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</si>
  <si>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</si>
  <si>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</si>
  <si>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</si>
  <si>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</si>
  <si>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</si>
  <si>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</si>
  <si>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</si>
  <si>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</si>
  <si>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</si>
  <si>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</si>
  <si>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</si>
  <si>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</si>
  <si>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</si>
  <si>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</si>
  <si>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</si>
  <si>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</si>
  <si>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</si>
  <si>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</si>
  <si>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</si>
  <si>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</si>
  <si>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</si>
  <si>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</si>
  <si>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</si>
  <si>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</si>
  <si>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</si>
  <si>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</si>
  <si>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</si>
  <si>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</si>
  <si>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</si>
  <si>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</si>
  <si>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</si>
  <si>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</si>
  <si>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</si>
  <si>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</si>
  <si>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</si>
  <si>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</si>
  <si>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</si>
  <si>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</si>
  <si>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</si>
  <si>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</si>
  <si>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</si>
  <si>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</si>
  <si>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</si>
  <si>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</si>
  <si>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</si>
  <si>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</si>
  <si>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</si>
  <si>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</si>
  <si>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</si>
  <si>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</si>
  <si>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</si>
  <si>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</si>
  <si>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</si>
  <si>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</si>
  <si>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</si>
  <si>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</si>
  <si>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</si>
  <si>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</si>
  <si>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</si>
  <si>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</si>
  <si>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</si>
  <si>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</si>
  <si>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</si>
  <si>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</si>
  <si>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</si>
  <si>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</si>
  <si>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</si>
  <si>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</si>
  <si>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</si>
  <si>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</si>
  <si>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</si>
  <si>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</si>
  <si>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</si>
  <si>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</si>
  <si>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</si>
  <si>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</si>
  <si>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</si>
  <si>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</si>
  <si>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</si>
  <si>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</si>
  <si>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</si>
  <si>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</si>
  <si>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</si>
  <si>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</si>
  <si>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</si>
  <si>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</si>
  <si>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</si>
  <si>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</si>
  <si>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</si>
  <si>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</si>
  <si>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</si>
  <si>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</si>
  <si>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</si>
  <si>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</si>
  <si>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</si>
  <si>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</si>
  <si>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</si>
  <si>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</si>
  <si>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</si>
  <si>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</si>
  <si>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</si>
  <si>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</si>
  <si>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</si>
  <si>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</si>
  <si>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</si>
  <si>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</si>
  <si>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</si>
  <si>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</si>
  <si>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</si>
  <si>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</si>
  <si>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</si>
  <si>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</si>
  <si>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</si>
  <si>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</si>
  <si>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</si>
  <si>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</si>
  <si>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</si>
  <si>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</si>
  <si>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</si>
  <si>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</si>
  <si>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</si>
  <si>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</si>
  <si>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</si>
  <si>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</si>
  <si>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</si>
  <si>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</si>
  <si>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</si>
  <si>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</si>
  <si>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</si>
  <si>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</si>
  <si>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</si>
  <si>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</si>
  <si>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</si>
  <si>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</si>
  <si>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</si>
  <si>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</si>
  <si>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</si>
  <si>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</si>
  <si>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</si>
  <si>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</si>
  <si>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</si>
  <si>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</si>
  <si>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</si>
  <si>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</si>
  <si>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</si>
  <si>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</si>
  <si>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</si>
  <si>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</si>
  <si>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</si>
  <si>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</si>
  <si>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</si>
  <si>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</si>
  <si>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</si>
  <si>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</si>
  <si>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</si>
  <si>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</si>
  <si>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</si>
  <si>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</si>
  <si>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</si>
  <si>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</si>
  <si>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</si>
  <si>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</si>
  <si>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</si>
  <si>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</si>
  <si>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</si>
  <si>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</si>
  <si>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</si>
  <si>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</si>
  <si>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</si>
  <si>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</si>
  <si>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</si>
  <si>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</si>
  <si>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</si>
  <si>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</si>
  <si>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</si>
  <si>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</si>
  <si>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</si>
  <si>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</si>
  <si>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</si>
  <si>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</si>
  <si>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</si>
  <si>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</si>
  <si>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</si>
  <si>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</si>
  <si>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</si>
  <si>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</si>
  <si>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</si>
  <si>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</si>
  <si>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</si>
  <si>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</si>
  <si>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</si>
  <si>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</si>
  <si>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</si>
  <si>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</si>
  <si>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</si>
  <si>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</si>
  <si>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</si>
  <si>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</si>
  <si>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</si>
  <si>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</si>
  <si>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</si>
  <si>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</si>
  <si>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</si>
  <si>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</si>
  <si>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</si>
  <si>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</si>
  <si>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</si>
  <si>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</si>
  <si>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</si>
  <si>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</si>
  <si>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</si>
  <si>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</si>
  <si>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</si>
  <si>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</si>
  <si>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</si>
  <si>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</si>
  <si>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</si>
  <si>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</si>
  <si>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</si>
  <si>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</si>
  <si>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</si>
  <si>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</si>
  <si>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</si>
  <si>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</si>
  <si>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</si>
  <si>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</si>
  <si>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</si>
  <si>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</si>
  <si>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</si>
  <si>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</si>
  <si>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</si>
  <si>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</si>
  <si>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</si>
  <si>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</si>
  <si>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</si>
  <si>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</si>
  <si>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</si>
  <si>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</si>
  <si>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</si>
  <si>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</si>
  <si>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</si>
  <si>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</si>
  <si>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</si>
  <si>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</si>
  <si>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</si>
  <si>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</si>
  <si>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</si>
  <si>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</si>
  <si>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</si>
  <si>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</si>
  <si>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</si>
  <si>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</si>
  <si>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</si>
  <si>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</si>
  <si>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</si>
  <si>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</si>
  <si>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</si>
  <si>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</si>
  <si>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</si>
  <si>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</si>
  <si>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</si>
  <si>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</si>
  <si>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</si>
  <si>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</si>
  <si>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</si>
  <si>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</si>
  <si>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</si>
  <si>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</si>
  <si>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</si>
  <si>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</si>
  <si>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</si>
  <si>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</si>
  <si>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</si>
  <si>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</si>
  <si>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</si>
  <si>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</si>
  <si>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</si>
  <si>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</si>
  <si>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</si>
  <si>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</si>
  <si>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</si>
  <si>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</si>
  <si>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</si>
  <si>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</si>
  <si>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</si>
  <si>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</si>
  <si>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</si>
  <si>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</si>
  <si>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</si>
  <si>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</si>
  <si>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</si>
  <si>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</si>
  <si>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</si>
  <si>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</si>
  <si>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</si>
  <si>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</si>
  <si>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</si>
  <si>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</si>
  <si>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</si>
  <si>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</si>
  <si>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</si>
  <si>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</si>
  <si>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</si>
  <si>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</si>
  <si>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</si>
  <si>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</si>
  <si>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</si>
  <si>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</si>
  <si>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</si>
  <si>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</si>
  <si>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</si>
  <si>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</si>
  <si>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</si>
  <si>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</si>
  <si>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</si>
  <si>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</si>
  <si>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</si>
  <si>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</si>
  <si>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</si>
  <si>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</si>
  <si>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</si>
  <si>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</si>
  <si>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</si>
  <si>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</si>
  <si>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</si>
  <si>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</si>
  <si>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</si>
  <si>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</si>
  <si>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</si>
  <si>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</si>
  <si>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</si>
  <si>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</si>
  <si>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</si>
  <si>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</si>
  <si>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</si>
  <si>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</si>
  <si>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</si>
  <si>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</si>
  <si>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</si>
  <si>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</si>
  <si>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</si>
  <si>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</si>
  <si>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</si>
  <si>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</si>
  <si>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</si>
  <si>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</si>
  <si>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</si>
  <si>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</si>
  <si>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</si>
  <si>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</si>
  <si>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</si>
  <si>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</si>
  <si>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</si>
  <si>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</si>
  <si>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</si>
  <si>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</si>
  <si>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</si>
  <si>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</si>
  <si>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</si>
  <si>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</si>
  <si>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</si>
  <si>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</si>
  <si>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</si>
  <si>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</si>
  <si>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</si>
  <si>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</si>
  <si>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</si>
  <si>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</si>
  <si>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</si>
  <si>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</si>
  <si>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</si>
  <si>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</si>
  <si>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</si>
  <si>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</si>
  <si>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</si>
  <si>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</si>
  <si>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</si>
  <si>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</si>
  <si>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</si>
  <si>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</si>
  <si>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</si>
  <si>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</si>
  <si>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</si>
  <si>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</si>
  <si>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</si>
  <si>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</si>
  <si>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</si>
  <si>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</si>
  <si>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</si>
  <si>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</si>
  <si>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</si>
  <si>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</si>
  <si>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</si>
  <si>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</si>
  <si>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</si>
  <si>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</si>
  <si>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</si>
  <si>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</si>
  <si>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</si>
  <si>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</si>
  <si>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</si>
  <si>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</si>
  <si>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</si>
  <si>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</si>
  <si>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</si>
  <si>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</si>
  <si>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</si>
  <si>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</si>
  <si>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</si>
  <si>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</si>
  <si>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</si>
  <si>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</si>
  <si>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</si>
  <si>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</si>
  <si>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</si>
  <si>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</si>
  <si>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</si>
  <si>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</si>
  <si>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</si>
  <si>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</si>
  <si>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</si>
  <si>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</si>
  <si>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</si>
  <si>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</si>
  <si>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</si>
  <si>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</si>
  <si>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</si>
  <si>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</si>
  <si>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</si>
  <si>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</si>
  <si>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</si>
  <si>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</si>
  <si>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</si>
  <si>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</si>
  <si>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</si>
  <si>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</si>
  <si>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</si>
  <si>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</si>
  <si>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</si>
  <si>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</si>
  <si>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</si>
  <si>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</si>
  <si>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</si>
  <si>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</si>
  <si>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</si>
  <si>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</si>
  <si>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</si>
  <si>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</si>
  <si>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</si>
  <si>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</si>
  <si>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</si>
  <si>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</si>
  <si>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</si>
  <si>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</si>
  <si>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</si>
  <si>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</si>
  <si>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</si>
  <si>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</si>
  <si>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</si>
  <si>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</si>
  <si>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</si>
  <si>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</si>
  <si>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</si>
  <si>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</si>
  <si>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</si>
  <si>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</si>
  <si>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</si>
  <si>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</si>
  <si>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</si>
  <si>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</si>
  <si>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</si>
  <si>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</si>
  <si>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</si>
  <si>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</si>
  <si>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</si>
  <si>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</si>
  <si>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</si>
  <si>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</si>
  <si>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</si>
  <si>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</si>
  <si>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</si>
  <si>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</si>
  <si>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</si>
  <si>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</si>
  <si>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</si>
  <si>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</si>
  <si>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</si>
  <si>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</si>
  <si>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</si>
  <si>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</si>
  <si>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</si>
  <si>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</si>
  <si>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</si>
  <si>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</si>
  <si>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</si>
  <si>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</si>
  <si>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</si>
  <si>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</si>
  <si>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</si>
  <si>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</si>
  <si>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</si>
  <si>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</si>
  <si>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</si>
  <si>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</si>
  <si>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</si>
  <si>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</si>
  <si>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</si>
  <si>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</si>
  <si>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</si>
  <si>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</si>
  <si>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</si>
  <si>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</si>
  <si>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</si>
  <si>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</si>
  <si>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</si>
  <si>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</si>
  <si>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</si>
  <si>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</si>
  <si>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</si>
  <si>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</si>
  <si>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</si>
  <si>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</si>
  <si>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</si>
  <si>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</si>
  <si>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</si>
  <si>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</si>
  <si>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</si>
  <si>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</si>
  <si>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</si>
  <si>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</si>
  <si>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</si>
  <si>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</si>
  <si>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</si>
  <si>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</si>
  <si>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</si>
  <si>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</si>
  <si>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</si>
  <si>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</si>
  <si>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</si>
  <si>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</si>
  <si>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</si>
  <si>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</si>
  <si>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</si>
  <si>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</si>
  <si>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</si>
  <si>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</si>
  <si>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</si>
  <si>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</si>
  <si>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</si>
  <si>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</si>
  <si>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</si>
  <si>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</si>
  <si>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</si>
  <si>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</si>
  <si>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</si>
  <si>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</si>
  <si>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</si>
  <si>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</si>
  <si>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</si>
  <si>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</si>
  <si>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</si>
  <si>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</si>
  <si>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</si>
  <si>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</si>
  <si>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</si>
  <si>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</si>
  <si>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</si>
  <si>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</si>
  <si>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</si>
  <si>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</si>
  <si>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</si>
  <si>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</si>
  <si>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</si>
  <si>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</si>
  <si>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</si>
  <si>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</si>
  <si>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</si>
  <si>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</si>
  <si>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</si>
  <si>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</si>
  <si>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</si>
  <si>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</si>
  <si>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</si>
  <si>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</si>
  <si>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</si>
  <si>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</si>
  <si>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</si>
  <si>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</si>
  <si>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</si>
  <si>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</si>
  <si>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</si>
  <si>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</si>
  <si>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</si>
  <si>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</si>
  <si>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</si>
  <si>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</si>
  <si>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</si>
  <si>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</si>
  <si>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</si>
  <si>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</si>
  <si>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</si>
  <si>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</si>
  <si>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</si>
  <si>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</si>
  <si>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</si>
  <si>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</si>
  <si>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</si>
  <si>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</si>
  <si>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</si>
  <si>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</si>
  <si>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</si>
  <si>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</si>
  <si>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</si>
  <si>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</si>
  <si>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</si>
  <si>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</si>
  <si>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</si>
  <si>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</si>
  <si>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</si>
  <si>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</si>
  <si>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</si>
  <si>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</si>
  <si>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</si>
  <si>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</si>
  <si>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</si>
  <si>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</si>
  <si>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</si>
  <si>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</si>
  <si>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</si>
  <si>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</si>
  <si>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</si>
  <si>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</si>
  <si>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</si>
  <si>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</si>
  <si>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</si>
  <si>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</si>
  <si>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</si>
  <si>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</si>
  <si>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</si>
  <si>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</si>
  <si>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</si>
  <si>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</si>
  <si>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</si>
  <si>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</si>
  <si>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</si>
  <si>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</si>
  <si>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</si>
  <si>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</si>
  <si>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</si>
  <si>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</si>
  <si>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</si>
  <si>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</si>
  <si>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</si>
  <si>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</si>
  <si>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</si>
  <si>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</si>
  <si>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</si>
  <si>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</si>
  <si>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</si>
  <si>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</si>
  <si>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</si>
  <si>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</si>
  <si>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</si>
  <si>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</si>
  <si>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</si>
  <si>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</si>
  <si>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</si>
  <si>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</si>
  <si>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</si>
  <si>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</si>
  <si>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</si>
  <si>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</si>
  <si>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</si>
  <si>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</si>
  <si>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</si>
  <si>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</si>
  <si>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</si>
  <si>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</si>
  <si>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</si>
  <si>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</si>
  <si>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</si>
  <si>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</si>
  <si>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</si>
  <si>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</si>
  <si>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</si>
  <si>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</si>
  <si>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</si>
  <si>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</si>
  <si>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</si>
  <si>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</si>
  <si>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</si>
  <si>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</si>
  <si>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</si>
  <si>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</si>
  <si>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</si>
  <si>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</si>
  <si>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</si>
  <si>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</si>
  <si>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</si>
  <si>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</si>
  <si>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</si>
  <si>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</si>
  <si>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</si>
  <si>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</si>
  <si>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</si>
  <si>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</si>
  <si>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</si>
  <si>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</si>
  <si>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</si>
  <si>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</si>
  <si>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</si>
  <si>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</si>
  <si>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</si>
  <si>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</si>
  <si>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</si>
  <si>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</si>
  <si>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</si>
  <si>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</si>
  <si>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</si>
  <si>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</si>
  <si>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</si>
  <si>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</si>
  <si>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</si>
  <si>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</si>
  <si>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</si>
  <si>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</si>
  <si>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</si>
  <si>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</si>
  <si>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</si>
  <si>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</si>
  <si>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</si>
  <si>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</si>
  <si>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</si>
  <si>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</si>
  <si>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</si>
  <si>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</si>
  <si>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</si>
  <si>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</si>
  <si>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</si>
  <si>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</si>
  <si>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</si>
  <si>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</si>
  <si>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</si>
  <si>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</si>
  <si>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</si>
  <si>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</si>
  <si>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</si>
  <si>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</si>
  <si>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</si>
  <si>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</si>
  <si>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</si>
  <si>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</si>
  <si>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</si>
  <si>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</si>
  <si>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</si>
  <si>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</si>
  <si>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</si>
  <si>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</si>
  <si>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</si>
  <si>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</si>
  <si>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</si>
  <si>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</si>
  <si>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</si>
  <si>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</si>
  <si>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</si>
  <si>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</si>
  <si>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</si>
  <si>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</si>
  <si>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</si>
  <si>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</si>
  <si>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</si>
  <si>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</si>
  <si>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</si>
  <si>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</si>
  <si>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</si>
  <si>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</si>
  <si>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</si>
  <si>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</si>
  <si>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</si>
  <si>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</si>
  <si>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</si>
  <si>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</si>
  <si>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</si>
  <si>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</si>
  <si>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</si>
  <si>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</si>
  <si>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</si>
  <si>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</si>
  <si>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</si>
  <si>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</si>
  <si>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</si>
  <si>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</si>
  <si>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</si>
  <si>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</si>
  <si>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</si>
  <si>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</si>
  <si>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</si>
  <si>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</si>
  <si>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</si>
  <si>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</si>
  <si>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</si>
  <si>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</si>
  <si>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</si>
  <si>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</si>
  <si>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</si>
  <si>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</si>
  <si>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</si>
  <si>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</si>
  <si>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</si>
  <si>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</si>
  <si>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</si>
  <si>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</si>
  <si>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</si>
  <si>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</si>
  <si>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</si>
  <si>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</si>
  <si>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</si>
  <si>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</si>
  <si>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</si>
  <si>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</si>
  <si>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</si>
  <si>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</si>
  <si>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</si>
  <si>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</si>
  <si>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</si>
  <si>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</si>
  <si>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</si>
  <si>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</si>
  <si>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</si>
  <si>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</si>
  <si>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</si>
  <si>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</si>
  <si>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</si>
  <si>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</si>
  <si>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</si>
  <si>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</si>
  <si>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</si>
  <si>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</si>
  <si>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</si>
  <si>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</si>
  <si>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</si>
  <si>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</si>
  <si>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</si>
  <si>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</si>
  <si>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</si>
  <si>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</si>
  <si>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</si>
  <si>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</si>
  <si>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</si>
  <si>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</si>
  <si>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</si>
  <si>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</si>
  <si>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</si>
  <si>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</si>
  <si>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</si>
  <si>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</si>
  <si>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</si>
  <si>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</si>
  <si>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</si>
  <si>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</si>
  <si>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</si>
  <si>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</si>
  <si>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</si>
  <si>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</si>
  <si>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</si>
  <si>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</si>
  <si>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</si>
  <si>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</si>
  <si>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</si>
  <si>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</si>
  <si>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</si>
  <si>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</si>
  <si>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</si>
  <si>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</si>
  <si>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</si>
  <si>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</si>
  <si>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</si>
  <si>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</si>
  <si>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</si>
  <si>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</si>
  <si>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</si>
  <si>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</si>
  <si>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</si>
  <si>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</si>
  <si>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</si>
  <si>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</si>
  <si>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</si>
  <si>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</si>
  <si>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</si>
  <si>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</si>
  <si>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</si>
  <si>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</si>
  <si>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</si>
  <si>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</si>
  <si>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</si>
  <si>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</si>
  <si>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</si>
  <si>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</si>
  <si>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</si>
  <si>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</si>
  <si>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</si>
  <si>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</si>
  <si>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</si>
  <si>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</si>
  <si>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</si>
  <si>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</si>
  <si>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</si>
  <si>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</si>
  <si>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</si>
  <si>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</si>
  <si>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</si>
  <si>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</si>
  <si>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</si>
  <si>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</si>
  <si>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</si>
  <si>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</si>
  <si>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</si>
  <si>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</si>
  <si>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</si>
  <si>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</si>
  <si>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</si>
  <si>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</si>
  <si>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</si>
  <si>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</si>
  <si>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</si>
  <si>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</si>
  <si>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</si>
  <si>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</si>
  <si>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</si>
  <si>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</si>
  <si>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</si>
  <si>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</si>
  <si>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</si>
  <si>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</si>
  <si>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</si>
  <si>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</si>
  <si>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</si>
  <si>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</si>
  <si>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</si>
  <si>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</si>
  <si>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</si>
  <si>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</si>
  <si>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</si>
  <si>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</si>
  <si>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</si>
  <si>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</si>
  <si>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</si>
  <si>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</si>
  <si>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</si>
  <si>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</si>
  <si>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</si>
  <si>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</si>
  <si>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</si>
  <si>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</si>
  <si>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</si>
  <si>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</si>
  <si>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</si>
  <si>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</si>
  <si>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</si>
  <si>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</si>
  <si>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</si>
  <si>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</si>
  <si>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</si>
  <si>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</si>
  <si>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</si>
  <si>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</si>
  <si>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</si>
  <si>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</si>
  <si>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</si>
  <si>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</si>
  <si>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</si>
  <si>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</si>
  <si>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</si>
  <si>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</si>
  <si>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</si>
  <si>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</si>
  <si>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</si>
  <si>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</si>
  <si>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</si>
  <si>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</si>
  <si>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</si>
  <si>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</si>
  <si>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</si>
  <si>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</si>
  <si>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</si>
  <si>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</si>
  <si>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</si>
  <si>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</si>
  <si>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</si>
  <si>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</si>
  <si>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</si>
  <si>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</si>
  <si>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</si>
  <si>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</si>
  <si>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</si>
  <si>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</si>
  <si>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</si>
  <si>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</si>
  <si>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</si>
  <si>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</si>
  <si>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</si>
  <si>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</si>
  <si>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</si>
  <si>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</si>
  <si>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</si>
  <si>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</si>
  <si>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</si>
  <si>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</si>
  <si>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</si>
  <si>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</si>
  <si>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</si>
  <si>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</si>
  <si>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</si>
  <si>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</si>
  <si>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</si>
  <si>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</si>
  <si>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</si>
  <si>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</si>
  <si>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</si>
  <si>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</si>
  <si>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</si>
  <si>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</si>
  <si>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</si>
  <si>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</si>
  <si>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</si>
  <si>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</si>
  <si>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</si>
  <si>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</si>
  <si>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</si>
  <si>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</si>
  <si>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</si>
  <si>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</si>
  <si>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</si>
  <si>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</si>
  <si>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</si>
  <si>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</si>
  <si>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</si>
  <si>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</si>
  <si>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</si>
  <si>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</si>
  <si>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</si>
  <si>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</si>
  <si>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</si>
  <si>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</si>
  <si>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</si>
  <si>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</si>
  <si>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</si>
  <si>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</si>
  <si>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</si>
  <si>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</si>
  <si>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</si>
  <si>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</si>
  <si>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</si>
  <si>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</si>
  <si>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</si>
  <si>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</si>
  <si>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</si>
  <si>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</si>
  <si>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</si>
  <si>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</si>
  <si>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</si>
  <si>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</si>
  <si>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</si>
  <si>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</si>
  <si>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</si>
  <si>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</si>
  <si>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</si>
  <si>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</si>
  <si>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</si>
  <si>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</si>
  <si>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</si>
  <si>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</si>
  <si>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</si>
  <si>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</si>
  <si>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</si>
  <si>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</si>
  <si>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</si>
  <si>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</si>
  <si>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</si>
  <si>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</si>
  <si>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</si>
  <si>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</si>
  <si>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</si>
  <si>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</si>
  <si>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</si>
  <si>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</si>
  <si>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</si>
  <si>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</si>
  <si>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</si>
  <si>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</si>
  <si>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</si>
  <si>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</si>
  <si>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</si>
  <si>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</si>
  <si>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</si>
  <si>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</si>
  <si>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</si>
  <si>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</si>
  <si>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</si>
  <si>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</si>
  <si>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</si>
  <si>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</si>
  <si>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</si>
  <si>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</si>
  <si>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</si>
  <si>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</si>
  <si>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</si>
  <si>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</si>
  <si>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</si>
  <si>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</si>
  <si>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</si>
  <si>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</si>
  <si>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</si>
  <si>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</si>
  <si>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</si>
  <si>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</si>
  <si>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</si>
  <si>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</si>
  <si>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</si>
  <si>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</si>
  <si>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</si>
  <si>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</si>
  <si>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</si>
  <si>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</si>
  <si>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</si>
  <si>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</si>
  <si>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</si>
  <si>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</si>
  <si>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</si>
  <si>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</si>
  <si>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</si>
  <si>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</si>
  <si>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</si>
  <si>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</si>
  <si>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</si>
  <si>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</si>
  <si>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</si>
  <si>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</si>
  <si>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</si>
  <si>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</si>
  <si>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</si>
  <si>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</si>
  <si>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</si>
  <si>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</si>
  <si>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</si>
  <si>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</si>
  <si>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</si>
  <si>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</si>
  <si>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</si>
  <si>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</si>
  <si>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</si>
  <si>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</si>
  <si>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</si>
  <si>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</si>
  <si>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</si>
  <si>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</si>
  <si>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</si>
  <si>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</si>
  <si>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</si>
  <si>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</si>
  <si>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</si>
  <si>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</si>
  <si>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</si>
  <si>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</si>
  <si>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</si>
  <si>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</si>
  <si>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</si>
  <si>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</si>
  <si>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</si>
  <si>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</si>
  <si>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</si>
  <si>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</si>
  <si>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</si>
  <si>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</si>
  <si>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</si>
  <si>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</si>
  <si>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</si>
  <si>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</si>
  <si>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</si>
  <si>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</si>
  <si>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</si>
  <si>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</si>
  <si>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</si>
  <si>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</si>
  <si>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</si>
  <si>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</si>
  <si>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</si>
  <si>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</si>
  <si>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</si>
  <si>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</si>
  <si>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</si>
  <si>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</si>
  <si>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</si>
  <si>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</si>
  <si>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</si>
  <si>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</si>
  <si>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</si>
  <si>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</si>
  <si>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</si>
  <si>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</si>
  <si>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</si>
  <si>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</si>
  <si>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</si>
  <si>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</si>
  <si>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</si>
  <si>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</si>
  <si>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</si>
  <si>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</si>
  <si>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</si>
  <si>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</si>
  <si>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</si>
  <si>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</si>
  <si>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</si>
  <si>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</si>
  <si>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</si>
  <si>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</si>
  <si>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</si>
  <si>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</si>
  <si>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</si>
  <si>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</si>
  <si>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</si>
  <si>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</si>
  <si>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</si>
  <si>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</si>
  <si>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</si>
  <si>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</si>
  <si>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</si>
  <si>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</si>
  <si>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</si>
  <si>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</si>
  <si>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</si>
  <si>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</si>
  <si>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</si>
  <si>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</si>
  <si>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</si>
  <si>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</si>
  <si>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</si>
  <si>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</si>
  <si>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</si>
  <si>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</si>
  <si>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</si>
  <si>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</si>
  <si>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</si>
  <si>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</si>
  <si>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</si>
  <si>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</si>
  <si>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</si>
  <si>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</si>
  <si>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</si>
  <si>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</si>
  <si>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</si>
  <si>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</si>
  <si>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</si>
  <si>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</si>
  <si>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</si>
  <si>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</si>
  <si>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</si>
  <si>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</si>
  <si>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</si>
  <si>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</si>
  <si>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</si>
  <si>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</si>
  <si>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</si>
  <si>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</si>
  <si>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</si>
  <si>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</si>
  <si>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</si>
  <si>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</si>
  <si>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</si>
  <si>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</si>
  <si>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</si>
  <si>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</si>
  <si>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</si>
  <si>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</si>
  <si>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</si>
  <si>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</si>
  <si>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</si>
  <si>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</si>
  <si>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</si>
  <si>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</si>
  <si>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</si>
  <si>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</si>
  <si>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</si>
  <si>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</si>
  <si>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</si>
  <si>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</si>
  <si>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</si>
  <si>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</si>
  <si>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</si>
  <si>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</si>
  <si>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</si>
  <si>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</si>
  <si>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</si>
  <si>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</si>
  <si>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</si>
  <si>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</si>
  <si>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</si>
  <si>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</si>
  <si>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</si>
  <si>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</si>
  <si>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</si>
  <si>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</si>
  <si>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</si>
  <si>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</si>
  <si>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</si>
  <si>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</si>
  <si>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</si>
  <si>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</si>
  <si>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</si>
  <si>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</si>
  <si>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</si>
  <si>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</si>
  <si>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</si>
  <si>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</si>
  <si>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</si>
  <si>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</si>
  <si>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</si>
  <si>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</si>
  <si>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</si>
  <si>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</si>
  <si>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</si>
  <si>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</si>
  <si>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</si>
  <si>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</si>
  <si>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</si>
  <si>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</si>
  <si>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</si>
  <si>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</si>
  <si>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</si>
  <si>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</si>
  <si>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</si>
  <si>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</si>
  <si>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</si>
  <si>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</si>
  <si>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</si>
  <si>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</si>
  <si>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</si>
  <si>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</si>
  <si>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</si>
  <si>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</si>
  <si>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</si>
  <si>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</si>
  <si>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</si>
  <si>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</si>
  <si>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</si>
  <si>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</si>
  <si>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</si>
  <si>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</si>
  <si>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</si>
  <si>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</si>
  <si>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</si>
  <si>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</si>
  <si>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</si>
  <si>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</si>
  <si>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</si>
  <si>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</si>
  <si>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</si>
  <si>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</si>
  <si>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</si>
  <si>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</si>
  <si>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</si>
  <si>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</si>
  <si>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</si>
  <si>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</si>
  <si>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</si>
  <si>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</si>
  <si>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</si>
  <si>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</si>
  <si>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</si>
  <si>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</si>
  <si>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</si>
  <si>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</si>
  <si>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</si>
  <si>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</si>
  <si>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</si>
  <si>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</si>
  <si>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</si>
  <si>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</si>
  <si>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</si>
  <si>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</si>
  <si>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</si>
  <si>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</si>
  <si>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</si>
  <si>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</si>
  <si>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</si>
  <si>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</si>
  <si>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</si>
  <si>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</si>
  <si>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</si>
  <si>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</si>
  <si>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</si>
  <si>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</si>
  <si>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</si>
  <si>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</si>
  <si>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</si>
  <si>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</si>
  <si>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</si>
  <si>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</si>
  <si>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</si>
  <si>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</si>
  <si>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</si>
  <si>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</si>
  <si>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</si>
  <si>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</si>
  <si>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</si>
  <si>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</si>
  <si>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</si>
  <si>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</si>
  <si>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</si>
  <si>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</si>
  <si>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</si>
  <si>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</si>
  <si>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</si>
  <si>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</si>
  <si>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</si>
  <si>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</si>
  <si>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</si>
  <si>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</si>
  <si>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</si>
  <si>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</si>
  <si>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</si>
  <si>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</si>
  <si>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</si>
  <si>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</si>
  <si>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</si>
  <si>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</si>
  <si>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</si>
  <si>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</si>
  <si>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</si>
  <si>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</si>
  <si>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</si>
  <si>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</si>
  <si>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</si>
  <si>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</si>
  <si>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</si>
  <si>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</si>
  <si>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</si>
  <si>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</si>
  <si>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</si>
  <si>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</si>
  <si>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</si>
  <si>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</si>
  <si>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</si>
  <si>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</si>
  <si>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</si>
  <si>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</si>
  <si>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</si>
  <si>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</si>
  <si>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</si>
  <si>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</si>
  <si>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</si>
  <si>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</si>
  <si>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</si>
  <si>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</si>
  <si>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</si>
  <si>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</si>
  <si>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</si>
  <si>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</si>
  <si>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</si>
  <si>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</si>
  <si>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</si>
  <si>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</si>
  <si>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</si>
  <si>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</si>
  <si>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</si>
  <si>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</si>
  <si>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</si>
  <si>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</si>
  <si>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</si>
  <si>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</si>
  <si>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</si>
  <si>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</si>
  <si>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</si>
  <si>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</si>
  <si>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</si>
  <si>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</si>
  <si>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</si>
  <si>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</si>
  <si>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</si>
  <si>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</si>
  <si>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</si>
  <si>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</si>
  <si>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</si>
  <si>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</si>
  <si>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</si>
  <si>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</si>
  <si>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</si>
  <si>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</si>
  <si>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</si>
  <si>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</si>
  <si>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</si>
  <si>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</si>
  <si>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</si>
  <si>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</si>
  <si>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</si>
  <si>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</si>
  <si>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</si>
  <si>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</si>
  <si>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</si>
  <si>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</si>
  <si>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</si>
  <si>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</si>
  <si>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</si>
  <si>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</si>
  <si>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</si>
  <si>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</si>
  <si>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</si>
  <si>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</si>
  <si>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</si>
  <si>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</si>
  <si>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</si>
  <si>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</si>
  <si>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</si>
  <si>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</si>
  <si>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</si>
  <si>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</si>
  <si>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</si>
  <si>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</si>
  <si>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</si>
  <si>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</si>
  <si>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</si>
  <si>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</si>
  <si>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</si>
  <si>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</si>
  <si>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</si>
  <si>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</si>
  <si>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</si>
  <si>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</si>
  <si>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</si>
  <si>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</si>
  <si>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</si>
  <si>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</si>
  <si>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</si>
  <si>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</si>
  <si>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</si>
  <si>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</si>
  <si>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</si>
  <si>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</si>
  <si>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</si>
  <si>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</si>
  <si>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</si>
  <si>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</si>
  <si>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</si>
  <si>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</si>
  <si>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</si>
  <si>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</si>
  <si>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</si>
  <si>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</si>
  <si>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</si>
  <si>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</si>
  <si>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</si>
  <si>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</si>
  <si>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</si>
  <si>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</si>
  <si>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</si>
  <si>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</si>
  <si>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</si>
  <si>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</si>
  <si>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</si>
  <si>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</si>
  <si>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</si>
  <si>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</si>
  <si>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</si>
  <si>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</si>
  <si>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</si>
  <si>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</si>
  <si>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</si>
  <si>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</si>
  <si>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</si>
  <si>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</si>
  <si>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</si>
  <si>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</si>
  <si>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</si>
  <si>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</si>
  <si>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</si>
  <si>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</si>
  <si>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</si>
  <si>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</si>
  <si>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</si>
  <si>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</si>
  <si>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</si>
  <si>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</si>
  <si>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</si>
  <si>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</si>
  <si>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</si>
  <si>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</si>
  <si>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</si>
  <si>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</si>
  <si>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</si>
  <si>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</si>
  <si>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</si>
  <si>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</si>
  <si>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</si>
  <si>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</si>
  <si>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</si>
  <si>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</si>
  <si>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</si>
  <si>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</si>
  <si>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</si>
  <si>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</si>
  <si>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</si>
  <si>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</si>
  <si>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</si>
  <si>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</si>
  <si>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</si>
  <si>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</si>
  <si>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</si>
  <si>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</si>
  <si>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</si>
  <si>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</si>
  <si>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</si>
  <si>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</si>
  <si>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</si>
  <si>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</si>
  <si>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</si>
  <si>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</si>
  <si>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</si>
  <si>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</si>
  <si>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</si>
  <si>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</si>
  <si>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</si>
  <si>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</si>
  <si>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</si>
  <si>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</si>
  <si>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</si>
  <si>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</si>
  <si>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</si>
  <si>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</si>
  <si>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</si>
  <si>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</si>
  <si>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</si>
  <si>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</si>
  <si>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</si>
  <si>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</si>
  <si>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</si>
  <si>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</si>
  <si>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</si>
  <si>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</si>
  <si>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</si>
  <si>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</si>
  <si>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</si>
  <si>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</si>
  <si>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</si>
  <si>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</si>
  <si>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</si>
  <si>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</si>
  <si>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</si>
  <si>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</si>
  <si>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</si>
  <si>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</si>
  <si>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</si>
  <si>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</si>
  <si>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</si>
  <si>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</si>
  <si>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</si>
  <si>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</si>
  <si>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</si>
  <si>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</si>
  <si>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</si>
  <si>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</si>
  <si>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</si>
  <si>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</si>
  <si>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</si>
  <si>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</si>
  <si>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</si>
  <si>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</si>
  <si>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</si>
  <si>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</si>
  <si>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</si>
  <si>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</si>
  <si>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</si>
  <si>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</si>
  <si>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</si>
  <si>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</si>
  <si>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</si>
  <si>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</si>
  <si>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</si>
  <si>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</si>
  <si>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</si>
  <si>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</si>
  <si>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</si>
  <si>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</si>
  <si>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</si>
  <si>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</si>
  <si>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</si>
  <si>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</si>
  <si>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</si>
  <si>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</si>
  <si>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</si>
  <si>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</si>
  <si>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</si>
  <si>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</si>
  <si>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</si>
  <si>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</si>
  <si>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</si>
  <si>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</si>
  <si>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</si>
  <si>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</si>
  <si>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</si>
  <si>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</si>
  <si>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</si>
  <si>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</si>
  <si>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</si>
  <si>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</si>
  <si>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</si>
  <si>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</si>
  <si>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</si>
  <si>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</si>
  <si>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</si>
  <si>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</si>
  <si>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</si>
  <si>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</si>
  <si>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</si>
  <si>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</si>
  <si>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</si>
  <si>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</si>
  <si>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</si>
  <si>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</si>
  <si>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</si>
  <si>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</si>
  <si>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</si>
  <si>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</si>
  <si>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</si>
  <si>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</si>
  <si>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</si>
  <si>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</si>
  <si>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</si>
  <si>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</si>
  <si>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</si>
  <si>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</si>
  <si>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</si>
  <si>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</si>
  <si>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</si>
  <si>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</si>
  <si>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</si>
  <si>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</si>
  <si>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</si>
  <si>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</si>
  <si>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</si>
  <si>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</si>
  <si>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</si>
  <si>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</si>
  <si>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</si>
  <si>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</si>
  <si>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</si>
  <si>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</si>
  <si>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</si>
  <si>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</si>
  <si>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</si>
  <si>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</si>
  <si>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</si>
  <si>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</si>
  <si>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</si>
  <si>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</si>
  <si>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</si>
  <si>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</si>
  <si>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</si>
  <si>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</si>
  <si>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</si>
  <si>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</si>
  <si>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</si>
  <si>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</si>
  <si>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</si>
  <si>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</si>
  <si>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</si>
  <si>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</si>
  <si>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</si>
  <si>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</si>
  <si>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</si>
  <si>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</si>
  <si>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</si>
  <si>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</si>
  <si>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</si>
  <si>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</si>
  <si>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</si>
  <si>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</si>
  <si>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</si>
  <si>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</si>
  <si>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</si>
  <si>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</si>
  <si>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</si>
  <si>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</si>
  <si>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</si>
  <si>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</si>
  <si>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</si>
  <si>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</si>
  <si>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</si>
  <si>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</si>
  <si>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</si>
  <si>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</si>
  <si>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</si>
  <si>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</si>
  <si>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</si>
  <si>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</si>
  <si>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</si>
  <si>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</si>
  <si>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</si>
  <si>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</si>
  <si>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</si>
  <si>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</si>
  <si>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</si>
  <si>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</si>
  <si>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</si>
  <si>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</si>
  <si>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</si>
  <si>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</si>
  <si>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</si>
  <si>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</si>
  <si>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</si>
  <si>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</si>
  <si>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</si>
  <si>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</si>
  <si>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</si>
  <si>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</si>
  <si>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</si>
  <si>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</si>
  <si>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</si>
  <si>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</si>
  <si>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</si>
  <si>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</si>
  <si>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</si>
  <si>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</si>
  <si>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</si>
  <si>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</si>
  <si>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</si>
  <si>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</si>
  <si>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</si>
  <si>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</si>
  <si>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</si>
  <si>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</si>
  <si>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</si>
  <si>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</si>
  <si>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</si>
  <si>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</si>
  <si>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</si>
  <si>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</si>
  <si>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</si>
  <si>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</si>
  <si>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</si>
  <si>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</si>
  <si>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</si>
  <si>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</si>
  <si>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</si>
  <si>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</si>
  <si>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</si>
  <si>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</si>
  <si>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</si>
  <si>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</si>
  <si>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</si>
  <si>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</si>
  <si>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</si>
  <si>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</si>
  <si>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</si>
  <si>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</si>
  <si>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</si>
  <si>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</si>
  <si>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</si>
  <si>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</si>
  <si>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</si>
  <si>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</si>
  <si>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</si>
  <si>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</si>
  <si>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</si>
  <si>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</si>
  <si>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</si>
  <si>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</si>
  <si>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</si>
  <si>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</si>
  <si>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</si>
  <si>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</si>
  <si>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</si>
  <si>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</si>
  <si>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</si>
  <si>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</si>
  <si>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</si>
  <si>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</si>
  <si>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</si>
  <si>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</si>
  <si>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</si>
  <si>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</si>
  <si>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</si>
  <si>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</si>
  <si>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</si>
  <si>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</si>
  <si>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</si>
  <si>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</si>
  <si>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</si>
  <si>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</si>
  <si>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</si>
  <si>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</si>
  <si>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</si>
  <si>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</si>
  <si>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</si>
  <si>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</si>
  <si>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</si>
  <si>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</si>
  <si>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</si>
  <si>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</si>
  <si>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</si>
  <si>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</si>
  <si>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</si>
  <si>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</si>
  <si>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</si>
  <si>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</si>
  <si>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</si>
  <si>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</si>
  <si>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</si>
  <si>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</si>
  <si>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</si>
  <si>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</si>
  <si>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</si>
  <si>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</si>
  <si>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</si>
  <si>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</si>
  <si>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</si>
  <si>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</si>
  <si>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</si>
  <si>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</si>
  <si>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</si>
  <si>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</si>
  <si>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</si>
  <si>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</si>
  <si>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</si>
  <si>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</si>
  <si>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</si>
  <si>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</si>
  <si>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</si>
  <si>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</si>
  <si>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</si>
  <si>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</si>
  <si>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</si>
  <si>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</si>
  <si>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</si>
  <si>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</si>
  <si>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</si>
  <si>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</si>
  <si>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</si>
  <si>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</si>
  <si>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</si>
  <si>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</si>
  <si>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</si>
  <si>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</si>
  <si>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</si>
  <si>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</si>
  <si>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</si>
  <si>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</si>
  <si>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</si>
  <si>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</si>
  <si>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</si>
  <si>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</si>
  <si>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</si>
  <si>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</si>
  <si>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</si>
  <si>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</si>
  <si>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</si>
  <si>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</si>
  <si>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</si>
  <si>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</si>
  <si>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</si>
  <si>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</si>
  <si>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</si>
  <si>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</si>
  <si>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</si>
  <si>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</si>
  <si>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</si>
  <si>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</si>
  <si>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</si>
  <si>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</si>
  <si>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</si>
  <si>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</si>
  <si>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</si>
  <si>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</si>
  <si>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</si>
  <si>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</si>
  <si>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</si>
  <si>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</si>
  <si>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</si>
  <si>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</si>
  <si>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</si>
  <si>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</si>
  <si>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</si>
  <si>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</si>
  <si>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</si>
  <si>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</si>
  <si>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</si>
  <si>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</si>
  <si>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</si>
  <si>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</si>
  <si>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</si>
  <si>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</si>
  <si>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</si>
  <si>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</si>
  <si>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</si>
  <si>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</si>
  <si>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</si>
  <si>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</si>
  <si>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</si>
  <si>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</si>
  <si>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</si>
  <si>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</si>
  <si>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</si>
  <si>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</si>
  <si>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</si>
  <si>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</si>
  <si>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</si>
  <si>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</si>
  <si>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</si>
  <si>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</si>
  <si>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</si>
  <si>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</si>
  <si>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</si>
  <si>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</si>
  <si>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</si>
  <si>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</si>
  <si>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</si>
  <si>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</si>
  <si>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</si>
  <si>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</si>
  <si>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</si>
  <si>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</si>
  <si>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</si>
  <si>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</si>
  <si>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</si>
  <si>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</si>
  <si>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</si>
  <si>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</si>
  <si>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</si>
  <si>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</si>
  <si>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</si>
  <si>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</si>
  <si>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</si>
  <si>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</si>
  <si>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</si>
  <si>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</si>
  <si>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</si>
  <si>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</si>
  <si>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</si>
  <si>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</si>
  <si>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</si>
  <si>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</si>
  <si>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</si>
  <si>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</si>
  <si>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</si>
  <si>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</si>
  <si>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</si>
  <si>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</si>
  <si>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</si>
  <si>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</si>
  <si>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</si>
  <si>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</si>
  <si>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</si>
  <si>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</si>
  <si>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</si>
  <si>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</si>
  <si>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</si>
  <si>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</si>
  <si>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</si>
  <si>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</si>
  <si>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</si>
  <si>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</si>
  <si>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</si>
  <si>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</si>
  <si>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</si>
  <si>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</si>
  <si>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</si>
  <si>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</si>
  <si>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</si>
  <si>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</si>
  <si>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</si>
  <si>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</si>
  <si>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</si>
  <si>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</si>
  <si>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</si>
  <si>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</si>
  <si>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</si>
  <si>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</si>
  <si>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</si>
  <si>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</si>
  <si>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</si>
  <si>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</si>
  <si>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</si>
  <si>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</si>
  <si>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</si>
  <si>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</si>
  <si>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</si>
  <si>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</si>
  <si>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</si>
  <si>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</si>
  <si>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</si>
  <si>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</si>
  <si>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</si>
  <si>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</si>
  <si>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</si>
  <si>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</si>
  <si>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</si>
  <si>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</si>
  <si>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</si>
  <si>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</si>
  <si>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</si>
  <si>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</si>
  <si>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</si>
  <si>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</si>
  <si>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</si>
  <si>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</si>
  <si>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</si>
  <si>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</si>
  <si>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</si>
  <si>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</si>
  <si>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</si>
  <si>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</si>
  <si>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</si>
  <si>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</si>
  <si>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</si>
  <si>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</si>
  <si>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</si>
  <si>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</si>
  <si>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</si>
  <si>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</si>
  <si>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</si>
  <si>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</si>
  <si>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</si>
  <si>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</si>
  <si>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</si>
  <si>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</si>
  <si>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</si>
  <si>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</si>
  <si>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</si>
  <si>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</si>
  <si>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</si>
  <si>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</si>
  <si>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</si>
  <si>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</si>
  <si>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</si>
  <si>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</si>
  <si>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</si>
  <si>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</si>
  <si>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</si>
  <si>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</si>
  <si>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</si>
  <si>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</si>
  <si>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</si>
  <si>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</si>
  <si>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</si>
  <si>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</si>
  <si>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</si>
  <si>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</si>
  <si>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</si>
  <si>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</si>
  <si>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</si>
  <si>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</si>
  <si>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</si>
  <si>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</si>
  <si>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</si>
  <si>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</si>
  <si>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</si>
  <si>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</si>
  <si>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</si>
  <si>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</si>
  <si>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</si>
  <si>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</si>
  <si>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</si>
  <si>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</si>
  <si>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</si>
  <si>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</si>
  <si>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</si>
  <si>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</si>
  <si>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</si>
  <si>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</si>
  <si>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</si>
  <si>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</si>
  <si>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</si>
  <si>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</si>
  <si>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</si>
  <si>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</si>
  <si>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</si>
  <si>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</si>
  <si>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</si>
  <si>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</si>
  <si>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</si>
  <si>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</si>
  <si>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</si>
  <si>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</si>
  <si>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</si>
  <si>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</si>
  <si>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</si>
  <si>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</si>
  <si>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</si>
  <si>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</si>
  <si>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</si>
  <si>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</si>
  <si>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</si>
  <si>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</si>
  <si>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</si>
  <si>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</si>
  <si>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</si>
  <si>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</si>
  <si>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</si>
  <si>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</si>
  <si>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</si>
  <si>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</si>
  <si>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</si>
  <si>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</si>
  <si>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</si>
  <si>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</si>
  <si>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</si>
  <si>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</si>
  <si>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</si>
  <si>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</si>
  <si>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</si>
  <si>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</si>
  <si>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</si>
  <si>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</si>
  <si>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</si>
  <si>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</si>
  <si>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</si>
  <si>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</si>
  <si>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</si>
  <si>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</si>
  <si>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</si>
  <si>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</si>
  <si>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</si>
  <si>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</si>
  <si>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</si>
  <si>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</si>
  <si>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</si>
  <si>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</si>
  <si>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</si>
  <si>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</si>
  <si>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</si>
  <si>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</si>
  <si>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</si>
  <si>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</si>
  <si>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</si>
  <si>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</si>
  <si>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</si>
  <si>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</si>
  <si>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</si>
  <si>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</si>
  <si>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</si>
  <si>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</si>
  <si>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</si>
  <si>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</si>
  <si>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</si>
  <si>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</si>
  <si>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</si>
  <si>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</si>
  <si>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</si>
  <si>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</si>
  <si>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</si>
  <si>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</si>
  <si>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</si>
  <si>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</si>
  <si>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</si>
  <si>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</si>
  <si>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</si>
  <si>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</si>
  <si>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</si>
  <si>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</si>
  <si>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</si>
  <si>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</si>
  <si>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</si>
  <si>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</si>
  <si>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</si>
  <si>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</si>
  <si>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</si>
  <si>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</si>
  <si>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</si>
  <si>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</si>
  <si>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</si>
  <si>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</si>
  <si>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</si>
  <si>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</si>
  <si>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</si>
  <si>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</si>
  <si>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</si>
  <si>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</si>
  <si>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</si>
  <si>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</si>
  <si>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</si>
  <si>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</si>
  <si>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</si>
  <si>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</si>
  <si>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</si>
  <si>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</si>
  <si>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</si>
  <si>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</si>
  <si>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</si>
  <si>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</si>
  <si>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</si>
  <si>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</si>
  <si>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</si>
  <si>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</si>
  <si>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</si>
  <si>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</si>
  <si>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</si>
  <si>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</si>
  <si>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</si>
  <si>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</si>
  <si>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</si>
  <si>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</si>
  <si>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</si>
  <si>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</si>
  <si>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</si>
  <si>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</si>
  <si>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</si>
  <si>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</si>
  <si>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</si>
  <si>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</si>
  <si>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</si>
  <si>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</si>
  <si>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</si>
  <si>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</si>
  <si>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</si>
  <si>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</si>
  <si>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</si>
  <si>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</si>
  <si>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</si>
  <si>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</si>
  <si>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</si>
  <si>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</si>
  <si>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</si>
  <si>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</si>
  <si>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</si>
  <si>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</si>
  <si>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</si>
  <si>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</si>
  <si>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</si>
  <si>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</si>
  <si>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</si>
  <si>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</si>
  <si>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</si>
  <si>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</si>
  <si>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</si>
  <si>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</si>
  <si>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</si>
  <si>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</si>
  <si>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</si>
  <si>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</si>
  <si>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</si>
  <si>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</si>
  <si>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</si>
  <si>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</si>
  <si>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</si>
  <si>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</si>
  <si>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</si>
  <si>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</si>
  <si>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</si>
  <si>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</si>
  <si>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</si>
  <si>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</si>
  <si>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</si>
  <si>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</si>
  <si>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</si>
  <si>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</si>
  <si>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</si>
  <si>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</si>
  <si>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</si>
  <si>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</si>
  <si>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</si>
  <si>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</si>
  <si>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</si>
  <si>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</si>
  <si>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</si>
  <si>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</si>
  <si>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</si>
  <si>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</si>
  <si>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</si>
  <si>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</si>
  <si>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</si>
  <si>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</si>
  <si>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</si>
  <si>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</si>
  <si>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</si>
  <si>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</si>
  <si>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</si>
  <si>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</si>
  <si>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</si>
  <si>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</si>
  <si>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</si>
  <si>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</si>
  <si>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</si>
  <si>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</si>
  <si>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</si>
  <si>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</si>
  <si>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</si>
  <si>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</si>
  <si>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</si>
  <si>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</si>
  <si>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</si>
  <si>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</si>
  <si>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</si>
  <si>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</si>
  <si>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</si>
  <si>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</si>
  <si>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</si>
  <si>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</si>
  <si>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</si>
  <si>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</si>
  <si>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</si>
  <si>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</si>
  <si>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</si>
  <si>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</si>
  <si>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</si>
  <si>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</si>
  <si>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</si>
  <si>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</si>
  <si>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</si>
  <si>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</si>
  <si>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</si>
  <si>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</si>
  <si>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</si>
  <si>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</si>
  <si>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</si>
  <si>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</si>
  <si>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</si>
  <si>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</si>
  <si>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</si>
  <si>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</si>
  <si>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</si>
  <si>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</si>
  <si>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</si>
  <si>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</si>
  <si>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</si>
  <si>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</si>
  <si>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</si>
  <si>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</si>
  <si>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</si>
  <si>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</si>
  <si>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</si>
  <si>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</si>
  <si>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</si>
  <si>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</si>
  <si>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</si>
  <si>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</si>
  <si>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</si>
  <si>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</si>
  <si>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</si>
  <si>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</si>
  <si>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</si>
  <si>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</si>
  <si>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</si>
  <si>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</si>
  <si>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</si>
  <si>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</si>
  <si>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</si>
  <si>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</si>
  <si>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</si>
  <si>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</si>
  <si>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</si>
  <si>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</si>
  <si>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</si>
  <si>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</si>
  <si>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</si>
  <si>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</si>
  <si>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</si>
  <si>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</si>
  <si>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</si>
  <si>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</si>
  <si>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</si>
  <si>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</si>
  <si>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</si>
  <si>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</si>
  <si>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</si>
  <si>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</si>
  <si>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</si>
  <si>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</si>
  <si>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</si>
  <si>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</si>
  <si>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</si>
  <si>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</si>
  <si>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</si>
  <si>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</si>
  <si>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</si>
  <si>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</si>
  <si>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</si>
  <si>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</si>
  <si>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</si>
  <si>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</si>
  <si>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</si>
  <si>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</si>
  <si>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</si>
  <si>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</si>
  <si>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</si>
  <si>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</si>
  <si>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</si>
  <si>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</si>
  <si>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</si>
  <si>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</si>
  <si>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</si>
  <si>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</si>
  <si>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</si>
  <si>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</si>
  <si>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</si>
  <si>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</si>
  <si>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</si>
  <si>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</si>
  <si>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</si>
  <si>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</si>
  <si>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</si>
  <si>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</si>
  <si>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</si>
  <si>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</si>
  <si>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</si>
  <si>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</si>
  <si>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</si>
  <si>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</si>
  <si>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</si>
  <si>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</si>
  <si>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</si>
  <si>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</si>
  <si>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</si>
  <si>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</si>
  <si>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</si>
  <si>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</si>
  <si>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</si>
  <si>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</si>
  <si>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</si>
  <si>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</si>
  <si>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</si>
  <si>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</si>
  <si>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</si>
  <si>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</si>
  <si>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</si>
  <si>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</si>
  <si>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</si>
  <si>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</si>
  <si>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</si>
  <si>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</si>
  <si>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</si>
  <si>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</si>
  <si>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</si>
  <si>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</si>
  <si>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</si>
  <si>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</si>
  <si>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</si>
  <si>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</si>
  <si>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</si>
  <si>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</si>
  <si>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</si>
  <si>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</si>
  <si>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</si>
  <si>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</si>
  <si>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</si>
  <si>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</si>
  <si>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</si>
  <si>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</si>
  <si>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</si>
  <si>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</si>
  <si>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</si>
  <si>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</si>
  <si>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</si>
  <si>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</si>
  <si>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</si>
  <si>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</si>
  <si>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</si>
  <si>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</si>
  <si>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</si>
  <si>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</si>
  <si>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</si>
  <si>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</si>
  <si>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</si>
  <si>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</si>
  <si>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</si>
  <si>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</si>
  <si>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</si>
  <si>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</si>
  <si>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</si>
  <si>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</si>
  <si>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</si>
  <si>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</si>
  <si>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</si>
  <si>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</si>
  <si>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</si>
  <si>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</si>
  <si>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</si>
  <si>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</si>
  <si>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</si>
  <si>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</si>
  <si>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</si>
  <si>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</si>
  <si>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</si>
  <si>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</si>
  <si>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</si>
  <si>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</si>
  <si>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</si>
  <si>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</si>
  <si>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</si>
  <si>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</si>
  <si>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</si>
  <si>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</si>
  <si>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</si>
  <si>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</si>
  <si>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</si>
  <si>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</si>
  <si>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</si>
  <si>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</si>
  <si>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</si>
  <si>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</si>
  <si>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</si>
  <si>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</si>
  <si>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</si>
  <si>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</si>
  <si>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</si>
  <si>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</si>
  <si>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</si>
  <si>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</si>
  <si>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</si>
  <si>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</si>
  <si>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</si>
  <si>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</si>
  <si>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</si>
  <si>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</si>
  <si>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</si>
  <si>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</si>
  <si>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</si>
  <si>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</si>
  <si>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</si>
  <si>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</si>
  <si>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</si>
  <si>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</si>
  <si>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</si>
  <si>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</si>
  <si>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</si>
  <si>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</si>
  <si>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</si>
  <si>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</si>
  <si>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</si>
  <si>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</si>
  <si>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</si>
  <si>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</si>
  <si>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</si>
  <si>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</si>
  <si>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</si>
  <si>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</si>
  <si>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</si>
  <si>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</si>
  <si>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</si>
  <si>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</si>
  <si>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</si>
  <si>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</si>
  <si>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</si>
  <si>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</si>
  <si>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</si>
  <si>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</si>
  <si>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</si>
  <si>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</si>
  <si>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</si>
  <si>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</si>
  <si>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</si>
  <si>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</si>
  <si>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</si>
  <si>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</si>
  <si>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</si>
  <si>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</si>
  <si>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</si>
  <si>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</si>
  <si>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</si>
  <si>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</si>
  <si>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</si>
  <si>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</si>
  <si>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</si>
  <si>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</si>
  <si>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</si>
  <si>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</si>
  <si>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</si>
  <si>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</si>
  <si>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</si>
  <si>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</si>
  <si>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</si>
  <si>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</si>
  <si>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</si>
  <si>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</si>
  <si>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</si>
  <si>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</si>
  <si>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</si>
  <si>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</si>
  <si>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</si>
  <si>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</si>
  <si>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</si>
  <si>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</si>
  <si>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</si>
  <si>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</si>
  <si>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</si>
  <si>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</si>
  <si>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</si>
  <si>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</si>
  <si>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</si>
  <si>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</si>
  <si>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</si>
  <si>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</si>
  <si>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</si>
  <si>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</si>
  <si>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</si>
  <si>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</si>
  <si>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</si>
  <si>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</si>
  <si>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</si>
  <si>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</si>
  <si>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</si>
  <si>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</si>
  <si>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</si>
  <si>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</si>
  <si>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</si>
  <si>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</si>
  <si>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</si>
  <si>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</si>
  <si>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</si>
  <si>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</si>
  <si>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</si>
  <si>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</si>
  <si>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</si>
  <si>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</si>
  <si>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</si>
  <si>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</si>
  <si>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</si>
  <si>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</si>
  <si>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</si>
  <si>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</si>
  <si>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</si>
  <si>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</si>
  <si>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</si>
  <si>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</si>
  <si>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</si>
  <si>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</si>
  <si>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</si>
  <si>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</si>
  <si>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</si>
  <si>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</si>
  <si>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</si>
  <si>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</si>
  <si>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</si>
  <si>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</si>
  <si>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</si>
  <si>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</si>
  <si>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</si>
  <si>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</si>
  <si>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</si>
  <si>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</si>
  <si>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</si>
  <si>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</si>
  <si>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</si>
  <si>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</si>
  <si>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</si>
  <si>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</si>
  <si>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</si>
  <si>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</si>
  <si>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</si>
  <si>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</si>
  <si>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</si>
  <si>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</si>
  <si>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</si>
  <si>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</si>
  <si>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</si>
  <si>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</si>
  <si>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</si>
  <si>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</si>
  <si>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</si>
  <si>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</si>
  <si>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</si>
  <si>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</si>
  <si>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</si>
  <si>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</si>
  <si>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</si>
  <si>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</si>
  <si>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</si>
  <si>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</si>
  <si>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</si>
  <si>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</si>
  <si>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</si>
  <si>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</si>
  <si>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</si>
  <si>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</si>
  <si>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</si>
  <si>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</si>
  <si>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</si>
  <si>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</si>
  <si>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</si>
  <si>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</si>
  <si>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</si>
  <si>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</si>
  <si>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</si>
  <si>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</si>
  <si>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</si>
  <si>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</si>
  <si>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</si>
  <si>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</si>
  <si>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</si>
  <si>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</si>
  <si>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</si>
  <si>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</si>
  <si>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</si>
  <si>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</si>
  <si>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</si>
  <si>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</si>
  <si>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</si>
  <si>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</si>
  <si>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</si>
  <si>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</si>
  <si>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</si>
  <si>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</si>
  <si>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</si>
  <si>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</si>
  <si>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</si>
  <si>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</si>
  <si>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</si>
  <si>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</si>
  <si>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</si>
  <si>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</si>
  <si>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</si>
  <si>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</si>
  <si>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</si>
  <si>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</si>
  <si>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</si>
  <si>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</si>
  <si>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</si>
  <si>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</si>
  <si>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</si>
  <si>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</si>
  <si>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</si>
  <si>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</si>
  <si>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</si>
  <si>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</si>
  <si>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</si>
  <si>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</si>
  <si>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</si>
  <si>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</si>
  <si>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</si>
  <si>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</si>
  <si>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</si>
  <si>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</si>
  <si>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</si>
  <si>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</si>
  <si>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</si>
  <si>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</si>
  <si>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</si>
  <si>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</si>
  <si>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</si>
  <si>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</si>
  <si>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</si>
  <si>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</si>
  <si>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</si>
  <si>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</si>
  <si>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</si>
  <si>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</si>
  <si>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</si>
  <si>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</si>
  <si>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</si>
  <si>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</si>
  <si>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</si>
  <si>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</si>
  <si>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</si>
  <si>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</si>
  <si>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</si>
  <si>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</si>
  <si>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</si>
  <si>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</si>
  <si>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</si>
  <si>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</si>
  <si>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</si>
  <si>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</si>
  <si>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</si>
  <si>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</si>
  <si>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</si>
  <si>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</si>
  <si>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</si>
  <si>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</si>
  <si>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</si>
  <si>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</si>
  <si>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</si>
  <si>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</si>
  <si>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</si>
  <si>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</si>
  <si>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</si>
  <si>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</si>
  <si>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</si>
  <si>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</si>
  <si>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</si>
  <si>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</si>
  <si>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</si>
  <si>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</si>
  <si>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</si>
  <si>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</si>
  <si>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</si>
  <si>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</si>
  <si>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</si>
  <si>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</si>
  <si>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</si>
  <si>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</si>
  <si>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</si>
  <si>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</si>
  <si>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</si>
  <si>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</si>
  <si>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</si>
  <si>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</si>
  <si>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</si>
  <si>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</si>
  <si>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</si>
  <si>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</si>
  <si>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</si>
  <si>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</si>
  <si>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</si>
  <si>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</si>
  <si>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</si>
  <si>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</si>
  <si>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</si>
  <si>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</si>
  <si>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</si>
  <si>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</si>
  <si>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</si>
  <si>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</si>
  <si>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</si>
  <si>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</si>
  <si>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</si>
  <si>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</si>
  <si>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</si>
  <si>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</si>
  <si>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</si>
  <si>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</si>
  <si>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</si>
  <si>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</si>
  <si>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</si>
  <si>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</si>
  <si>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</si>
  <si>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</si>
  <si>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</si>
  <si>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</si>
  <si>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</si>
  <si>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</si>
  <si>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</si>
  <si>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</si>
  <si>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</si>
  <si>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</si>
  <si>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</si>
  <si>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</si>
  <si>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</si>
  <si>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</si>
  <si>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</si>
  <si>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</si>
  <si>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</si>
  <si>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</si>
  <si>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</si>
  <si>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</si>
  <si>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</si>
  <si>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</si>
  <si>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</si>
  <si>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</si>
  <si>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</si>
  <si>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</si>
  <si>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</si>
  <si>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</si>
  <si>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</si>
  <si>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</si>
  <si>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</si>
  <si>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</si>
  <si>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</si>
  <si>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</si>
  <si>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</si>
  <si>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</si>
  <si>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</si>
  <si>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</si>
  <si>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</si>
  <si>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</si>
  <si>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</si>
  <si>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</si>
  <si>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</si>
  <si>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</si>
  <si>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</si>
  <si>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</si>
  <si>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</si>
  <si>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</si>
  <si>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</si>
  <si>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</si>
  <si>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</si>
  <si>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</si>
  <si>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</si>
  <si>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</si>
  <si>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</si>
  <si>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</si>
  <si>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</si>
  <si>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</si>
  <si>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</si>
  <si>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</si>
  <si>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</si>
  <si>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</si>
  <si>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</si>
  <si>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</si>
  <si>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</si>
  <si>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</si>
  <si>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</si>
  <si>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</si>
  <si>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</si>
  <si>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</si>
  <si>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</si>
  <si>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</si>
  <si>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</si>
  <si>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</si>
  <si>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</si>
  <si>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</si>
  <si>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</si>
  <si>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</si>
  <si>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</si>
  <si>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</si>
  <si>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</si>
  <si>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</si>
  <si>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</si>
  <si>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</si>
  <si>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</si>
  <si>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</si>
  <si>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</si>
  <si>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</si>
  <si>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</si>
  <si>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</si>
  <si>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</si>
  <si>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</si>
  <si>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</si>
  <si>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</si>
  <si>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</si>
  <si>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</si>
  <si>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2022</t>
  </si>
  <si>
    <t>Jun</t>
  </si>
  <si>
    <t>2020</t>
  </si>
  <si>
    <t>Oct</t>
  </si>
  <si>
    <t>2019</t>
  </si>
  <si>
    <t>Jan</t>
  </si>
  <si>
    <t>2021</t>
  </si>
  <si>
    <t>Jul</t>
  </si>
  <si>
    <t>Feb</t>
  </si>
  <si>
    <t>May</t>
  </si>
  <si>
    <t>Apr</t>
  </si>
  <si>
    <t>Sep</t>
  </si>
  <si>
    <t>Dec</t>
  </si>
  <si>
    <t>Mar</t>
  </si>
  <si>
    <t>Aug</t>
  </si>
  <si>
    <t>Nov</t>
  </si>
  <si>
    <t>Years</t>
  </si>
  <si>
    <t>Arabica</t>
  </si>
  <si>
    <t>Excelsa</t>
  </si>
  <si>
    <t>Liberica</t>
  </si>
  <si>
    <t>Robusta</t>
  </si>
  <si>
    <t>Sum of Sales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</si>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</sst>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3" fontId="0" fillId="0" borderId="0" xfId="0" applyNumberFormat="1"/>
  </cellXfs>
  <cellStyles count="1">
    <cellStyle name="Normal" xfId="0" builtinId="0"/>
  </cellStyles>
  <dxfs count="26">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fill>
        <patternFill>
          <bgColor rgb="FFB889DB"/>
        </patternFill>
      </fill>
      <border>
        <left style="thin">
          <color theme="0"/>
        </left>
        <right style="thin">
          <color theme="0"/>
        </right>
        <top style="thin">
          <color theme="0"/>
        </top>
        <bottom style="thin">
          <color theme="0"/>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fill>
        <patternFill>
          <bgColor rgb="FF3C1464"/>
        </patternFill>
      </fill>
    </dxf>
    <dxf>
      <font>
        <b/>
        <i val="0"/>
        <color theme="0" tint="-4.9989318521683403E-2"/>
        <name val="Calibri"/>
        <family val="2"/>
        <scheme val="minor"/>
      </font>
      <fill>
        <patternFill>
          <bgColor rgb="FF3C1464"/>
        </patternFill>
      </fill>
      <border diagonalUp="0" diagonalDown="0">
        <left style="thin">
          <color theme="0"/>
        </left>
        <right style="thin">
          <color theme="0"/>
        </right>
        <top style="thin">
          <color theme="0"/>
        </top>
        <bottom style="thin">
          <color theme="0"/>
        </bottom>
        <vertical/>
        <horizontal/>
      </border>
    </dxf>
    <dxf>
      <font>
        <b/>
        <i val="0"/>
        <sz val="11"/>
        <color theme="0"/>
        <name val="Calibri Light"/>
        <family val="2"/>
        <scheme val="major"/>
      </font>
    </dxf>
    <dxf>
      <font>
        <sz val="10"/>
      </font>
      <fill>
        <patternFill patternType="solid">
          <fgColor theme="0"/>
          <bgColor rgb="FF3C1464"/>
        </patternFill>
      </fill>
      <border>
        <left style="thin">
          <color rgb="FF7030A0"/>
        </left>
        <right style="thin">
          <color rgb="FF7030A0"/>
        </right>
        <top style="thin">
          <color rgb="FF7030A0"/>
        </top>
        <bottom style="thin">
          <color rgb="FF7030A0"/>
        </bottom>
      </border>
    </dxf>
  </dxfs>
  <tableStyles count="7" defaultTableStyle="TableStyleMedium2" defaultPivotStyle="PivotStyleMedium9">
    <tableStyle name="Purple timeline style" pivot="0" table="0" count="8" xr9:uid="{0298F2E4-4333-4BE8-BE51-DEFE50A141F1}">
      <tableStyleElement type="wholeTable" dxfId="25"/>
      <tableStyleElement type="headerRow" dxfId="24"/>
    </tableStyle>
    <tableStyle name="Slicer Style " pivot="0" table="0" count="4" xr9:uid="{57C627D5-C859-4659-9BB4-4DE685829DF5}">
      <tableStyleElement type="wholeTable" dxfId="23"/>
      <tableStyleElement type="headerRow" dxfId="22"/>
    </tableStyle>
    <tableStyle name="Timeline Style 1" pivot="0" table="0" count="8" xr9:uid="{2CA80695-7FBD-4A24-A537-E52050F0C06A}">
      <tableStyleElement type="wholeTable" dxfId="21"/>
      <tableStyleElement type="headerRow" dxfId="20"/>
    </tableStyle>
    <tableStyle name="Timeline Style 2" pivot="0" table="0" count="8" xr9:uid="{59BC09F3-B22C-490E-8AEC-852BFABC92F4}">
      <tableStyleElement type="wholeTable" dxfId="19"/>
      <tableStyleElement type="headerRow" dxfId="18"/>
    </tableStyle>
    <tableStyle name="Timeline Style 3" pivot="0" table="0" count="8" xr9:uid="{EFA89A0B-5529-4F98-84F4-8DD82D68D4C0}">
      <tableStyleElement type="wholeTable" dxfId="17"/>
      <tableStyleElement type="headerRow" dxfId="16"/>
    </tableStyle>
    <tableStyle name="Timeline Style 4" pivot="0" table="0" count="8" xr9:uid="{01E0F6DB-EB4E-41B1-BDC9-2A94938B4440}">
      <tableStyleElement type="wholeTable" dxfId="15"/>
      <tableStyleElement type="headerRow" dxfId="14"/>
    </tableStyle>
    <tableStyle name="Timeline Style 5" pivot="0" table="0" count="8" xr9:uid="{990018A9-3E30-4574-9739-F08256A0B2C3}">
      <tableStyleElement type="wholeTable" dxfId="13"/>
      <tableStyleElement type="headerRow" dxfId="12"/>
    </tableStyle>
  </tableStyles>
  <colors>
    <mruColors>
      <color rgb="FFDCC5F3"/>
      <color rgb="FF3C1464"/>
      <color rgb="FFCBA8EE"/>
      <color rgb="FF2E471D"/>
      <color rgb="FFC7FA8A"/>
      <color rgb="FF84E909"/>
      <color rgb="FF93C571"/>
      <color rgb="FFA76CE2"/>
      <color rgb="FFCC99FF"/>
      <color rgb="FFB889DB"/>
    </mruColors>
  </colors>
  <extLst>
    <ext xmlns:x14="http://schemas.microsoft.com/office/spreadsheetml/2009/9/main" uri="{46F421CA-312F-682f-3DD2-61675219B42D}">
      <x14:dxfs count="2">
        <dxf>
          <font>
            <b/>
            <i val="0"/>
            <color theme="0"/>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
        <x14:slicerStyle name="Slicer Style ">
          <x14:slicerStyleElements>
            <x14:slicerStyleElement type="unselectedItemWithData" dxfId="1"/>
            <x14:slicerStyleElement type="selectedItemWithNoData" dxfId="0"/>
          </x14:slicerStyleElements>
        </x14:slicerStyle>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C99FF"/>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BA8EE"/>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 table!PivotTable2</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67AC-4F30-9D44-B177878B5F5C}"/>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 table!PivotTable3</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413E-4A9E-8A77-BD49BE4C6810}"/>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 table!pivot table</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table'!$C$1:$C$2</c:f>
              <c:strCache>
                <c:ptCount val="1"/>
                <c:pt idx="0">
                  <c:v>Arabica</c:v>
                </c:pt>
              </c:strCache>
            </c:strRef>
          </c:tx>
          <c:spPr>
            <a:ln w="28575" cap="rnd">
              <a:solidFill>
                <a:srgbClr val="00B0F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table'!$C$3:$C$47</c:f>
              <c:numCache>
                <c:formatCode>#,##0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7F48-46D2-9F73-BC6626FDB6F9}"/>
            </c:ext>
          </c:extLst>
        </c:ser>
        <c:ser>
          <c:idx val="1"/>
          <c:order val="1"/>
          <c:tx>
            <c:strRef>
              <c:f>'pivot table'!$D$1:$D$2</c:f>
              <c:strCache>
                <c:ptCount val="1"/>
                <c:pt idx="0">
                  <c:v>Excelsa</c:v>
                </c:pt>
              </c:strCache>
            </c:strRef>
          </c:tx>
          <c:spPr>
            <a:ln w="28575" cap="rnd">
              <a:solidFill>
                <a:schemeClr val="accent4">
                  <a:lumMod val="50000"/>
                </a:schemeClr>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table'!$D$3:$D$47</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7F48-46D2-9F73-BC6626FDB6F9}"/>
            </c:ext>
          </c:extLst>
        </c:ser>
        <c:ser>
          <c:idx val="2"/>
          <c:order val="2"/>
          <c:tx>
            <c:strRef>
              <c:f>'pivot table'!$E$1:$E$2</c:f>
              <c:strCache>
                <c:ptCount val="1"/>
                <c:pt idx="0">
                  <c:v>Liberica</c:v>
                </c:pt>
              </c:strCache>
            </c:strRef>
          </c:tx>
          <c:spPr>
            <a:ln w="28575" cap="rnd">
              <a:solidFill>
                <a:srgbClr val="FFFF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table'!$E$3:$E$47</c:f>
              <c:numCache>
                <c:formatCode>#,##0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7F48-46D2-9F73-BC6626FDB6F9}"/>
            </c:ext>
          </c:extLst>
        </c:ser>
        <c:ser>
          <c:idx val="3"/>
          <c:order val="3"/>
          <c:tx>
            <c:strRef>
              <c:f>'pivot table'!$F$1:$F$2</c:f>
              <c:strCache>
                <c:ptCount val="1"/>
                <c:pt idx="0">
                  <c:v>Robusta</c:v>
                </c:pt>
              </c:strCache>
            </c:strRef>
          </c:tx>
          <c:spPr>
            <a:ln w="28575" cap="rnd">
              <a:solidFill>
                <a:srgbClr val="FF00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table'!$F$3:$F$47</c:f>
              <c:numCache>
                <c:formatCode>#,##0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7F48-46D2-9F73-BC6626FDB6F9}"/>
            </c:ext>
          </c:extLst>
        </c:ser>
        <c:dLbls>
          <c:showLegendKey val="0"/>
          <c:showVal val="0"/>
          <c:showCatName val="0"/>
          <c:showSerName val="0"/>
          <c:showPercent val="0"/>
          <c:showBubbleSize val="0"/>
        </c:dLbls>
        <c:smooth val="0"/>
        <c:axId val="1106667984"/>
        <c:axId val="1106668816"/>
      </c:lineChart>
      <c:catAx>
        <c:axId val="11066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8816"/>
        <c:crosses val="autoZero"/>
        <c:auto val="1"/>
        <c:lblAlgn val="ctr"/>
        <c:lblOffset val="100"/>
        <c:noMultiLvlLbl val="0"/>
      </c:catAx>
      <c:valAx>
        <c:axId val="1106668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7984"/>
        <c:crosses val="autoZero"/>
        <c:crossBetween val="between"/>
      </c:valAx>
      <c:spPr>
        <a:solidFill>
          <a:srgbClr val="DCC5F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 table!PivotTable2</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B22A-4826-B506-5B8143AD09E7}"/>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 table!PivotTable3</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707A-4B24-8C74-8CFC983D5BA9}"/>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0</xdr:colOff>
      <xdr:row>107</xdr:row>
      <xdr:rowOff>119062</xdr:rowOff>
    </xdr:from>
    <xdr:to>
      <xdr:col>18</xdr:col>
      <xdr:colOff>304800</xdr:colOff>
      <xdr:row>122</xdr:row>
      <xdr:rowOff>4762</xdr:rowOff>
    </xdr:to>
    <xdr:graphicFrame macro="">
      <xdr:nvGraphicFramePr>
        <xdr:cNvPr id="14" name="Chart 13">
          <a:extLst>
            <a:ext uri="{FF2B5EF4-FFF2-40B4-BE49-F238E27FC236}">
              <a16:creationId xmlns:a16="http://schemas.microsoft.com/office/drawing/2014/main" id="{F9383725-FB04-488B-A318-3C8831647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123</xdr:row>
      <xdr:rowOff>176212</xdr:rowOff>
    </xdr:from>
    <xdr:to>
      <xdr:col>18</xdr:col>
      <xdr:colOff>361950</xdr:colOff>
      <xdr:row>138</xdr:row>
      <xdr:rowOff>61912</xdr:rowOff>
    </xdr:to>
    <xdr:graphicFrame macro="">
      <xdr:nvGraphicFramePr>
        <xdr:cNvPr id="15" name="Chart 14">
          <a:extLst>
            <a:ext uri="{FF2B5EF4-FFF2-40B4-BE49-F238E27FC236}">
              <a16:creationId xmlns:a16="http://schemas.microsoft.com/office/drawing/2014/main" id="{1B1CB348-2DC3-4AEE-B000-62BCDCCB6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1</xdr:row>
      <xdr:rowOff>0</xdr:rowOff>
    </xdr:from>
    <xdr:to>
      <xdr:col>18</xdr:col>
      <xdr:colOff>1</xdr:colOff>
      <xdr:row>4</xdr:row>
      <xdr:rowOff>0</xdr:rowOff>
    </xdr:to>
    <xdr:sp macro="" textlink="">
      <xdr:nvSpPr>
        <xdr:cNvPr id="3" name="Rectangle 2">
          <a:extLst>
            <a:ext uri="{FF2B5EF4-FFF2-40B4-BE49-F238E27FC236}">
              <a16:creationId xmlns:a16="http://schemas.microsoft.com/office/drawing/2014/main" id="{072E38A8-D84B-455D-AC35-3917E2456824}"/>
            </a:ext>
          </a:extLst>
        </xdr:cNvPr>
        <xdr:cNvSpPr/>
      </xdr:nvSpPr>
      <xdr:spPr>
        <a:xfrm>
          <a:off x="76201" y="57150"/>
          <a:ext cx="10401300" cy="571500"/>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ln>
                <a:solidFill>
                  <a:srgbClr val="7030A0"/>
                </a:solidFill>
              </a:ln>
              <a:solidFill>
                <a:schemeClr val="bg1"/>
              </a:solidFill>
            </a:rPr>
            <a:t>Coffee</a:t>
          </a:r>
          <a:r>
            <a:rPr lang="en-US" sz="3600" b="1" baseline="0">
              <a:ln>
                <a:solidFill>
                  <a:srgbClr val="7030A0"/>
                </a:solidFill>
              </a:ln>
              <a:solidFill>
                <a:schemeClr val="bg1"/>
              </a:solidFill>
            </a:rPr>
            <a:t> Sales Dashboard</a:t>
          </a:r>
          <a:endParaRPr lang="en-US" sz="3600" b="1">
            <a:ln>
              <a:solidFill>
                <a:srgbClr val="7030A0"/>
              </a:solidFill>
            </a:ln>
            <a:solidFill>
              <a:schemeClr val="bg1"/>
            </a:solidFill>
          </a:endParaRPr>
        </a:p>
      </xdr:txBody>
    </xdr:sp>
    <xdr:clientData/>
  </xdr:twoCellAnchor>
  <xdr:twoCellAnchor>
    <xdr:from>
      <xdr:col>0</xdr:col>
      <xdr:colOff>66674</xdr:colOff>
      <xdr:row>14</xdr:row>
      <xdr:rowOff>104774</xdr:rowOff>
    </xdr:from>
    <xdr:to>
      <xdr:col>10</xdr:col>
      <xdr:colOff>257175</xdr:colOff>
      <xdr:row>40</xdr:row>
      <xdr:rowOff>0</xdr:rowOff>
    </xdr:to>
    <xdr:graphicFrame macro="">
      <xdr:nvGraphicFramePr>
        <xdr:cNvPr id="11" name="Chart 10">
          <a:extLst>
            <a:ext uri="{FF2B5EF4-FFF2-40B4-BE49-F238E27FC236}">
              <a16:creationId xmlns:a16="http://schemas.microsoft.com/office/drawing/2014/main" id="{112DD2EA-CF3A-41A6-87F4-C27FE6E79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4</xdr:row>
      <xdr:rowOff>57150</xdr:rowOff>
    </xdr:from>
    <xdr:to>
      <xdr:col>10</xdr:col>
      <xdr:colOff>257174</xdr:colOff>
      <xdr:row>14</xdr:row>
      <xdr:rowOff>19050</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7C7F8AD9-A338-4F49-9275-7A2219810DB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6674" y="685800"/>
              <a:ext cx="5791200" cy="1866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209550</xdr:colOff>
      <xdr:row>8</xdr:row>
      <xdr:rowOff>180976</xdr:rowOff>
    </xdr:from>
    <xdr:to>
      <xdr:col>18</xdr:col>
      <xdr:colOff>28575</xdr:colOff>
      <xdr:row>14</xdr:row>
      <xdr:rowOff>57150</xdr:rowOff>
    </xdr:to>
    <mc:AlternateContent xmlns:mc="http://schemas.openxmlformats.org/markup-compatibility/2006" xmlns:a14="http://schemas.microsoft.com/office/drawing/2010/main">
      <mc:Choice Requires="a14">
        <xdr:graphicFrame macro="">
          <xdr:nvGraphicFramePr>
            <xdr:cNvPr id="13" name="Size 1">
              <a:extLst>
                <a:ext uri="{FF2B5EF4-FFF2-40B4-BE49-F238E27FC236}">
                  <a16:creationId xmlns:a16="http://schemas.microsoft.com/office/drawing/2014/main" id="{7EF2B9B0-FB72-4AA8-A3F6-1AF1886A23F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353425" y="1571626"/>
              <a:ext cx="215265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342899</xdr:colOff>
      <xdr:row>4</xdr:row>
      <xdr:rowOff>57148</xdr:rowOff>
    </xdr:from>
    <xdr:to>
      <xdr:col>18</xdr:col>
      <xdr:colOff>19050</xdr:colOff>
      <xdr:row>8</xdr:row>
      <xdr:rowOff>123825</xdr:rowOff>
    </xdr:to>
    <mc:AlternateContent xmlns:mc="http://schemas.openxmlformats.org/markup-compatibility/2006" xmlns:a14="http://schemas.microsoft.com/office/drawing/2010/main">
      <mc:Choice Requires="a14">
        <xdr:graphicFrame macro="">
          <xdr:nvGraphicFramePr>
            <xdr:cNvPr id="14" name="Roast Type Name 1">
              <a:extLst>
                <a:ext uri="{FF2B5EF4-FFF2-40B4-BE49-F238E27FC236}">
                  <a16:creationId xmlns:a16="http://schemas.microsoft.com/office/drawing/2014/main" id="{5E240373-8ED7-44A2-AD61-E0867E18547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5943599" y="685798"/>
              <a:ext cx="4552951" cy="82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352424</xdr:colOff>
      <xdr:row>8</xdr:row>
      <xdr:rowOff>180975</xdr:rowOff>
    </xdr:from>
    <xdr:to>
      <xdr:col>14</xdr:col>
      <xdr:colOff>152400</xdr:colOff>
      <xdr:row>14</xdr:row>
      <xdr:rowOff>47625</xdr:rowOff>
    </xdr:to>
    <mc:AlternateContent xmlns:mc="http://schemas.openxmlformats.org/markup-compatibility/2006" xmlns:a14="http://schemas.microsoft.com/office/drawing/2010/main">
      <mc:Choice Requires="a14">
        <xdr:graphicFrame macro="">
          <xdr:nvGraphicFramePr>
            <xdr:cNvPr id="15" name="Loyalty Card 1">
              <a:extLst>
                <a:ext uri="{FF2B5EF4-FFF2-40B4-BE49-F238E27FC236}">
                  <a16:creationId xmlns:a16="http://schemas.microsoft.com/office/drawing/2014/main" id="{A7A7D6DC-3275-4EBC-A0E0-86EB43FDF4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5953124" y="1571625"/>
              <a:ext cx="21431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342899</xdr:colOff>
      <xdr:row>14</xdr:row>
      <xdr:rowOff>104774</xdr:rowOff>
    </xdr:from>
    <xdr:to>
      <xdr:col>18</xdr:col>
      <xdr:colOff>28575</xdr:colOff>
      <xdr:row>26</xdr:row>
      <xdr:rowOff>171449</xdr:rowOff>
    </xdr:to>
    <xdr:graphicFrame macro="">
      <xdr:nvGraphicFramePr>
        <xdr:cNvPr id="16" name="Chart 15">
          <a:extLst>
            <a:ext uri="{FF2B5EF4-FFF2-40B4-BE49-F238E27FC236}">
              <a16:creationId xmlns:a16="http://schemas.microsoft.com/office/drawing/2014/main" id="{7BD07908-1CB5-48A4-8C4C-5601DD7D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27</xdr:row>
      <xdr:rowOff>28575</xdr:rowOff>
    </xdr:from>
    <xdr:to>
      <xdr:col>18</xdr:col>
      <xdr:colOff>28575</xdr:colOff>
      <xdr:row>40</xdr:row>
      <xdr:rowOff>0</xdr:rowOff>
    </xdr:to>
    <xdr:graphicFrame macro="">
      <xdr:nvGraphicFramePr>
        <xdr:cNvPr id="17" name="Chart 16">
          <a:extLst>
            <a:ext uri="{FF2B5EF4-FFF2-40B4-BE49-F238E27FC236}">
              <a16:creationId xmlns:a16="http://schemas.microsoft.com/office/drawing/2014/main" id="{C7F8AE93-1CA6-4A14-866D-CAE491787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122.678030324074" createdVersion="7" refreshedVersion="7" minRefreshableVersion="3" recordCount="1000" xr:uid="{CA766288-A4A5-407F-A97D-C48A7522A7B2}">
  <cacheSource type="worksheet">
    <worksheetSource name="worksheet"/>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59245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A64AE-49A7-4539-9BB1-AE887FADC4DD}" name="pivot table" cacheId="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8">
  <location ref="A1:G47"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1" numFmtId="3"/>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 chart="5" format="16" series="1">
      <pivotArea type="data" outline="0" fieldPosition="0">
        <references count="2">
          <reference field="4294967294" count="1" selected="0">
            <x v="0"/>
          </reference>
          <reference field="13" count="1" selected="0">
            <x v="0"/>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44E93A-E4BD-4007-A278-BD6B0ED3B554}"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65:B71"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5"/>
  </rowFields>
  <rowItems count="6">
    <i>
      <x v="289"/>
    </i>
    <i>
      <x v="518"/>
    </i>
    <i>
      <x v="17"/>
    </i>
    <i>
      <x v="126"/>
    </i>
    <i>
      <x v="125"/>
    </i>
    <i t="grand">
      <x/>
    </i>
  </rowItems>
  <colItems count="1">
    <i/>
  </colItems>
  <dataFields count="1">
    <dataField name="Sum of Sales" fld="12"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0A7F8-BEB9-4A10-A040-BE0BF2D1E3F3}"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51:B55"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7"/>
  </rowFields>
  <rowItems count="4">
    <i>
      <x v="1"/>
    </i>
    <i>
      <x/>
    </i>
    <i>
      <x v="2"/>
    </i>
    <i t="grand">
      <x/>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1396AF3-6061-4067-8CD8-0EB6BA221AEE}" sourceName="Size">
  <pivotTables>
    <pivotTable tabId="19" name="pivot table"/>
    <pivotTable tabId="19" name="PivotTable2"/>
    <pivotTable tabId="19" name="PivotTable3"/>
  </pivotTables>
  <data>
    <tabular pivotCacheId="7592453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8DE259C-6361-4F2C-AF0C-3C4DFEBDFE3B}" sourceName="Roast Type Name">
  <pivotTables>
    <pivotTable tabId="19" name="pivot table"/>
    <pivotTable tabId="19" name="PivotTable2"/>
    <pivotTable tabId="19" name="PivotTable3"/>
  </pivotTables>
  <data>
    <tabular pivotCacheId="7592453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D16C961-AC4C-4FC3-BA73-961DA242B0AA}" sourceName="Loyalty Card">
  <pivotTables>
    <pivotTable tabId="19" name="pivot table"/>
    <pivotTable tabId="19" name="PivotTable2"/>
    <pivotTable tabId="19" name="PivotTable3"/>
  </pivotTables>
  <data>
    <tabular pivotCacheId="7592453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06D1234-A6BC-474B-941E-F9DE2E7B93FF}" cache="Slicer_Size" caption="Size" columnCount="2" rowHeight="241300"/>
  <slicer name="Roast Type Name 1" xr10:uid="{07187724-F672-40A1-83E5-5BD8E515980C}" cache="Slicer_Roast_Type_Name" caption="Roast Type Name" columnCount="3" rowHeight="241300"/>
  <slicer name="Loyalty Card 1" xr10:uid="{428F0DB7-9B49-4CEA-8F5B-6489C42AF4AA}"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6949A-1013-4DBD-A722-10DF1E013879}" name="worksheet" displayName="worksheet" ref="A1:P1001" totalsRowShown="0" headerRowDxfId="11">
  <autoFilter ref="A1:P1001" xr:uid="{3C56949A-1013-4DBD-A722-10DF1E013879}"/>
  <tableColumns count="16">
    <tableColumn id="1" xr3:uid="{56F47B16-807A-4AE7-968E-761BBB47BFA1}" name="Order ID" dataDxfId="10"/>
    <tableColumn id="2" xr3:uid="{823B81D6-7236-425F-BAE3-D1B0F25200F1}" name="Order Date" dataDxfId="9"/>
    <tableColumn id="3" xr3:uid="{D22233EB-1278-4149-A6AF-B136CBE9F2CE}" name="Customer ID" dataDxfId="8"/>
    <tableColumn id="4" xr3:uid="{8D08A94C-1929-4B34-B157-FAA1BA6B0F58}" name="Product ID"/>
    <tableColumn id="5" xr3:uid="{E8ABAEEF-9882-4436-AECC-F84E3CCD750C}" name="Quantity" dataDxfId="7"/>
    <tableColumn id="6" xr3:uid="{94F37EDA-1BF1-4674-A5D6-92E1188BC15D}" name="Customer Name" dataDxfId="6">
      <calculatedColumnFormula>_xlfn.XLOOKUP(C2,customers!$A$1:$A$1001,customers!$B$1:$B$1001,0)</calculatedColumnFormula>
    </tableColumn>
    <tableColumn id="7" xr3:uid="{0E4FAD8F-69FE-4CFA-A458-7437D92FA468}" name="Email" dataDxfId="5"/>
    <tableColumn id="8" xr3:uid="{6053A9B9-FBEB-41E6-8E09-D38076B959A9}" name="Country" dataDxfId="4">
      <calculatedColumnFormula>_xlfn.XLOOKUP(C2,customers!$A$1:$A$1001,customers!$G$1:$G$1001,0)</calculatedColumnFormula>
    </tableColumn>
    <tableColumn id="9" xr3:uid="{73DA8955-4BED-4ED0-BE05-A1771D79C8B9}" name="Coffee Type">
      <calculatedColumnFormula>_xlfn.XLOOKUP(D2,products!$A$1:$A$49,products!$B$1:$B$49,0)</calculatedColumnFormula>
    </tableColumn>
    <tableColumn id="10" xr3:uid="{898405E1-6F6F-45F1-AD15-41D3CA56FD4F}" name="Roast Type">
      <calculatedColumnFormula>_xlfn.XLOOKUP(worksheet!D2,products!$A$1:$A$49,products!$C$1:$C$49,0)</calculatedColumnFormula>
    </tableColumn>
    <tableColumn id="11" xr3:uid="{DDB1FCFE-4B61-4037-A926-8ED66D5F0D62}" name="Size" dataDxfId="3">
      <calculatedColumnFormula>_xlfn.XLOOKUP(worksheet!D2,products!$A$1:$A$49,products!$D$1:$D$49,0)</calculatedColumnFormula>
    </tableColumn>
    <tableColumn id="12" xr3:uid="{F3A0464C-81C4-4A9F-BEF6-59269668C85A}" name="Unit Price" dataDxfId="2">
      <calculatedColumnFormula>_xlfn.XLOOKUP(worksheet!D2,products!$A$1:$A$49,products!$E$1:$E$49,0)</calculatedColumnFormula>
    </tableColumn>
    <tableColumn id="13" xr3:uid="{C64D21E4-D4A4-44A6-89D0-706CA30B6724}" name="Sales" dataDxfId="1">
      <calculatedColumnFormula>worksheet!E2*worksheet!L2</calculatedColumnFormula>
    </tableColumn>
    <tableColumn id="14" xr3:uid="{647B98A0-8A74-4F8B-BD36-EF76DA76F8B9}" name="Coffee Type Name">
      <calculatedColumnFormula>IF(I2="Rob","Robusta",IF(I2="Exc","Excelsa",IF(I2="Ara","Arabica",IF(I2="Lib","Liberica",""))))</calculatedColumnFormula>
    </tableColumn>
    <tableColumn id="15" xr3:uid="{D4A87D29-5E1F-4E29-88A1-9232C29E3704}" name="Roast Type Name">
      <calculatedColumnFormula>IF(J2="M","Medium",IF(J2="L","Light",IF(J2="D","Dark","")))</calculatedColumnFormula>
    </tableColumn>
    <tableColumn id="16" xr3:uid="{08946DE2-D4D4-45D4-A25F-BC30B206B7D3}" name="Loyalty Card" dataDxfId="0">
      <calculatedColumnFormula>_xlfn.XLOOKUP(worksheet[[#This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777DEF-367E-4343-B7C9-1E2480C28E54}" sourceName="Order Date">
  <pivotTables>
    <pivotTable tabId="19" name="pivot table"/>
    <pivotTable tabId="19" name="PivotTable2"/>
    <pivotTable tabId="19" name="PivotTable3"/>
  </pivotTables>
  <state minimalRefreshVersion="6" lastRefreshVersion="6" pivotCacheId="7592453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8581A18-346D-4B10-904B-1B7BC29783F7}" cache="NativeTimeline_Order_Date" caption="Order Date" level="2" selectionLevel="2" scrollPosition="2019-01-01T00:00:00" style="Purple timeline style"/>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tabSelected="1" zoomScale="115" zoomScaleNormal="115" workbookViewId="0">
      <selection activeCell="C47" sqref="C47"/>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row r="1001" spans="1:8" x14ac:dyDescent="0.2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abSelected="1" topLeftCell="C970" workbookViewId="0">
      <selection activeCell="C47" sqref="C4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C47" sqref="C4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F589-1516-4795-9DF2-CCAB84505EFC}">
  <dimension ref="A1:P1001"/>
  <sheetViews>
    <sheetView topLeftCell="D1" zoomScale="112" zoomScaleNormal="112" workbookViewId="0">
      <selection activeCell="L2" sqref="L2"/>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8.42578125" bestFit="1" customWidth="1"/>
    <col min="12" max="12" width="11.85546875" customWidth="1"/>
    <col min="13" max="13" width="8" bestFit="1" customWidth="1"/>
    <col min="14" max="14" width="19.5703125" customWidth="1"/>
    <col min="15" max="15" width="18.425781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4">
        <v>43713</v>
      </c>
      <c r="C2" s="2" t="s">
        <v>491</v>
      </c>
      <c r="D2" t="s">
        <v>6138</v>
      </c>
      <c r="E2" s="2">
        <v>2</v>
      </c>
      <c r="F2" s="2" t="str">
        <f>_xlfn.XLOOKUP(C2,customers!$A$1:$A$1001,customers!$B$1:$B$1001,0)</f>
        <v>Aloisia Allner</v>
      </c>
      <c r="G2" s="2" t="s">
        <v>493</v>
      </c>
      <c r="H2" s="2" t="str">
        <f>_xlfn.XLOOKUP(C2,customers!$A$1:$A$1001,customers!$G$1:$G$1001,0)</f>
        <v>United States</v>
      </c>
      <c r="I2" t="str">
        <f>_xlfn.XLOOKUP(D2,products!$A$1:$A$49,products!$B$1:$B$49,0)</f>
        <v>Rob</v>
      </c>
      <c r="J2" t="str">
        <f>_xlfn.XLOOKUP(worksheet!D2,products!$A$1:$A$49,products!$C$1:$C$49,0)</f>
        <v>M</v>
      </c>
      <c r="K2" s="5">
        <f>_xlfn.XLOOKUP(worksheet!D2,products!$A$1:$A$49,products!$D$1:$D$49,0)</f>
        <v>1</v>
      </c>
      <c r="L2" s="6">
        <f>_xlfn.XLOOKUP(worksheet!D2,products!$A$1:$A$49,products!$E$1:$E$49,0)</f>
        <v>9.9499999999999993</v>
      </c>
      <c r="M2" s="6">
        <f>worksheet!E2*worksheet!L2</f>
        <v>19.899999999999999</v>
      </c>
      <c r="N2" t="str">
        <f>IF(I2="Rob","Robusta",IF(I2="Exc","Excelsa",IF(I2="Ara","Arabica",IF(I2="Lib","Liberica",""))))</f>
        <v>Robusta</v>
      </c>
      <c r="O2" t="str">
        <f>IF(J2="M","Medium",IF(J2="L","Light",IF(J2="D","Dark","")))</f>
        <v>Medium</v>
      </c>
      <c r="P2" t="str">
        <f>_xlfn.XLOOKUP(worksheet[[#This Row],[Customer ID]],customers!$A$1:$A$1001,customers!$I$1:$I$1001,0)</f>
        <v>Yes</v>
      </c>
    </row>
    <row r="3" spans="1:16" x14ac:dyDescent="0.25">
      <c r="A3" s="2" t="s">
        <v>490</v>
      </c>
      <c r="B3" s="4">
        <v>43713</v>
      </c>
      <c r="C3" s="2" t="s">
        <v>491</v>
      </c>
      <c r="D3" t="s">
        <v>6139</v>
      </c>
      <c r="E3" s="2">
        <v>5</v>
      </c>
      <c r="F3" s="2" t="str">
        <f>_xlfn.XLOOKUP(C3,customers!$A$1:$A$1001,customers!$B$1:$B$1001,0)</f>
        <v>Aloisia Allner</v>
      </c>
      <c r="G3" s="2" t="s">
        <v>493</v>
      </c>
      <c r="H3" s="2" t="str">
        <f>_xlfn.XLOOKUP(C3,customers!$A$1:$A$1001,customers!$G$1:$G$1001,0)</f>
        <v>United States</v>
      </c>
      <c r="I3" t="str">
        <f>_xlfn.XLOOKUP(D3,products!$A$1:$A$49,products!$B$1:$B$49,0)</f>
        <v>Exc</v>
      </c>
      <c r="J3" t="str">
        <f>_xlfn.XLOOKUP(worksheet!D3,products!$A$1:$A$49,products!$C$1:$C$49,0)</f>
        <v>M</v>
      </c>
      <c r="K3" s="5">
        <f>_xlfn.XLOOKUP(worksheet!D3,products!$A$1:$A$49,products!$D$1:$D$49,0)</f>
        <v>0.5</v>
      </c>
      <c r="L3" s="6">
        <f>_xlfn.XLOOKUP(worksheet!D3,products!$A$1:$A$49,products!$E$1:$E$49,0)</f>
        <v>8.25</v>
      </c>
      <c r="M3" s="6">
        <f>worksheet!E3*worksheet!L3</f>
        <v>41.25</v>
      </c>
      <c r="N3" t="str">
        <f t="shared" ref="N3:N66" si="0">IF(I3="Rob","Robusta",IF(I3="Exc","Excelsa",IF(I3="Ara","Arabica",IF(I3="Lib","Liberica",""))))</f>
        <v>Excelsa</v>
      </c>
      <c r="O3" t="str">
        <f t="shared" ref="O3:O66" si="1">IF(J3="M","Medium",IF(J3="L","Light",IF(J3="D","Dark","")))</f>
        <v>Medium</v>
      </c>
      <c r="P3" t="str">
        <f>_xlfn.XLOOKUP(worksheet[[#This Row],[Customer ID]],customers!$A$1:$A$1001,customers!$I$1:$I$1001,0)</f>
        <v>Yes</v>
      </c>
    </row>
    <row r="4" spans="1:16" x14ac:dyDescent="0.25">
      <c r="A4" s="2" t="s">
        <v>501</v>
      </c>
      <c r="B4" s="4">
        <v>44364</v>
      </c>
      <c r="C4" s="2" t="s">
        <v>502</v>
      </c>
      <c r="D4" t="s">
        <v>6140</v>
      </c>
      <c r="E4" s="2">
        <v>1</v>
      </c>
      <c r="F4" s="2" t="str">
        <f>_xlfn.XLOOKUP(C4,customers!$A$1:$A$1001,customers!$B$1:$B$1001,0)</f>
        <v>Jami Redholes</v>
      </c>
      <c r="G4" s="2" t="s">
        <v>504</v>
      </c>
      <c r="H4" s="2" t="str">
        <f>_xlfn.XLOOKUP(C4,customers!$A$1:$A$1001,customers!$G$1:$G$1001,0)</f>
        <v>United States</v>
      </c>
      <c r="I4" t="str">
        <f>_xlfn.XLOOKUP(D4,products!$A$1:$A$49,products!$B$1:$B$49,0)</f>
        <v>Ara</v>
      </c>
      <c r="J4" t="str">
        <f>_xlfn.XLOOKUP(worksheet!D4,products!$A$1:$A$49,products!$C$1:$C$49,0)</f>
        <v>L</v>
      </c>
      <c r="K4" s="5">
        <f>_xlfn.XLOOKUP(worksheet!D4,products!$A$1:$A$49,products!$D$1:$D$49,0)</f>
        <v>1</v>
      </c>
      <c r="L4" s="6">
        <f>_xlfn.XLOOKUP(worksheet!D4,products!$A$1:$A$49,products!$E$1:$E$49,0)</f>
        <v>12.95</v>
      </c>
      <c r="M4" s="6">
        <f>worksheet!E4*worksheet!L4</f>
        <v>12.95</v>
      </c>
      <c r="N4" t="str">
        <f t="shared" si="0"/>
        <v>Arabica</v>
      </c>
      <c r="O4" t="str">
        <f t="shared" si="1"/>
        <v>Light</v>
      </c>
      <c r="P4" t="str">
        <f>_xlfn.XLOOKUP(worksheet[[#This Row],[Customer ID]],customers!$A$1:$A$1001,customers!$I$1:$I$1001,0)</f>
        <v>Yes</v>
      </c>
    </row>
    <row r="5" spans="1:16" x14ac:dyDescent="0.25">
      <c r="A5" s="2" t="s">
        <v>512</v>
      </c>
      <c r="B5" s="4">
        <v>44392</v>
      </c>
      <c r="C5" s="2" t="s">
        <v>513</v>
      </c>
      <c r="D5" t="s">
        <v>6141</v>
      </c>
      <c r="E5" s="2">
        <v>2</v>
      </c>
      <c r="F5" s="2" t="str">
        <f>_xlfn.XLOOKUP(C5,customers!$A$1:$A$1001,customers!$B$1:$B$1001,0)</f>
        <v>Christoffer O' Shea</v>
      </c>
      <c r="G5" s="2" t="s">
        <v>6222</v>
      </c>
      <c r="H5" s="2" t="str">
        <f>_xlfn.XLOOKUP(C5,customers!$A$1:$A$1001,customers!$G$1:$G$1001,0)</f>
        <v>Ireland</v>
      </c>
      <c r="I5" t="str">
        <f>_xlfn.XLOOKUP(D5,products!$A$1:$A$49,products!$B$1:$B$49,0)</f>
        <v>Exc</v>
      </c>
      <c r="J5" t="str">
        <f>_xlfn.XLOOKUP(worksheet!D5,products!$A$1:$A$49,products!$C$1:$C$49,0)</f>
        <v>M</v>
      </c>
      <c r="K5" s="5">
        <f>_xlfn.XLOOKUP(worksheet!D5,products!$A$1:$A$49,products!$D$1:$D$49,0)</f>
        <v>1</v>
      </c>
      <c r="L5" s="6">
        <f>_xlfn.XLOOKUP(worksheet!D5,products!$A$1:$A$49,products!$E$1:$E$49,0)</f>
        <v>13.75</v>
      </c>
      <c r="M5" s="6">
        <f>worksheet!E5*worksheet!L5</f>
        <v>27.5</v>
      </c>
      <c r="N5" t="str">
        <f t="shared" si="0"/>
        <v>Excelsa</v>
      </c>
      <c r="O5" t="str">
        <f t="shared" si="1"/>
        <v>Medium</v>
      </c>
      <c r="P5" t="str">
        <f>_xlfn.XLOOKUP(worksheet[[#This Row],[Customer ID]],customers!$A$1:$A$1001,customers!$I$1:$I$1001,0)</f>
        <v>No</v>
      </c>
    </row>
    <row r="6" spans="1:16" x14ac:dyDescent="0.25">
      <c r="A6" s="2" t="s">
        <v>512</v>
      </c>
      <c r="B6" s="4">
        <v>44392</v>
      </c>
      <c r="C6" s="2" t="s">
        <v>513</v>
      </c>
      <c r="D6" t="s">
        <v>6142</v>
      </c>
      <c r="E6" s="2">
        <v>2</v>
      </c>
      <c r="F6" s="2" t="str">
        <f>_xlfn.XLOOKUP(C6,customers!$A$1:$A$1001,customers!$B$1:$B$1001,0)</f>
        <v>Christoffer O' Shea</v>
      </c>
      <c r="G6" s="2" t="s">
        <v>6222</v>
      </c>
      <c r="H6" s="2" t="str">
        <f>_xlfn.XLOOKUP(C6,customers!$A$1:$A$1001,customers!$G$1:$G$1001,0)</f>
        <v>Ireland</v>
      </c>
      <c r="I6" t="str">
        <f>_xlfn.XLOOKUP(D6,products!$A$1:$A$49,products!$B$1:$B$49,0)</f>
        <v>Rob</v>
      </c>
      <c r="J6" t="str">
        <f>_xlfn.XLOOKUP(worksheet!D6,products!$A$1:$A$49,products!$C$1:$C$49,0)</f>
        <v>L</v>
      </c>
      <c r="K6" s="5">
        <f>_xlfn.XLOOKUP(worksheet!D6,products!$A$1:$A$49,products!$D$1:$D$49,0)</f>
        <v>2.5</v>
      </c>
      <c r="L6" s="6">
        <f>_xlfn.XLOOKUP(worksheet!D6,products!$A$1:$A$49,products!$E$1:$E$49,0)</f>
        <v>27.484999999999996</v>
      </c>
      <c r="M6" s="6">
        <f>worksheet!E6*worksheet!L6</f>
        <v>54.969999999999992</v>
      </c>
      <c r="N6" t="str">
        <f t="shared" si="0"/>
        <v>Robusta</v>
      </c>
      <c r="O6" t="str">
        <f t="shared" si="1"/>
        <v>Light</v>
      </c>
      <c r="P6" t="str">
        <f>_xlfn.XLOOKUP(worksheet[[#This Row],[Customer ID]],customers!$A$1:$A$1001,customers!$I$1:$I$1001,0)</f>
        <v>No</v>
      </c>
    </row>
    <row r="7" spans="1:16" x14ac:dyDescent="0.25">
      <c r="A7" s="2" t="s">
        <v>519</v>
      </c>
      <c r="B7" s="4">
        <v>44412</v>
      </c>
      <c r="C7" s="2" t="s">
        <v>520</v>
      </c>
      <c r="D7" t="s">
        <v>6143</v>
      </c>
      <c r="E7" s="2">
        <v>3</v>
      </c>
      <c r="F7" s="2" t="str">
        <f>_xlfn.XLOOKUP(C7,customers!$A$1:$A$1001,customers!$B$1:$B$1001,0)</f>
        <v>Beryle Cottier</v>
      </c>
      <c r="G7" s="2" t="s">
        <v>6222</v>
      </c>
      <c r="H7" s="2" t="str">
        <f>_xlfn.XLOOKUP(C7,customers!$A$1:$A$1001,customers!$G$1:$G$1001,0)</f>
        <v>United States</v>
      </c>
      <c r="I7" t="str">
        <f>_xlfn.XLOOKUP(D7,products!$A$1:$A$49,products!$B$1:$B$49,0)</f>
        <v>Lib</v>
      </c>
      <c r="J7" t="str">
        <f>_xlfn.XLOOKUP(worksheet!D7,products!$A$1:$A$49,products!$C$1:$C$49,0)</f>
        <v>D</v>
      </c>
      <c r="K7" s="5">
        <f>_xlfn.XLOOKUP(worksheet!D7,products!$A$1:$A$49,products!$D$1:$D$49,0)</f>
        <v>1</v>
      </c>
      <c r="L7" s="6">
        <f>_xlfn.XLOOKUP(worksheet!D7,products!$A$1:$A$49,products!$E$1:$E$49,0)</f>
        <v>12.95</v>
      </c>
      <c r="M7" s="6">
        <f>worksheet!E7*worksheet!L7</f>
        <v>38.849999999999994</v>
      </c>
      <c r="N7" t="str">
        <f t="shared" si="0"/>
        <v>Liberica</v>
      </c>
      <c r="O7" t="str">
        <f t="shared" si="1"/>
        <v>Dark</v>
      </c>
      <c r="P7" t="str">
        <f>_xlfn.XLOOKUP(worksheet[[#This Row],[Customer ID]],customers!$A$1:$A$1001,customers!$I$1:$I$1001,0)</f>
        <v>No</v>
      </c>
    </row>
    <row r="8" spans="1:16" x14ac:dyDescent="0.25">
      <c r="A8" s="2" t="s">
        <v>524</v>
      </c>
      <c r="B8" s="4">
        <v>44582</v>
      </c>
      <c r="C8" s="2" t="s">
        <v>525</v>
      </c>
      <c r="D8" t="s">
        <v>6144</v>
      </c>
      <c r="E8" s="2">
        <v>3</v>
      </c>
      <c r="F8" s="2" t="str">
        <f>_xlfn.XLOOKUP(C8,customers!$A$1:$A$1001,customers!$B$1:$B$1001,0)</f>
        <v>Shaylynn Lobe</v>
      </c>
      <c r="G8" s="2" t="s">
        <v>527</v>
      </c>
      <c r="H8" s="2" t="str">
        <f>_xlfn.XLOOKUP(C8,customers!$A$1:$A$1001,customers!$G$1:$G$1001,0)</f>
        <v>United States</v>
      </c>
      <c r="I8" t="str">
        <f>_xlfn.XLOOKUP(D8,products!$A$1:$A$49,products!$B$1:$B$49,0)</f>
        <v>Exc</v>
      </c>
      <c r="J8" t="str">
        <f>_xlfn.XLOOKUP(worksheet!D8,products!$A$1:$A$49,products!$C$1:$C$49,0)</f>
        <v>D</v>
      </c>
      <c r="K8" s="5">
        <f>_xlfn.XLOOKUP(worksheet!D8,products!$A$1:$A$49,products!$D$1:$D$49,0)</f>
        <v>0.5</v>
      </c>
      <c r="L8" s="6">
        <f>_xlfn.XLOOKUP(worksheet!D8,products!$A$1:$A$49,products!$E$1:$E$49,0)</f>
        <v>7.29</v>
      </c>
      <c r="M8" s="6">
        <f>worksheet!E8*worksheet!L8</f>
        <v>21.87</v>
      </c>
      <c r="N8" t="str">
        <f t="shared" si="0"/>
        <v>Excelsa</v>
      </c>
      <c r="O8" t="str">
        <f t="shared" si="1"/>
        <v>Dark</v>
      </c>
      <c r="P8" t="str">
        <f>_xlfn.XLOOKUP(worksheet[[#This Row],[Customer ID]],customers!$A$1:$A$1001,customers!$I$1:$I$1001,0)</f>
        <v>Yes</v>
      </c>
    </row>
    <row r="9" spans="1:16" x14ac:dyDescent="0.25">
      <c r="A9" s="2" t="s">
        <v>530</v>
      </c>
      <c r="B9" s="4">
        <v>44701</v>
      </c>
      <c r="C9" s="2" t="s">
        <v>531</v>
      </c>
      <c r="D9" t="s">
        <v>6145</v>
      </c>
      <c r="E9" s="2">
        <v>1</v>
      </c>
      <c r="F9" s="2" t="str">
        <f>_xlfn.XLOOKUP(C9,customers!$A$1:$A$1001,customers!$B$1:$B$1001,0)</f>
        <v>Melvin Wharfe</v>
      </c>
      <c r="G9" s="2" t="s">
        <v>6222</v>
      </c>
      <c r="H9" s="2" t="str">
        <f>_xlfn.XLOOKUP(C9,customers!$A$1:$A$1001,customers!$G$1:$G$1001,0)</f>
        <v>Ireland</v>
      </c>
      <c r="I9" t="str">
        <f>_xlfn.XLOOKUP(D9,products!$A$1:$A$49,products!$B$1:$B$49,0)</f>
        <v>Lib</v>
      </c>
      <c r="J9" t="str">
        <f>_xlfn.XLOOKUP(worksheet!D9,products!$A$1:$A$49,products!$C$1:$C$49,0)</f>
        <v>L</v>
      </c>
      <c r="K9" s="5">
        <f>_xlfn.XLOOKUP(worksheet!D9,products!$A$1:$A$49,products!$D$1:$D$49,0)</f>
        <v>0.2</v>
      </c>
      <c r="L9" s="6">
        <f>_xlfn.XLOOKUP(worksheet!D9,products!$A$1:$A$49,products!$E$1:$E$49,0)</f>
        <v>4.7549999999999999</v>
      </c>
      <c r="M9" s="6">
        <f>worksheet!E9*worksheet!L9</f>
        <v>4.7549999999999999</v>
      </c>
      <c r="N9" t="str">
        <f t="shared" si="0"/>
        <v>Liberica</v>
      </c>
      <c r="O9" t="str">
        <f t="shared" si="1"/>
        <v>Light</v>
      </c>
      <c r="P9" t="str">
        <f>_xlfn.XLOOKUP(worksheet[[#This Row],[Customer ID]],customers!$A$1:$A$1001,customers!$I$1:$I$1001,0)</f>
        <v>Yes</v>
      </c>
    </row>
    <row r="10" spans="1:16" x14ac:dyDescent="0.25">
      <c r="A10" s="2" t="s">
        <v>535</v>
      </c>
      <c r="B10" s="4">
        <v>43467</v>
      </c>
      <c r="C10" s="2" t="s">
        <v>536</v>
      </c>
      <c r="D10" t="s">
        <v>6146</v>
      </c>
      <c r="E10" s="2">
        <v>3</v>
      </c>
      <c r="F10" s="2" t="str">
        <f>_xlfn.XLOOKUP(C10,customers!$A$1:$A$1001,customers!$B$1:$B$1001,0)</f>
        <v>Guthrey Petracci</v>
      </c>
      <c r="G10" s="2" t="s">
        <v>538</v>
      </c>
      <c r="H10" s="2" t="str">
        <f>_xlfn.XLOOKUP(C10,customers!$A$1:$A$1001,customers!$G$1:$G$1001,0)</f>
        <v>United States</v>
      </c>
      <c r="I10" t="str">
        <f>_xlfn.XLOOKUP(D10,products!$A$1:$A$49,products!$B$1:$B$49,0)</f>
        <v>Rob</v>
      </c>
      <c r="J10" t="str">
        <f>_xlfn.XLOOKUP(worksheet!D10,products!$A$1:$A$49,products!$C$1:$C$49,0)</f>
        <v>M</v>
      </c>
      <c r="K10" s="5">
        <f>_xlfn.XLOOKUP(worksheet!D10,products!$A$1:$A$49,products!$D$1:$D$49,0)</f>
        <v>0.5</v>
      </c>
      <c r="L10" s="6">
        <f>_xlfn.XLOOKUP(worksheet!D10,products!$A$1:$A$49,products!$E$1:$E$49,0)</f>
        <v>5.97</v>
      </c>
      <c r="M10" s="6">
        <f>worksheet!E10*worksheet!L10</f>
        <v>17.91</v>
      </c>
      <c r="N10" t="str">
        <f t="shared" si="0"/>
        <v>Robusta</v>
      </c>
      <c r="O10" t="str">
        <f t="shared" si="1"/>
        <v>Medium</v>
      </c>
      <c r="P10" t="str">
        <f>_xlfn.XLOOKUP(worksheet[[#This Row],[Customer ID]],customers!$A$1:$A$1001,customers!$I$1:$I$1001,0)</f>
        <v>No</v>
      </c>
    </row>
    <row r="11" spans="1:16" x14ac:dyDescent="0.25">
      <c r="A11" s="2" t="s">
        <v>541</v>
      </c>
      <c r="B11" s="4">
        <v>43713</v>
      </c>
      <c r="C11" s="2" t="s">
        <v>542</v>
      </c>
      <c r="D11" t="s">
        <v>6146</v>
      </c>
      <c r="E11" s="2">
        <v>1</v>
      </c>
      <c r="F11" s="2" t="str">
        <f>_xlfn.XLOOKUP(C11,customers!$A$1:$A$1001,customers!$B$1:$B$1001,0)</f>
        <v>Rodger Raven</v>
      </c>
      <c r="G11" s="2" t="s">
        <v>544</v>
      </c>
      <c r="H11" s="2" t="str">
        <f>_xlfn.XLOOKUP(C11,customers!$A$1:$A$1001,customers!$G$1:$G$1001,0)</f>
        <v>United States</v>
      </c>
      <c r="I11" t="str">
        <f>_xlfn.XLOOKUP(D11,products!$A$1:$A$49,products!$B$1:$B$49,0)</f>
        <v>Rob</v>
      </c>
      <c r="J11" t="str">
        <f>_xlfn.XLOOKUP(worksheet!D11,products!$A$1:$A$49,products!$C$1:$C$49,0)</f>
        <v>M</v>
      </c>
      <c r="K11" s="5">
        <f>_xlfn.XLOOKUP(worksheet!D11,products!$A$1:$A$49,products!$D$1:$D$49,0)</f>
        <v>0.5</v>
      </c>
      <c r="L11" s="6">
        <f>_xlfn.XLOOKUP(worksheet!D11,products!$A$1:$A$49,products!$E$1:$E$49,0)</f>
        <v>5.97</v>
      </c>
      <c r="M11" s="6">
        <f>worksheet!E11*worksheet!L11</f>
        <v>5.97</v>
      </c>
      <c r="N11" t="str">
        <f t="shared" si="0"/>
        <v>Robusta</v>
      </c>
      <c r="O11" t="str">
        <f t="shared" si="1"/>
        <v>Medium</v>
      </c>
      <c r="P11" t="str">
        <f>_xlfn.XLOOKUP(worksheet[[#This Row],[Customer ID]],customers!$A$1:$A$1001,customers!$I$1:$I$1001,0)</f>
        <v>No</v>
      </c>
    </row>
    <row r="12" spans="1:16" x14ac:dyDescent="0.25">
      <c r="A12" s="2" t="s">
        <v>547</v>
      </c>
      <c r="B12" s="4">
        <v>44263</v>
      </c>
      <c r="C12" s="2" t="s">
        <v>548</v>
      </c>
      <c r="D12" t="s">
        <v>6147</v>
      </c>
      <c r="E12" s="2">
        <v>4</v>
      </c>
      <c r="F12" s="2" t="str">
        <f>_xlfn.XLOOKUP(C12,customers!$A$1:$A$1001,customers!$B$1:$B$1001,0)</f>
        <v>Ferrell Ferber</v>
      </c>
      <c r="G12" s="2" t="s">
        <v>550</v>
      </c>
      <c r="H12" s="2" t="str">
        <f>_xlfn.XLOOKUP(C12,customers!$A$1:$A$1001,customers!$G$1:$G$1001,0)</f>
        <v>United States</v>
      </c>
      <c r="I12" t="str">
        <f>_xlfn.XLOOKUP(D12,products!$A$1:$A$49,products!$B$1:$B$49,0)</f>
        <v>Ara</v>
      </c>
      <c r="J12" t="str">
        <f>_xlfn.XLOOKUP(worksheet!D12,products!$A$1:$A$49,products!$C$1:$C$49,0)</f>
        <v>D</v>
      </c>
      <c r="K12" s="5">
        <f>_xlfn.XLOOKUP(worksheet!D12,products!$A$1:$A$49,products!$D$1:$D$49,0)</f>
        <v>1</v>
      </c>
      <c r="L12" s="6">
        <f>_xlfn.XLOOKUP(worksheet!D12,products!$A$1:$A$49,products!$E$1:$E$49,0)</f>
        <v>9.9499999999999993</v>
      </c>
      <c r="M12" s="6">
        <f>worksheet!E12*worksheet!L12</f>
        <v>39.799999999999997</v>
      </c>
      <c r="N12" t="str">
        <f t="shared" si="0"/>
        <v>Arabica</v>
      </c>
      <c r="O12" t="str">
        <f t="shared" si="1"/>
        <v>Dark</v>
      </c>
      <c r="P12" t="str">
        <f>_xlfn.XLOOKUP(worksheet[[#This Row],[Customer ID]],customers!$A$1:$A$1001,customers!$I$1:$I$1001,0)</f>
        <v>No</v>
      </c>
    </row>
    <row r="13" spans="1:16" x14ac:dyDescent="0.25">
      <c r="A13" s="2" t="s">
        <v>553</v>
      </c>
      <c r="B13" s="4">
        <v>44132</v>
      </c>
      <c r="C13" s="2" t="s">
        <v>554</v>
      </c>
      <c r="D13" t="s">
        <v>6148</v>
      </c>
      <c r="E13" s="2">
        <v>5</v>
      </c>
      <c r="F13" s="2" t="str">
        <f>_xlfn.XLOOKUP(C13,customers!$A$1:$A$1001,customers!$B$1:$B$1001,0)</f>
        <v>Duky Phizackerly</v>
      </c>
      <c r="G13" s="2" t="s">
        <v>556</v>
      </c>
      <c r="H13" s="2" t="str">
        <f>_xlfn.XLOOKUP(C13,customers!$A$1:$A$1001,customers!$G$1:$G$1001,0)</f>
        <v>United States</v>
      </c>
      <c r="I13" t="str">
        <f>_xlfn.XLOOKUP(D13,products!$A$1:$A$49,products!$B$1:$B$49,0)</f>
        <v>Exc</v>
      </c>
      <c r="J13" t="str">
        <f>_xlfn.XLOOKUP(worksheet!D13,products!$A$1:$A$49,products!$C$1:$C$49,0)</f>
        <v>L</v>
      </c>
      <c r="K13" s="5">
        <f>_xlfn.XLOOKUP(worksheet!D13,products!$A$1:$A$49,products!$D$1:$D$49,0)</f>
        <v>2.5</v>
      </c>
      <c r="L13" s="6">
        <f>_xlfn.XLOOKUP(worksheet!D13,products!$A$1:$A$49,products!$E$1:$E$49,0)</f>
        <v>34.154999999999994</v>
      </c>
      <c r="M13" s="6">
        <f>worksheet!E13*worksheet!L13</f>
        <v>170.77499999999998</v>
      </c>
      <c r="N13" t="str">
        <f t="shared" si="0"/>
        <v>Excelsa</v>
      </c>
      <c r="O13" t="str">
        <f t="shared" si="1"/>
        <v>Light</v>
      </c>
      <c r="P13" t="str">
        <f>_xlfn.XLOOKUP(worksheet[[#This Row],[Customer ID]],customers!$A$1:$A$1001,customers!$I$1:$I$1001,0)</f>
        <v>Yes</v>
      </c>
    </row>
    <row r="14" spans="1:16" x14ac:dyDescent="0.25">
      <c r="A14" s="2" t="s">
        <v>559</v>
      </c>
      <c r="B14" s="4">
        <v>44744</v>
      </c>
      <c r="C14" s="2" t="s">
        <v>560</v>
      </c>
      <c r="D14" t="s">
        <v>6138</v>
      </c>
      <c r="E14" s="2">
        <v>5</v>
      </c>
      <c r="F14" s="2" t="str">
        <f>_xlfn.XLOOKUP(C14,customers!$A$1:$A$1001,customers!$B$1:$B$1001,0)</f>
        <v>Rosaleen Scholar</v>
      </c>
      <c r="G14" s="2" t="s">
        <v>562</v>
      </c>
      <c r="H14" s="2" t="str">
        <f>_xlfn.XLOOKUP(C14,customers!$A$1:$A$1001,customers!$G$1:$G$1001,0)</f>
        <v>United States</v>
      </c>
      <c r="I14" t="str">
        <f>_xlfn.XLOOKUP(D14,products!$A$1:$A$49,products!$B$1:$B$49,0)</f>
        <v>Rob</v>
      </c>
      <c r="J14" t="str">
        <f>_xlfn.XLOOKUP(worksheet!D14,products!$A$1:$A$49,products!$C$1:$C$49,0)</f>
        <v>M</v>
      </c>
      <c r="K14" s="5">
        <f>_xlfn.XLOOKUP(worksheet!D14,products!$A$1:$A$49,products!$D$1:$D$49,0)</f>
        <v>1</v>
      </c>
      <c r="L14" s="6">
        <f>_xlfn.XLOOKUP(worksheet!D14,products!$A$1:$A$49,products!$E$1:$E$49,0)</f>
        <v>9.9499999999999993</v>
      </c>
      <c r="M14" s="6">
        <f>worksheet!E14*worksheet!L14</f>
        <v>49.75</v>
      </c>
      <c r="N14" t="str">
        <f t="shared" si="0"/>
        <v>Robusta</v>
      </c>
      <c r="O14" t="str">
        <f t="shared" si="1"/>
        <v>Medium</v>
      </c>
      <c r="P14" t="str">
        <f>_xlfn.XLOOKUP(worksheet[[#This Row],[Customer ID]],customers!$A$1:$A$1001,customers!$I$1:$I$1001,0)</f>
        <v>No</v>
      </c>
    </row>
    <row r="15" spans="1:16" x14ac:dyDescent="0.25">
      <c r="A15" s="2" t="s">
        <v>565</v>
      </c>
      <c r="B15" s="4">
        <v>43973</v>
      </c>
      <c r="C15" s="2" t="s">
        <v>566</v>
      </c>
      <c r="D15" t="s">
        <v>6149</v>
      </c>
      <c r="E15" s="2">
        <v>2</v>
      </c>
      <c r="F15" s="2" t="str">
        <f>_xlfn.XLOOKUP(C15,customers!$A$1:$A$1001,customers!$B$1:$B$1001,0)</f>
        <v>Terence Vanyutin</v>
      </c>
      <c r="G15" s="2" t="s">
        <v>568</v>
      </c>
      <c r="H15" s="2" t="str">
        <f>_xlfn.XLOOKUP(C15,customers!$A$1:$A$1001,customers!$G$1:$G$1001,0)</f>
        <v>United States</v>
      </c>
      <c r="I15" t="str">
        <f>_xlfn.XLOOKUP(D15,products!$A$1:$A$49,products!$B$1:$B$49,0)</f>
        <v>Rob</v>
      </c>
      <c r="J15" t="str">
        <f>_xlfn.XLOOKUP(worksheet!D15,products!$A$1:$A$49,products!$C$1:$C$49,0)</f>
        <v>D</v>
      </c>
      <c r="K15" s="5">
        <f>_xlfn.XLOOKUP(worksheet!D15,products!$A$1:$A$49,products!$D$1:$D$49,0)</f>
        <v>2.5</v>
      </c>
      <c r="L15" s="6">
        <f>_xlfn.XLOOKUP(worksheet!D15,products!$A$1:$A$49,products!$E$1:$E$49,0)</f>
        <v>20.584999999999997</v>
      </c>
      <c r="M15" s="6">
        <f>worksheet!E15*worksheet!L15</f>
        <v>41.169999999999995</v>
      </c>
      <c r="N15" t="str">
        <f t="shared" si="0"/>
        <v>Robusta</v>
      </c>
      <c r="O15" t="str">
        <f t="shared" si="1"/>
        <v>Dark</v>
      </c>
      <c r="P15" t="str">
        <f>_xlfn.XLOOKUP(worksheet[[#This Row],[Customer ID]],customers!$A$1:$A$1001,customers!$I$1:$I$1001,0)</f>
        <v>No</v>
      </c>
    </row>
    <row r="16" spans="1:16" x14ac:dyDescent="0.25">
      <c r="A16" s="2" t="s">
        <v>570</v>
      </c>
      <c r="B16" s="4">
        <v>44656</v>
      </c>
      <c r="C16" s="2" t="s">
        <v>571</v>
      </c>
      <c r="D16" t="s">
        <v>6150</v>
      </c>
      <c r="E16" s="2">
        <v>3</v>
      </c>
      <c r="F16" s="2" t="str">
        <f>_xlfn.XLOOKUP(C16,customers!$A$1:$A$1001,customers!$B$1:$B$1001,0)</f>
        <v>Patrice Trobe</v>
      </c>
      <c r="G16" s="2" t="s">
        <v>573</v>
      </c>
      <c r="H16" s="2" t="str">
        <f>_xlfn.XLOOKUP(C16,customers!$A$1:$A$1001,customers!$G$1:$G$1001,0)</f>
        <v>United States</v>
      </c>
      <c r="I16" t="str">
        <f>_xlfn.XLOOKUP(D16,products!$A$1:$A$49,products!$B$1:$B$49,0)</f>
        <v>Lib</v>
      </c>
      <c r="J16" t="str">
        <f>_xlfn.XLOOKUP(worksheet!D16,products!$A$1:$A$49,products!$C$1:$C$49,0)</f>
        <v>D</v>
      </c>
      <c r="K16" s="5">
        <f>_xlfn.XLOOKUP(worksheet!D16,products!$A$1:$A$49,products!$D$1:$D$49,0)</f>
        <v>0.2</v>
      </c>
      <c r="L16" s="6">
        <f>_xlfn.XLOOKUP(worksheet!D16,products!$A$1:$A$49,products!$E$1:$E$49,0)</f>
        <v>3.8849999999999998</v>
      </c>
      <c r="M16" s="6">
        <f>worksheet!E16*worksheet!L16</f>
        <v>11.654999999999999</v>
      </c>
      <c r="N16" t="str">
        <f t="shared" si="0"/>
        <v>Liberica</v>
      </c>
      <c r="O16" t="str">
        <f t="shared" si="1"/>
        <v>Dark</v>
      </c>
      <c r="P16" t="str">
        <f>_xlfn.XLOOKUP(worksheet[[#This Row],[Customer ID]],customers!$A$1:$A$1001,customers!$I$1:$I$1001,0)</f>
        <v>Yes</v>
      </c>
    </row>
    <row r="17" spans="1:16" x14ac:dyDescent="0.25">
      <c r="A17" s="2" t="s">
        <v>576</v>
      </c>
      <c r="B17" s="4">
        <v>44719</v>
      </c>
      <c r="C17" s="2" t="s">
        <v>577</v>
      </c>
      <c r="D17" t="s">
        <v>6151</v>
      </c>
      <c r="E17" s="2">
        <v>5</v>
      </c>
      <c r="F17" s="2" t="str">
        <f>_xlfn.XLOOKUP(C17,customers!$A$1:$A$1001,customers!$B$1:$B$1001,0)</f>
        <v>Llywellyn Oscroft</v>
      </c>
      <c r="G17" s="2" t="s">
        <v>579</v>
      </c>
      <c r="H17" s="2" t="str">
        <f>_xlfn.XLOOKUP(C17,customers!$A$1:$A$1001,customers!$G$1:$G$1001,0)</f>
        <v>United States</v>
      </c>
      <c r="I17" t="str">
        <f>_xlfn.XLOOKUP(D17,products!$A$1:$A$49,products!$B$1:$B$49,0)</f>
        <v>Rob</v>
      </c>
      <c r="J17" t="str">
        <f>_xlfn.XLOOKUP(worksheet!D17,products!$A$1:$A$49,products!$C$1:$C$49,0)</f>
        <v>M</v>
      </c>
      <c r="K17" s="5">
        <f>_xlfn.XLOOKUP(worksheet!D17,products!$A$1:$A$49,products!$D$1:$D$49,0)</f>
        <v>2.5</v>
      </c>
      <c r="L17" s="6">
        <f>_xlfn.XLOOKUP(worksheet!D17,products!$A$1:$A$49,products!$E$1:$E$49,0)</f>
        <v>22.884999999999998</v>
      </c>
      <c r="M17" s="6">
        <f>worksheet!E17*worksheet!L17</f>
        <v>114.42499999999998</v>
      </c>
      <c r="N17" t="str">
        <f t="shared" si="0"/>
        <v>Robusta</v>
      </c>
      <c r="O17" t="str">
        <f t="shared" si="1"/>
        <v>Medium</v>
      </c>
      <c r="P17" t="str">
        <f>_xlfn.XLOOKUP(worksheet[[#This Row],[Customer ID]],customers!$A$1:$A$1001,customers!$I$1:$I$1001,0)</f>
        <v>No</v>
      </c>
    </row>
    <row r="18" spans="1:16" x14ac:dyDescent="0.25">
      <c r="A18" s="2" t="s">
        <v>581</v>
      </c>
      <c r="B18" s="4">
        <v>43544</v>
      </c>
      <c r="C18" s="2" t="s">
        <v>582</v>
      </c>
      <c r="D18" t="s">
        <v>6152</v>
      </c>
      <c r="E18" s="2">
        <v>6</v>
      </c>
      <c r="F18" s="2" t="str">
        <f>_xlfn.XLOOKUP(C18,customers!$A$1:$A$1001,customers!$B$1:$B$1001,0)</f>
        <v>Minni Alabaster</v>
      </c>
      <c r="G18" s="2" t="s">
        <v>584</v>
      </c>
      <c r="H18" s="2" t="str">
        <f>_xlfn.XLOOKUP(C18,customers!$A$1:$A$1001,customers!$G$1:$G$1001,0)</f>
        <v>United States</v>
      </c>
      <c r="I18" t="str">
        <f>_xlfn.XLOOKUP(D18,products!$A$1:$A$49,products!$B$1:$B$49,0)</f>
        <v>Ara</v>
      </c>
      <c r="J18" t="str">
        <f>_xlfn.XLOOKUP(worksheet!D18,products!$A$1:$A$49,products!$C$1:$C$49,0)</f>
        <v>M</v>
      </c>
      <c r="K18" s="5">
        <f>_xlfn.XLOOKUP(worksheet!D18,products!$A$1:$A$49,products!$D$1:$D$49,0)</f>
        <v>0.2</v>
      </c>
      <c r="L18" s="6">
        <f>_xlfn.XLOOKUP(worksheet!D18,products!$A$1:$A$49,products!$E$1:$E$49,0)</f>
        <v>3.375</v>
      </c>
      <c r="M18" s="6">
        <f>worksheet!E18*worksheet!L18</f>
        <v>20.25</v>
      </c>
      <c r="N18" t="str">
        <f t="shared" si="0"/>
        <v>Arabica</v>
      </c>
      <c r="O18" t="str">
        <f t="shared" si="1"/>
        <v>Medium</v>
      </c>
      <c r="P18" t="str">
        <f>_xlfn.XLOOKUP(worksheet[[#This Row],[Customer ID]],customers!$A$1:$A$1001,customers!$I$1:$I$1001,0)</f>
        <v>No</v>
      </c>
    </row>
    <row r="19" spans="1:16" x14ac:dyDescent="0.25">
      <c r="A19" s="2" t="s">
        <v>587</v>
      </c>
      <c r="B19" s="4">
        <v>43757</v>
      </c>
      <c r="C19" s="2" t="s">
        <v>588</v>
      </c>
      <c r="D19" t="s">
        <v>6140</v>
      </c>
      <c r="E19" s="2">
        <v>6</v>
      </c>
      <c r="F19" s="2" t="str">
        <f>_xlfn.XLOOKUP(C19,customers!$A$1:$A$1001,customers!$B$1:$B$1001,0)</f>
        <v>Rhianon Broxup</v>
      </c>
      <c r="G19" s="2" t="s">
        <v>590</v>
      </c>
      <c r="H19" s="2" t="str">
        <f>_xlfn.XLOOKUP(C19,customers!$A$1:$A$1001,customers!$G$1:$G$1001,0)</f>
        <v>United States</v>
      </c>
      <c r="I19" t="str">
        <f>_xlfn.XLOOKUP(D19,products!$A$1:$A$49,products!$B$1:$B$49,0)</f>
        <v>Ara</v>
      </c>
      <c r="J19" t="str">
        <f>_xlfn.XLOOKUP(worksheet!D19,products!$A$1:$A$49,products!$C$1:$C$49,0)</f>
        <v>L</v>
      </c>
      <c r="K19" s="5">
        <f>_xlfn.XLOOKUP(worksheet!D19,products!$A$1:$A$49,products!$D$1:$D$49,0)</f>
        <v>1</v>
      </c>
      <c r="L19" s="6">
        <f>_xlfn.XLOOKUP(worksheet!D19,products!$A$1:$A$49,products!$E$1:$E$49,0)</f>
        <v>12.95</v>
      </c>
      <c r="M19" s="6">
        <f>worksheet!E19*worksheet!L19</f>
        <v>77.699999999999989</v>
      </c>
      <c r="N19" t="str">
        <f t="shared" si="0"/>
        <v>Arabica</v>
      </c>
      <c r="O19" t="str">
        <f t="shared" si="1"/>
        <v>Light</v>
      </c>
      <c r="P19" t="str">
        <f>_xlfn.XLOOKUP(worksheet[[#This Row],[Customer ID]],customers!$A$1:$A$1001,customers!$I$1:$I$1001,0)</f>
        <v>No</v>
      </c>
    </row>
    <row r="20" spans="1:16" x14ac:dyDescent="0.25">
      <c r="A20" s="2" t="s">
        <v>593</v>
      </c>
      <c r="B20" s="4">
        <v>43629</v>
      </c>
      <c r="C20" s="2" t="s">
        <v>594</v>
      </c>
      <c r="D20" t="s">
        <v>6149</v>
      </c>
      <c r="E20" s="2">
        <v>4</v>
      </c>
      <c r="F20" s="2" t="str">
        <f>_xlfn.XLOOKUP(C20,customers!$A$1:$A$1001,customers!$B$1:$B$1001,0)</f>
        <v>Pall Redford</v>
      </c>
      <c r="G20" s="2" t="s">
        <v>596</v>
      </c>
      <c r="H20" s="2" t="str">
        <f>_xlfn.XLOOKUP(C20,customers!$A$1:$A$1001,customers!$G$1:$G$1001,0)</f>
        <v>Ireland</v>
      </c>
      <c r="I20" t="str">
        <f>_xlfn.XLOOKUP(D20,products!$A$1:$A$49,products!$B$1:$B$49,0)</f>
        <v>Rob</v>
      </c>
      <c r="J20" t="str">
        <f>_xlfn.XLOOKUP(worksheet!D20,products!$A$1:$A$49,products!$C$1:$C$49,0)</f>
        <v>D</v>
      </c>
      <c r="K20" s="5">
        <f>_xlfn.XLOOKUP(worksheet!D20,products!$A$1:$A$49,products!$D$1:$D$49,0)</f>
        <v>2.5</v>
      </c>
      <c r="L20" s="6">
        <f>_xlfn.XLOOKUP(worksheet!D20,products!$A$1:$A$49,products!$E$1:$E$49,0)</f>
        <v>20.584999999999997</v>
      </c>
      <c r="M20" s="6">
        <f>worksheet!E20*worksheet!L20</f>
        <v>82.339999999999989</v>
      </c>
      <c r="N20" t="str">
        <f t="shared" si="0"/>
        <v>Robusta</v>
      </c>
      <c r="O20" t="str">
        <f t="shared" si="1"/>
        <v>Dark</v>
      </c>
      <c r="P20" t="str">
        <f>_xlfn.XLOOKUP(worksheet[[#This Row],[Customer ID]],customers!$A$1:$A$1001,customers!$I$1:$I$1001,0)</f>
        <v>Yes</v>
      </c>
    </row>
    <row r="21" spans="1:16" x14ac:dyDescent="0.25">
      <c r="A21" s="2" t="s">
        <v>598</v>
      </c>
      <c r="B21" s="4">
        <v>44169</v>
      </c>
      <c r="C21" s="2" t="s">
        <v>599</v>
      </c>
      <c r="D21" t="s">
        <v>6152</v>
      </c>
      <c r="E21" s="2">
        <v>5</v>
      </c>
      <c r="F21" s="2" t="str">
        <f>_xlfn.XLOOKUP(C21,customers!$A$1:$A$1001,customers!$B$1:$B$1001,0)</f>
        <v>Aurea Corradino</v>
      </c>
      <c r="G21" s="2" t="s">
        <v>601</v>
      </c>
      <c r="H21" s="2" t="str">
        <f>_xlfn.XLOOKUP(C21,customers!$A$1:$A$1001,customers!$G$1:$G$1001,0)</f>
        <v>United States</v>
      </c>
      <c r="I21" t="str">
        <f>_xlfn.XLOOKUP(D21,products!$A$1:$A$49,products!$B$1:$B$49,0)</f>
        <v>Ara</v>
      </c>
      <c r="J21" t="str">
        <f>_xlfn.XLOOKUP(worksheet!D21,products!$A$1:$A$49,products!$C$1:$C$49,0)</f>
        <v>M</v>
      </c>
      <c r="K21" s="5">
        <f>_xlfn.XLOOKUP(worksheet!D21,products!$A$1:$A$49,products!$D$1:$D$49,0)</f>
        <v>0.2</v>
      </c>
      <c r="L21" s="6">
        <f>_xlfn.XLOOKUP(worksheet!D21,products!$A$1:$A$49,products!$E$1:$E$49,0)</f>
        <v>3.375</v>
      </c>
      <c r="M21" s="6">
        <f>worksheet!E21*worksheet!L21</f>
        <v>16.875</v>
      </c>
      <c r="N21" t="str">
        <f t="shared" si="0"/>
        <v>Arabica</v>
      </c>
      <c r="O21" t="str">
        <f t="shared" si="1"/>
        <v>Medium</v>
      </c>
      <c r="P21" t="str">
        <f>_xlfn.XLOOKUP(worksheet[[#This Row],[Customer ID]],customers!$A$1:$A$1001,customers!$I$1:$I$1001,0)</f>
        <v>Yes</v>
      </c>
    </row>
    <row r="22" spans="1:16" x14ac:dyDescent="0.25">
      <c r="A22" s="2" t="s">
        <v>598</v>
      </c>
      <c r="B22" s="4">
        <v>44169</v>
      </c>
      <c r="C22" s="2" t="s">
        <v>599</v>
      </c>
      <c r="D22" t="s">
        <v>6153</v>
      </c>
      <c r="E22" s="2">
        <v>4</v>
      </c>
      <c r="F22" s="2" t="str">
        <f>_xlfn.XLOOKUP(C22,customers!$A$1:$A$1001,customers!$B$1:$B$1001,0)</f>
        <v>Aurea Corradino</v>
      </c>
      <c r="G22" s="2" t="s">
        <v>601</v>
      </c>
      <c r="H22" s="2" t="str">
        <f>_xlfn.XLOOKUP(C22,customers!$A$1:$A$1001,customers!$G$1:$G$1001,0)</f>
        <v>United States</v>
      </c>
      <c r="I22" t="str">
        <f>_xlfn.XLOOKUP(D22,products!$A$1:$A$49,products!$B$1:$B$49,0)</f>
        <v>Exc</v>
      </c>
      <c r="J22" t="str">
        <f>_xlfn.XLOOKUP(worksheet!D22,products!$A$1:$A$49,products!$C$1:$C$49,0)</f>
        <v>D</v>
      </c>
      <c r="K22" s="5">
        <f>_xlfn.XLOOKUP(worksheet!D22,products!$A$1:$A$49,products!$D$1:$D$49,0)</f>
        <v>0.2</v>
      </c>
      <c r="L22" s="6">
        <f>_xlfn.XLOOKUP(worksheet!D22,products!$A$1:$A$49,products!$E$1:$E$49,0)</f>
        <v>3.645</v>
      </c>
      <c r="M22" s="6">
        <f>worksheet!E22*worksheet!L22</f>
        <v>14.58</v>
      </c>
      <c r="N22" t="str">
        <f t="shared" si="0"/>
        <v>Excelsa</v>
      </c>
      <c r="O22" t="str">
        <f t="shared" si="1"/>
        <v>Dark</v>
      </c>
      <c r="P22" t="str">
        <f>_xlfn.XLOOKUP(worksheet[[#This Row],[Customer ID]],customers!$A$1:$A$1001,customers!$I$1:$I$1001,0)</f>
        <v>Yes</v>
      </c>
    </row>
    <row r="23" spans="1:16" x14ac:dyDescent="0.25">
      <c r="A23" s="2" t="s">
        <v>608</v>
      </c>
      <c r="B23" s="4">
        <v>44169</v>
      </c>
      <c r="C23" s="2" t="s">
        <v>609</v>
      </c>
      <c r="D23" t="s">
        <v>6154</v>
      </c>
      <c r="E23" s="2">
        <v>6</v>
      </c>
      <c r="F23" s="2" t="str">
        <f>_xlfn.XLOOKUP(C23,customers!$A$1:$A$1001,customers!$B$1:$B$1001,0)</f>
        <v>Avrit Davidowsky</v>
      </c>
      <c r="G23" s="2" t="s">
        <v>611</v>
      </c>
      <c r="H23" s="2" t="str">
        <f>_xlfn.XLOOKUP(C23,customers!$A$1:$A$1001,customers!$G$1:$G$1001,0)</f>
        <v>United States</v>
      </c>
      <c r="I23" t="str">
        <f>_xlfn.XLOOKUP(D23,products!$A$1:$A$49,products!$B$1:$B$49,0)</f>
        <v>Ara</v>
      </c>
      <c r="J23" t="str">
        <f>_xlfn.XLOOKUP(worksheet!D23,products!$A$1:$A$49,products!$C$1:$C$49,0)</f>
        <v>D</v>
      </c>
      <c r="K23" s="5">
        <f>_xlfn.XLOOKUP(worksheet!D23,products!$A$1:$A$49,products!$D$1:$D$49,0)</f>
        <v>0.2</v>
      </c>
      <c r="L23" s="6">
        <f>_xlfn.XLOOKUP(worksheet!D23,products!$A$1:$A$49,products!$E$1:$E$49,0)</f>
        <v>2.9849999999999999</v>
      </c>
      <c r="M23" s="6">
        <f>worksheet!E23*worksheet!L23</f>
        <v>17.91</v>
      </c>
      <c r="N23" t="str">
        <f t="shared" si="0"/>
        <v>Arabica</v>
      </c>
      <c r="O23" t="str">
        <f t="shared" si="1"/>
        <v>Dark</v>
      </c>
      <c r="P23" t="str">
        <f>_xlfn.XLOOKUP(worksheet[[#This Row],[Customer ID]],customers!$A$1:$A$1001,customers!$I$1:$I$1001,0)</f>
        <v>No</v>
      </c>
    </row>
    <row r="24" spans="1:16" x14ac:dyDescent="0.25">
      <c r="A24" s="2" t="s">
        <v>614</v>
      </c>
      <c r="B24" s="4">
        <v>44218</v>
      </c>
      <c r="C24" s="2" t="s">
        <v>615</v>
      </c>
      <c r="D24" t="s">
        <v>6151</v>
      </c>
      <c r="E24" s="2">
        <v>4</v>
      </c>
      <c r="F24" s="2" t="str">
        <f>_xlfn.XLOOKUP(C24,customers!$A$1:$A$1001,customers!$B$1:$B$1001,0)</f>
        <v>Annabel Antuk</v>
      </c>
      <c r="G24" s="2" t="s">
        <v>617</v>
      </c>
      <c r="H24" s="2" t="str">
        <f>_xlfn.XLOOKUP(C24,customers!$A$1:$A$1001,customers!$G$1:$G$1001,0)</f>
        <v>United States</v>
      </c>
      <c r="I24" t="str">
        <f>_xlfn.XLOOKUP(D24,products!$A$1:$A$49,products!$B$1:$B$49,0)</f>
        <v>Rob</v>
      </c>
      <c r="J24" t="str">
        <f>_xlfn.XLOOKUP(worksheet!D24,products!$A$1:$A$49,products!$C$1:$C$49,0)</f>
        <v>M</v>
      </c>
      <c r="K24" s="5">
        <f>_xlfn.XLOOKUP(worksheet!D24,products!$A$1:$A$49,products!$D$1:$D$49,0)</f>
        <v>2.5</v>
      </c>
      <c r="L24" s="6">
        <f>_xlfn.XLOOKUP(worksheet!D24,products!$A$1:$A$49,products!$E$1:$E$49,0)</f>
        <v>22.884999999999998</v>
      </c>
      <c r="M24" s="6">
        <f>worksheet!E24*worksheet!L24</f>
        <v>91.539999999999992</v>
      </c>
      <c r="N24" t="str">
        <f t="shared" si="0"/>
        <v>Robusta</v>
      </c>
      <c r="O24" t="str">
        <f t="shared" si="1"/>
        <v>Medium</v>
      </c>
      <c r="P24" t="str">
        <f>_xlfn.XLOOKUP(worksheet[[#This Row],[Customer ID]],customers!$A$1:$A$1001,customers!$I$1:$I$1001,0)</f>
        <v>Yes</v>
      </c>
    </row>
    <row r="25" spans="1:16" x14ac:dyDescent="0.25">
      <c r="A25" s="2" t="s">
        <v>620</v>
      </c>
      <c r="B25" s="4">
        <v>44603</v>
      </c>
      <c r="C25" s="2" t="s">
        <v>621</v>
      </c>
      <c r="D25" t="s">
        <v>6154</v>
      </c>
      <c r="E25" s="2">
        <v>4</v>
      </c>
      <c r="F25" s="2" t="str">
        <f>_xlfn.XLOOKUP(C25,customers!$A$1:$A$1001,customers!$B$1:$B$1001,0)</f>
        <v>Iorgo Kleinert</v>
      </c>
      <c r="G25" s="2" t="s">
        <v>623</v>
      </c>
      <c r="H25" s="2" t="str">
        <f>_xlfn.XLOOKUP(C25,customers!$A$1:$A$1001,customers!$G$1:$G$1001,0)</f>
        <v>United States</v>
      </c>
      <c r="I25" t="str">
        <f>_xlfn.XLOOKUP(D25,products!$A$1:$A$49,products!$B$1:$B$49,0)</f>
        <v>Ara</v>
      </c>
      <c r="J25" t="str">
        <f>_xlfn.XLOOKUP(worksheet!D25,products!$A$1:$A$49,products!$C$1:$C$49,0)</f>
        <v>D</v>
      </c>
      <c r="K25" s="5">
        <f>_xlfn.XLOOKUP(worksheet!D25,products!$A$1:$A$49,products!$D$1:$D$49,0)</f>
        <v>0.2</v>
      </c>
      <c r="L25" s="6">
        <f>_xlfn.XLOOKUP(worksheet!D25,products!$A$1:$A$49,products!$E$1:$E$49,0)</f>
        <v>2.9849999999999999</v>
      </c>
      <c r="M25" s="6">
        <f>worksheet!E25*worksheet!L25</f>
        <v>11.94</v>
      </c>
      <c r="N25" t="str">
        <f t="shared" si="0"/>
        <v>Arabica</v>
      </c>
      <c r="O25" t="str">
        <f t="shared" si="1"/>
        <v>Dark</v>
      </c>
      <c r="P25" t="str">
        <f>_xlfn.XLOOKUP(worksheet[[#This Row],[Customer ID]],customers!$A$1:$A$1001,customers!$I$1:$I$1001,0)</f>
        <v>Yes</v>
      </c>
    </row>
    <row r="26" spans="1:16" x14ac:dyDescent="0.25">
      <c r="A26" s="2" t="s">
        <v>626</v>
      </c>
      <c r="B26" s="4">
        <v>44454</v>
      </c>
      <c r="C26" s="2" t="s">
        <v>627</v>
      </c>
      <c r="D26" t="s">
        <v>6155</v>
      </c>
      <c r="E26" s="2">
        <v>1</v>
      </c>
      <c r="F26" s="2" t="str">
        <f>_xlfn.XLOOKUP(C26,customers!$A$1:$A$1001,customers!$B$1:$B$1001,0)</f>
        <v>Chrisy Blofeld</v>
      </c>
      <c r="G26" s="2" t="s">
        <v>629</v>
      </c>
      <c r="H26" s="2" t="str">
        <f>_xlfn.XLOOKUP(C26,customers!$A$1:$A$1001,customers!$G$1:$G$1001,0)</f>
        <v>United States</v>
      </c>
      <c r="I26" t="str">
        <f>_xlfn.XLOOKUP(D26,products!$A$1:$A$49,products!$B$1:$B$49,0)</f>
        <v>Ara</v>
      </c>
      <c r="J26" t="str">
        <f>_xlfn.XLOOKUP(worksheet!D26,products!$A$1:$A$49,products!$C$1:$C$49,0)</f>
        <v>M</v>
      </c>
      <c r="K26" s="5">
        <f>_xlfn.XLOOKUP(worksheet!D26,products!$A$1:$A$49,products!$D$1:$D$49,0)</f>
        <v>1</v>
      </c>
      <c r="L26" s="6">
        <f>_xlfn.XLOOKUP(worksheet!D26,products!$A$1:$A$49,products!$E$1:$E$49,0)</f>
        <v>11.25</v>
      </c>
      <c r="M26" s="6">
        <f>worksheet!E26*worksheet!L26</f>
        <v>11.25</v>
      </c>
      <c r="N26" t="str">
        <f t="shared" si="0"/>
        <v>Arabica</v>
      </c>
      <c r="O26" t="str">
        <f t="shared" si="1"/>
        <v>Medium</v>
      </c>
      <c r="P26" t="str">
        <f>_xlfn.XLOOKUP(worksheet[[#This Row],[Customer ID]],customers!$A$1:$A$1001,customers!$I$1:$I$1001,0)</f>
        <v>No</v>
      </c>
    </row>
    <row r="27" spans="1:16" x14ac:dyDescent="0.25">
      <c r="A27" s="2" t="s">
        <v>632</v>
      </c>
      <c r="B27" s="4">
        <v>44128</v>
      </c>
      <c r="C27" s="2" t="s">
        <v>633</v>
      </c>
      <c r="D27" t="s">
        <v>6156</v>
      </c>
      <c r="E27" s="2">
        <v>3</v>
      </c>
      <c r="F27" s="2" t="str">
        <f>_xlfn.XLOOKUP(C27,customers!$A$1:$A$1001,customers!$B$1:$B$1001,0)</f>
        <v>Culley Farris</v>
      </c>
      <c r="G27" s="2" t="s">
        <v>6222</v>
      </c>
      <c r="H27" s="2" t="str">
        <f>_xlfn.XLOOKUP(C27,customers!$A$1:$A$1001,customers!$G$1:$G$1001,0)</f>
        <v>United States</v>
      </c>
      <c r="I27" t="str">
        <f>_xlfn.XLOOKUP(D27,products!$A$1:$A$49,products!$B$1:$B$49,0)</f>
        <v>Exc</v>
      </c>
      <c r="J27" t="str">
        <f>_xlfn.XLOOKUP(worksheet!D27,products!$A$1:$A$49,products!$C$1:$C$49,0)</f>
        <v>M</v>
      </c>
      <c r="K27" s="5">
        <f>_xlfn.XLOOKUP(worksheet!D27,products!$A$1:$A$49,products!$D$1:$D$49,0)</f>
        <v>0.2</v>
      </c>
      <c r="L27" s="6">
        <f>_xlfn.XLOOKUP(worksheet!D27,products!$A$1:$A$49,products!$E$1:$E$49,0)</f>
        <v>4.125</v>
      </c>
      <c r="M27" s="6">
        <f>worksheet!E27*worksheet!L27</f>
        <v>12.375</v>
      </c>
      <c r="N27" t="str">
        <f t="shared" si="0"/>
        <v>Excelsa</v>
      </c>
      <c r="O27" t="str">
        <f t="shared" si="1"/>
        <v>Medium</v>
      </c>
      <c r="P27" t="str">
        <f>_xlfn.XLOOKUP(worksheet[[#This Row],[Customer ID]],customers!$A$1:$A$1001,customers!$I$1:$I$1001,0)</f>
        <v>Yes</v>
      </c>
    </row>
    <row r="28" spans="1:16" x14ac:dyDescent="0.25">
      <c r="A28" s="2" t="s">
        <v>637</v>
      </c>
      <c r="B28" s="4">
        <v>43516</v>
      </c>
      <c r="C28" s="2" t="s">
        <v>638</v>
      </c>
      <c r="D28" t="s">
        <v>6157</v>
      </c>
      <c r="E28" s="2">
        <v>4</v>
      </c>
      <c r="F28" s="2" t="str">
        <f>_xlfn.XLOOKUP(C28,customers!$A$1:$A$1001,customers!$B$1:$B$1001,0)</f>
        <v>Selene Shales</v>
      </c>
      <c r="G28" s="2" t="s">
        <v>640</v>
      </c>
      <c r="H28" s="2" t="str">
        <f>_xlfn.XLOOKUP(C28,customers!$A$1:$A$1001,customers!$G$1:$G$1001,0)</f>
        <v>United States</v>
      </c>
      <c r="I28" t="str">
        <f>_xlfn.XLOOKUP(D28,products!$A$1:$A$49,products!$B$1:$B$49,0)</f>
        <v>Ara</v>
      </c>
      <c r="J28" t="str">
        <f>_xlfn.XLOOKUP(worksheet!D28,products!$A$1:$A$49,products!$C$1:$C$49,0)</f>
        <v>M</v>
      </c>
      <c r="K28" s="5">
        <f>_xlfn.XLOOKUP(worksheet!D28,products!$A$1:$A$49,products!$D$1:$D$49,0)</f>
        <v>0.5</v>
      </c>
      <c r="L28" s="6">
        <f>_xlfn.XLOOKUP(worksheet!D28,products!$A$1:$A$49,products!$E$1:$E$49,0)</f>
        <v>6.75</v>
      </c>
      <c r="M28" s="6">
        <f>worksheet!E28*worksheet!L28</f>
        <v>27</v>
      </c>
      <c r="N28" t="str">
        <f t="shared" si="0"/>
        <v>Arabica</v>
      </c>
      <c r="O28" t="str">
        <f t="shared" si="1"/>
        <v>Medium</v>
      </c>
      <c r="P28" t="str">
        <f>_xlfn.XLOOKUP(worksheet[[#This Row],[Customer ID]],customers!$A$1:$A$1001,customers!$I$1:$I$1001,0)</f>
        <v>Yes</v>
      </c>
    </row>
    <row r="29" spans="1:16" x14ac:dyDescent="0.25">
      <c r="A29" s="2" t="s">
        <v>643</v>
      </c>
      <c r="B29" s="4">
        <v>43746</v>
      </c>
      <c r="C29" s="2" t="s">
        <v>644</v>
      </c>
      <c r="D29" t="s">
        <v>6152</v>
      </c>
      <c r="E29" s="2">
        <v>5</v>
      </c>
      <c r="F29" s="2" t="str">
        <f>_xlfn.XLOOKUP(C29,customers!$A$1:$A$1001,customers!$B$1:$B$1001,0)</f>
        <v>Vivie Danneil</v>
      </c>
      <c r="G29" s="2" t="s">
        <v>646</v>
      </c>
      <c r="H29" s="2" t="str">
        <f>_xlfn.XLOOKUP(C29,customers!$A$1:$A$1001,customers!$G$1:$G$1001,0)</f>
        <v>Ireland</v>
      </c>
      <c r="I29" t="str">
        <f>_xlfn.XLOOKUP(D29,products!$A$1:$A$49,products!$B$1:$B$49,0)</f>
        <v>Ara</v>
      </c>
      <c r="J29" t="str">
        <f>_xlfn.XLOOKUP(worksheet!D29,products!$A$1:$A$49,products!$C$1:$C$49,0)</f>
        <v>M</v>
      </c>
      <c r="K29" s="5">
        <f>_xlfn.XLOOKUP(worksheet!D29,products!$A$1:$A$49,products!$D$1:$D$49,0)</f>
        <v>0.2</v>
      </c>
      <c r="L29" s="6">
        <f>_xlfn.XLOOKUP(worksheet!D29,products!$A$1:$A$49,products!$E$1:$E$49,0)</f>
        <v>3.375</v>
      </c>
      <c r="M29" s="6">
        <f>worksheet!E29*worksheet!L29</f>
        <v>16.875</v>
      </c>
      <c r="N29" t="str">
        <f t="shared" si="0"/>
        <v>Arabica</v>
      </c>
      <c r="O29" t="str">
        <f t="shared" si="1"/>
        <v>Medium</v>
      </c>
      <c r="P29" t="str">
        <f>_xlfn.XLOOKUP(worksheet[[#This Row],[Customer ID]],customers!$A$1:$A$1001,customers!$I$1:$I$1001,0)</f>
        <v>No</v>
      </c>
    </row>
    <row r="30" spans="1:16" x14ac:dyDescent="0.25">
      <c r="A30" s="2" t="s">
        <v>649</v>
      </c>
      <c r="B30" s="4">
        <v>44775</v>
      </c>
      <c r="C30" s="2" t="s">
        <v>650</v>
      </c>
      <c r="D30" t="s">
        <v>6158</v>
      </c>
      <c r="E30" s="2">
        <v>3</v>
      </c>
      <c r="F30" s="2" t="str">
        <f>_xlfn.XLOOKUP(C30,customers!$A$1:$A$1001,customers!$B$1:$B$1001,0)</f>
        <v>Theresita Newbury</v>
      </c>
      <c r="G30" s="2" t="s">
        <v>652</v>
      </c>
      <c r="H30" s="2" t="str">
        <f>_xlfn.XLOOKUP(C30,customers!$A$1:$A$1001,customers!$G$1:$G$1001,0)</f>
        <v>Ireland</v>
      </c>
      <c r="I30" t="str">
        <f>_xlfn.XLOOKUP(D30,products!$A$1:$A$49,products!$B$1:$B$49,0)</f>
        <v>Ara</v>
      </c>
      <c r="J30" t="str">
        <f>_xlfn.XLOOKUP(worksheet!D30,products!$A$1:$A$49,products!$C$1:$C$49,0)</f>
        <v>D</v>
      </c>
      <c r="K30" s="5">
        <f>_xlfn.XLOOKUP(worksheet!D30,products!$A$1:$A$49,products!$D$1:$D$49,0)</f>
        <v>0.5</v>
      </c>
      <c r="L30" s="6">
        <f>_xlfn.XLOOKUP(worksheet!D30,products!$A$1:$A$49,products!$E$1:$E$49,0)</f>
        <v>5.97</v>
      </c>
      <c r="M30" s="6">
        <f>worksheet!E30*worksheet!L30</f>
        <v>17.91</v>
      </c>
      <c r="N30" t="str">
        <f t="shared" si="0"/>
        <v>Arabica</v>
      </c>
      <c r="O30" t="str">
        <f t="shared" si="1"/>
        <v>Dark</v>
      </c>
      <c r="P30" t="str">
        <f>_xlfn.XLOOKUP(worksheet[[#This Row],[Customer ID]],customers!$A$1:$A$1001,customers!$I$1:$I$1001,0)</f>
        <v>No</v>
      </c>
    </row>
    <row r="31" spans="1:16" x14ac:dyDescent="0.25">
      <c r="A31" s="2" t="s">
        <v>655</v>
      </c>
      <c r="B31" s="4">
        <v>43516</v>
      </c>
      <c r="C31" s="2" t="s">
        <v>656</v>
      </c>
      <c r="D31" t="s">
        <v>6147</v>
      </c>
      <c r="E31" s="2">
        <v>4</v>
      </c>
      <c r="F31" s="2" t="str">
        <f>_xlfn.XLOOKUP(C31,customers!$A$1:$A$1001,customers!$B$1:$B$1001,0)</f>
        <v>Mozelle Calcutt</v>
      </c>
      <c r="G31" s="2" t="s">
        <v>658</v>
      </c>
      <c r="H31" s="2" t="str">
        <f>_xlfn.XLOOKUP(C31,customers!$A$1:$A$1001,customers!$G$1:$G$1001,0)</f>
        <v>Ireland</v>
      </c>
      <c r="I31" t="str">
        <f>_xlfn.XLOOKUP(D31,products!$A$1:$A$49,products!$B$1:$B$49,0)</f>
        <v>Ara</v>
      </c>
      <c r="J31" t="str">
        <f>_xlfn.XLOOKUP(worksheet!D31,products!$A$1:$A$49,products!$C$1:$C$49,0)</f>
        <v>D</v>
      </c>
      <c r="K31" s="5">
        <f>_xlfn.XLOOKUP(worksheet!D31,products!$A$1:$A$49,products!$D$1:$D$49,0)</f>
        <v>1</v>
      </c>
      <c r="L31" s="6">
        <f>_xlfn.XLOOKUP(worksheet!D31,products!$A$1:$A$49,products!$E$1:$E$49,0)</f>
        <v>9.9499999999999993</v>
      </c>
      <c r="M31" s="6">
        <f>worksheet!E31*worksheet!L31</f>
        <v>39.799999999999997</v>
      </c>
      <c r="N31" t="str">
        <f t="shared" si="0"/>
        <v>Arabica</v>
      </c>
      <c r="O31" t="str">
        <f t="shared" si="1"/>
        <v>Dark</v>
      </c>
      <c r="P31" t="str">
        <f>_xlfn.XLOOKUP(worksheet[[#This Row],[Customer ID]],customers!$A$1:$A$1001,customers!$I$1:$I$1001,0)</f>
        <v>Yes</v>
      </c>
    </row>
    <row r="32" spans="1:16" x14ac:dyDescent="0.25">
      <c r="A32" s="2" t="s">
        <v>661</v>
      </c>
      <c r="B32" s="4">
        <v>44464</v>
      </c>
      <c r="C32" s="2" t="s">
        <v>662</v>
      </c>
      <c r="D32" t="s">
        <v>6159</v>
      </c>
      <c r="E32" s="2">
        <v>5</v>
      </c>
      <c r="F32" s="2" t="str">
        <f>_xlfn.XLOOKUP(C32,customers!$A$1:$A$1001,customers!$B$1:$B$1001,0)</f>
        <v>Adrian Swaine</v>
      </c>
      <c r="G32" s="2" t="s">
        <v>6222</v>
      </c>
      <c r="H32" s="2" t="str">
        <f>_xlfn.XLOOKUP(C32,customers!$A$1:$A$1001,customers!$G$1:$G$1001,0)</f>
        <v>United States</v>
      </c>
      <c r="I32" t="str">
        <f>_xlfn.XLOOKUP(D32,products!$A$1:$A$49,products!$B$1:$B$49,0)</f>
        <v>Lib</v>
      </c>
      <c r="J32" t="str">
        <f>_xlfn.XLOOKUP(worksheet!D32,products!$A$1:$A$49,products!$C$1:$C$49,0)</f>
        <v>M</v>
      </c>
      <c r="K32" s="5">
        <f>_xlfn.XLOOKUP(worksheet!D32,products!$A$1:$A$49,products!$D$1:$D$49,0)</f>
        <v>0.2</v>
      </c>
      <c r="L32" s="6">
        <f>_xlfn.XLOOKUP(worksheet!D32,products!$A$1:$A$49,products!$E$1:$E$49,0)</f>
        <v>4.3650000000000002</v>
      </c>
      <c r="M32" s="6">
        <f>worksheet!E32*worksheet!L32</f>
        <v>21.825000000000003</v>
      </c>
      <c r="N32" t="str">
        <f t="shared" si="0"/>
        <v>Liberica</v>
      </c>
      <c r="O32" t="str">
        <f t="shared" si="1"/>
        <v>Medium</v>
      </c>
      <c r="P32" t="str">
        <f>_xlfn.XLOOKUP(worksheet[[#This Row],[Customer ID]],customers!$A$1:$A$1001,customers!$I$1:$I$1001,0)</f>
        <v>No</v>
      </c>
    </row>
    <row r="33" spans="1:16" x14ac:dyDescent="0.25">
      <c r="A33" s="2" t="s">
        <v>661</v>
      </c>
      <c r="B33" s="4">
        <v>44464</v>
      </c>
      <c r="C33" s="2" t="s">
        <v>662</v>
      </c>
      <c r="D33" t="s">
        <v>6158</v>
      </c>
      <c r="E33" s="2">
        <v>6</v>
      </c>
      <c r="F33" s="2" t="str">
        <f>_xlfn.XLOOKUP(C33,customers!$A$1:$A$1001,customers!$B$1:$B$1001,0)</f>
        <v>Adrian Swaine</v>
      </c>
      <c r="G33" s="2" t="s">
        <v>6222</v>
      </c>
      <c r="H33" s="2" t="str">
        <f>_xlfn.XLOOKUP(C33,customers!$A$1:$A$1001,customers!$G$1:$G$1001,0)</f>
        <v>United States</v>
      </c>
      <c r="I33" t="str">
        <f>_xlfn.XLOOKUP(D33,products!$A$1:$A$49,products!$B$1:$B$49,0)</f>
        <v>Ara</v>
      </c>
      <c r="J33" t="str">
        <f>_xlfn.XLOOKUP(worksheet!D33,products!$A$1:$A$49,products!$C$1:$C$49,0)</f>
        <v>D</v>
      </c>
      <c r="K33" s="5">
        <f>_xlfn.XLOOKUP(worksheet!D33,products!$A$1:$A$49,products!$D$1:$D$49,0)</f>
        <v>0.5</v>
      </c>
      <c r="L33" s="6">
        <f>_xlfn.XLOOKUP(worksheet!D33,products!$A$1:$A$49,products!$E$1:$E$49,0)</f>
        <v>5.97</v>
      </c>
      <c r="M33" s="6">
        <f>worksheet!E33*worksheet!L33</f>
        <v>35.82</v>
      </c>
      <c r="N33" t="str">
        <f t="shared" si="0"/>
        <v>Arabica</v>
      </c>
      <c r="O33" t="str">
        <f t="shared" si="1"/>
        <v>Dark</v>
      </c>
      <c r="P33" t="str">
        <f>_xlfn.XLOOKUP(worksheet[[#This Row],[Customer ID]],customers!$A$1:$A$1001,customers!$I$1:$I$1001,0)</f>
        <v>No</v>
      </c>
    </row>
    <row r="34" spans="1:16" x14ac:dyDescent="0.25">
      <c r="A34" s="2" t="s">
        <v>661</v>
      </c>
      <c r="B34" s="4">
        <v>44464</v>
      </c>
      <c r="C34" s="2" t="s">
        <v>662</v>
      </c>
      <c r="D34" t="s">
        <v>6160</v>
      </c>
      <c r="E34" s="2">
        <v>6</v>
      </c>
      <c r="F34" s="2" t="str">
        <f>_xlfn.XLOOKUP(C34,customers!$A$1:$A$1001,customers!$B$1:$B$1001,0)</f>
        <v>Adrian Swaine</v>
      </c>
      <c r="G34" s="2" t="s">
        <v>6222</v>
      </c>
      <c r="H34" s="2" t="str">
        <f>_xlfn.XLOOKUP(C34,customers!$A$1:$A$1001,customers!$G$1:$G$1001,0)</f>
        <v>United States</v>
      </c>
      <c r="I34" t="str">
        <f>_xlfn.XLOOKUP(D34,products!$A$1:$A$49,products!$B$1:$B$49,0)</f>
        <v>Lib</v>
      </c>
      <c r="J34" t="str">
        <f>_xlfn.XLOOKUP(worksheet!D34,products!$A$1:$A$49,products!$C$1:$C$49,0)</f>
        <v>M</v>
      </c>
      <c r="K34" s="5">
        <f>_xlfn.XLOOKUP(worksheet!D34,products!$A$1:$A$49,products!$D$1:$D$49,0)</f>
        <v>0.5</v>
      </c>
      <c r="L34" s="6">
        <f>_xlfn.XLOOKUP(worksheet!D34,products!$A$1:$A$49,products!$E$1:$E$49,0)</f>
        <v>8.73</v>
      </c>
      <c r="M34" s="6">
        <f>worksheet!E34*worksheet!L34</f>
        <v>52.38</v>
      </c>
      <c r="N34" t="str">
        <f t="shared" si="0"/>
        <v>Liberica</v>
      </c>
      <c r="O34" t="str">
        <f t="shared" si="1"/>
        <v>Medium</v>
      </c>
      <c r="P34" t="str">
        <f>_xlfn.XLOOKUP(worksheet[[#This Row],[Customer ID]],customers!$A$1:$A$1001,customers!$I$1:$I$1001,0)</f>
        <v>No</v>
      </c>
    </row>
    <row r="35" spans="1:16" x14ac:dyDescent="0.25">
      <c r="A35" s="2" t="s">
        <v>676</v>
      </c>
      <c r="B35" s="4">
        <v>44394</v>
      </c>
      <c r="C35" s="2" t="s">
        <v>677</v>
      </c>
      <c r="D35" t="s">
        <v>6145</v>
      </c>
      <c r="E35" s="2">
        <v>5</v>
      </c>
      <c r="F35" s="2" t="str">
        <f>_xlfn.XLOOKUP(C35,customers!$A$1:$A$1001,customers!$B$1:$B$1001,0)</f>
        <v>Gallard Gatheral</v>
      </c>
      <c r="G35" s="2" t="s">
        <v>679</v>
      </c>
      <c r="H35" s="2" t="str">
        <f>_xlfn.XLOOKUP(C35,customers!$A$1:$A$1001,customers!$G$1:$G$1001,0)</f>
        <v>United States</v>
      </c>
      <c r="I35" t="str">
        <f>_xlfn.XLOOKUP(D35,products!$A$1:$A$49,products!$B$1:$B$49,0)</f>
        <v>Lib</v>
      </c>
      <c r="J35" t="str">
        <f>_xlfn.XLOOKUP(worksheet!D35,products!$A$1:$A$49,products!$C$1:$C$49,0)</f>
        <v>L</v>
      </c>
      <c r="K35" s="5">
        <f>_xlfn.XLOOKUP(worksheet!D35,products!$A$1:$A$49,products!$D$1:$D$49,0)</f>
        <v>0.2</v>
      </c>
      <c r="L35" s="6">
        <f>_xlfn.XLOOKUP(worksheet!D35,products!$A$1:$A$49,products!$E$1:$E$49,0)</f>
        <v>4.7549999999999999</v>
      </c>
      <c r="M35" s="6">
        <f>worksheet!E35*worksheet!L35</f>
        <v>23.774999999999999</v>
      </c>
      <c r="N35" t="str">
        <f t="shared" si="0"/>
        <v>Liberica</v>
      </c>
      <c r="O35" t="str">
        <f t="shared" si="1"/>
        <v>Light</v>
      </c>
      <c r="P35" t="str">
        <f>_xlfn.XLOOKUP(worksheet[[#This Row],[Customer ID]],customers!$A$1:$A$1001,customers!$I$1:$I$1001,0)</f>
        <v>No</v>
      </c>
    </row>
    <row r="36" spans="1:16" x14ac:dyDescent="0.25">
      <c r="A36" s="2" t="s">
        <v>681</v>
      </c>
      <c r="B36" s="4">
        <v>44011</v>
      </c>
      <c r="C36" s="2" t="s">
        <v>682</v>
      </c>
      <c r="D36" t="s">
        <v>6161</v>
      </c>
      <c r="E36" s="2">
        <v>6</v>
      </c>
      <c r="F36" s="2" t="str">
        <f>_xlfn.XLOOKUP(C36,customers!$A$1:$A$1001,customers!$B$1:$B$1001,0)</f>
        <v>Una Welberry</v>
      </c>
      <c r="G36" s="2" t="s">
        <v>684</v>
      </c>
      <c r="H36" s="2" t="str">
        <f>_xlfn.XLOOKUP(C36,customers!$A$1:$A$1001,customers!$G$1:$G$1001,0)</f>
        <v>United Kingdom</v>
      </c>
      <c r="I36" t="str">
        <f>_xlfn.XLOOKUP(D36,products!$A$1:$A$49,products!$B$1:$B$49,0)</f>
        <v>Lib</v>
      </c>
      <c r="J36" t="str">
        <f>_xlfn.XLOOKUP(worksheet!D36,products!$A$1:$A$49,products!$C$1:$C$49,0)</f>
        <v>L</v>
      </c>
      <c r="K36" s="5">
        <f>_xlfn.XLOOKUP(worksheet!D36,products!$A$1:$A$49,products!$D$1:$D$49,0)</f>
        <v>0.5</v>
      </c>
      <c r="L36" s="6">
        <f>_xlfn.XLOOKUP(worksheet!D36,products!$A$1:$A$49,products!$E$1:$E$49,0)</f>
        <v>9.51</v>
      </c>
      <c r="M36" s="6">
        <f>worksheet!E36*worksheet!L36</f>
        <v>57.06</v>
      </c>
      <c r="N36" t="str">
        <f t="shared" si="0"/>
        <v>Liberica</v>
      </c>
      <c r="O36" t="str">
        <f t="shared" si="1"/>
        <v>Light</v>
      </c>
      <c r="P36" t="str">
        <f>_xlfn.XLOOKUP(worksheet[[#This Row],[Customer ID]],customers!$A$1:$A$1001,customers!$I$1:$I$1001,0)</f>
        <v>Yes</v>
      </c>
    </row>
    <row r="37" spans="1:16" x14ac:dyDescent="0.25">
      <c r="A37" s="2" t="s">
        <v>687</v>
      </c>
      <c r="B37" s="4">
        <v>44348</v>
      </c>
      <c r="C37" s="2" t="s">
        <v>688</v>
      </c>
      <c r="D37" t="s">
        <v>6158</v>
      </c>
      <c r="E37" s="2">
        <v>6</v>
      </c>
      <c r="F37" s="2" t="str">
        <f>_xlfn.XLOOKUP(C37,customers!$A$1:$A$1001,customers!$B$1:$B$1001,0)</f>
        <v>Faber Eilhart</v>
      </c>
      <c r="G37" s="2" t="s">
        <v>690</v>
      </c>
      <c r="H37" s="2" t="str">
        <f>_xlfn.XLOOKUP(C37,customers!$A$1:$A$1001,customers!$G$1:$G$1001,0)</f>
        <v>United States</v>
      </c>
      <c r="I37" t="str">
        <f>_xlfn.XLOOKUP(D37,products!$A$1:$A$49,products!$B$1:$B$49,0)</f>
        <v>Ara</v>
      </c>
      <c r="J37" t="str">
        <f>_xlfn.XLOOKUP(worksheet!D37,products!$A$1:$A$49,products!$C$1:$C$49,0)</f>
        <v>D</v>
      </c>
      <c r="K37" s="5">
        <f>_xlfn.XLOOKUP(worksheet!D37,products!$A$1:$A$49,products!$D$1:$D$49,0)</f>
        <v>0.5</v>
      </c>
      <c r="L37" s="6">
        <f>_xlfn.XLOOKUP(worksheet!D37,products!$A$1:$A$49,products!$E$1:$E$49,0)</f>
        <v>5.97</v>
      </c>
      <c r="M37" s="6">
        <f>worksheet!E37*worksheet!L37</f>
        <v>35.82</v>
      </c>
      <c r="N37" t="str">
        <f t="shared" si="0"/>
        <v>Arabica</v>
      </c>
      <c r="O37" t="str">
        <f t="shared" si="1"/>
        <v>Dark</v>
      </c>
      <c r="P37" t="str">
        <f>_xlfn.XLOOKUP(worksheet[[#This Row],[Customer ID]],customers!$A$1:$A$1001,customers!$I$1:$I$1001,0)</f>
        <v>No</v>
      </c>
    </row>
    <row r="38" spans="1:16" x14ac:dyDescent="0.25">
      <c r="A38" s="2" t="s">
        <v>693</v>
      </c>
      <c r="B38" s="4">
        <v>44233</v>
      </c>
      <c r="C38" s="2" t="s">
        <v>694</v>
      </c>
      <c r="D38" t="s">
        <v>6159</v>
      </c>
      <c r="E38" s="2">
        <v>2</v>
      </c>
      <c r="F38" s="2" t="str">
        <f>_xlfn.XLOOKUP(C38,customers!$A$1:$A$1001,customers!$B$1:$B$1001,0)</f>
        <v>Zorina Ponting</v>
      </c>
      <c r="G38" s="2" t="s">
        <v>696</v>
      </c>
      <c r="H38" s="2" t="str">
        <f>_xlfn.XLOOKUP(C38,customers!$A$1:$A$1001,customers!$G$1:$G$1001,0)</f>
        <v>United States</v>
      </c>
      <c r="I38" t="str">
        <f>_xlfn.XLOOKUP(D38,products!$A$1:$A$49,products!$B$1:$B$49,0)</f>
        <v>Lib</v>
      </c>
      <c r="J38" t="str">
        <f>_xlfn.XLOOKUP(worksheet!D38,products!$A$1:$A$49,products!$C$1:$C$49,0)</f>
        <v>M</v>
      </c>
      <c r="K38" s="5">
        <f>_xlfn.XLOOKUP(worksheet!D38,products!$A$1:$A$49,products!$D$1:$D$49,0)</f>
        <v>0.2</v>
      </c>
      <c r="L38" s="6">
        <f>_xlfn.XLOOKUP(worksheet!D38,products!$A$1:$A$49,products!$E$1:$E$49,0)</f>
        <v>4.3650000000000002</v>
      </c>
      <c r="M38" s="6">
        <f>worksheet!E38*worksheet!L38</f>
        <v>8.73</v>
      </c>
      <c r="N38" t="str">
        <f t="shared" si="0"/>
        <v>Liberica</v>
      </c>
      <c r="O38" t="str">
        <f t="shared" si="1"/>
        <v>Medium</v>
      </c>
      <c r="P38" t="str">
        <f>_xlfn.XLOOKUP(worksheet[[#This Row],[Customer ID]],customers!$A$1:$A$1001,customers!$I$1:$I$1001,0)</f>
        <v>No</v>
      </c>
    </row>
    <row r="39" spans="1:16" x14ac:dyDescent="0.25">
      <c r="A39" s="2" t="s">
        <v>699</v>
      </c>
      <c r="B39" s="4">
        <v>43580</v>
      </c>
      <c r="C39" s="2" t="s">
        <v>700</v>
      </c>
      <c r="D39" t="s">
        <v>6161</v>
      </c>
      <c r="E39" s="2">
        <v>3</v>
      </c>
      <c r="F39" s="2" t="str">
        <f>_xlfn.XLOOKUP(C39,customers!$A$1:$A$1001,customers!$B$1:$B$1001,0)</f>
        <v>Silvio Strase</v>
      </c>
      <c r="G39" s="2" t="s">
        <v>702</v>
      </c>
      <c r="H39" s="2" t="str">
        <f>_xlfn.XLOOKUP(C39,customers!$A$1:$A$1001,customers!$G$1:$G$1001,0)</f>
        <v>United States</v>
      </c>
      <c r="I39" t="str">
        <f>_xlfn.XLOOKUP(D39,products!$A$1:$A$49,products!$B$1:$B$49,0)</f>
        <v>Lib</v>
      </c>
      <c r="J39" t="str">
        <f>_xlfn.XLOOKUP(worksheet!D39,products!$A$1:$A$49,products!$C$1:$C$49,0)</f>
        <v>L</v>
      </c>
      <c r="K39" s="5">
        <f>_xlfn.XLOOKUP(worksheet!D39,products!$A$1:$A$49,products!$D$1:$D$49,0)</f>
        <v>0.5</v>
      </c>
      <c r="L39" s="6">
        <f>_xlfn.XLOOKUP(worksheet!D39,products!$A$1:$A$49,products!$E$1:$E$49,0)</f>
        <v>9.51</v>
      </c>
      <c r="M39" s="6">
        <f>worksheet!E39*worksheet!L39</f>
        <v>28.53</v>
      </c>
      <c r="N39" t="str">
        <f t="shared" si="0"/>
        <v>Liberica</v>
      </c>
      <c r="O39" t="str">
        <f t="shared" si="1"/>
        <v>Light</v>
      </c>
      <c r="P39" t="str">
        <f>_xlfn.XLOOKUP(worksheet[[#This Row],[Customer ID]],customers!$A$1:$A$1001,customers!$I$1:$I$1001,0)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
        <v>708</v>
      </c>
      <c r="H40" s="2" t="str">
        <f>_xlfn.XLOOKUP(C40,customers!$A$1:$A$1001,customers!$G$1:$G$1001,0)</f>
        <v>United States</v>
      </c>
      <c r="I40" t="str">
        <f>_xlfn.XLOOKUP(D40,products!$A$1:$A$49,products!$B$1:$B$49,0)</f>
        <v>Rob</v>
      </c>
      <c r="J40" t="str">
        <f>_xlfn.XLOOKUP(worksheet!D40,products!$A$1:$A$49,products!$C$1:$C$49,0)</f>
        <v>M</v>
      </c>
      <c r="K40" s="5">
        <f>_xlfn.XLOOKUP(worksheet!D40,products!$A$1:$A$49,products!$D$1:$D$49,0)</f>
        <v>2.5</v>
      </c>
      <c r="L40" s="6">
        <f>_xlfn.XLOOKUP(worksheet!D40,products!$A$1:$A$49,products!$E$1:$E$49,0)</f>
        <v>22.884999999999998</v>
      </c>
      <c r="M40" s="6">
        <f>worksheet!E40*worksheet!L40</f>
        <v>114.42499999999998</v>
      </c>
      <c r="N40" t="str">
        <f t="shared" si="0"/>
        <v>Robusta</v>
      </c>
      <c r="O40" t="str">
        <f t="shared" si="1"/>
        <v>Medium</v>
      </c>
      <c r="P40" t="str">
        <f>_xlfn.XLOOKUP(worksheet[[#This Row],[Customer ID]],customers!$A$1:$A$1001,customers!$I$1:$I$1001,0)</f>
        <v>No</v>
      </c>
    </row>
    <row r="41" spans="1:16" x14ac:dyDescent="0.25">
      <c r="A41" s="2" t="s">
        <v>711</v>
      </c>
      <c r="B41" s="4">
        <v>44524</v>
      </c>
      <c r="C41" s="2" t="s">
        <v>712</v>
      </c>
      <c r="D41" t="s">
        <v>6138</v>
      </c>
      <c r="E41" s="2">
        <v>6</v>
      </c>
      <c r="F41" s="2" t="str">
        <f>_xlfn.XLOOKUP(C41,customers!$A$1:$A$1001,customers!$B$1:$B$1001,0)</f>
        <v>Hy Zanetto</v>
      </c>
      <c r="G41" s="2" t="s">
        <v>6222</v>
      </c>
      <c r="H41" s="2" t="str">
        <f>_xlfn.XLOOKUP(C41,customers!$A$1:$A$1001,customers!$G$1:$G$1001,0)</f>
        <v>United States</v>
      </c>
      <c r="I41" t="str">
        <f>_xlfn.XLOOKUP(D41,products!$A$1:$A$49,products!$B$1:$B$49,0)</f>
        <v>Rob</v>
      </c>
      <c r="J41" t="str">
        <f>_xlfn.XLOOKUP(worksheet!D41,products!$A$1:$A$49,products!$C$1:$C$49,0)</f>
        <v>M</v>
      </c>
      <c r="K41" s="5">
        <f>_xlfn.XLOOKUP(worksheet!D41,products!$A$1:$A$49,products!$D$1:$D$49,0)</f>
        <v>1</v>
      </c>
      <c r="L41" s="6">
        <f>_xlfn.XLOOKUP(worksheet!D41,products!$A$1:$A$49,products!$E$1:$E$49,0)</f>
        <v>9.9499999999999993</v>
      </c>
      <c r="M41" s="6">
        <f>worksheet!E41*worksheet!L41</f>
        <v>59.699999999999996</v>
      </c>
      <c r="N41" t="str">
        <f t="shared" si="0"/>
        <v>Robusta</v>
      </c>
      <c r="O41" t="str">
        <f t="shared" si="1"/>
        <v>Medium</v>
      </c>
      <c r="P41" t="str">
        <f>_xlfn.XLOOKUP(worksheet[[#This Row],[Customer ID]],customers!$A$1:$A$1001,customers!$I$1:$I$1001,0)</f>
        <v>Yes</v>
      </c>
    </row>
    <row r="42" spans="1:16" x14ac:dyDescent="0.25">
      <c r="A42" s="2" t="s">
        <v>715</v>
      </c>
      <c r="B42" s="4">
        <v>44305</v>
      </c>
      <c r="C42" s="2" t="s">
        <v>716</v>
      </c>
      <c r="D42" t="s">
        <v>6162</v>
      </c>
      <c r="E42" s="2">
        <v>3</v>
      </c>
      <c r="F42" s="2" t="str">
        <f>_xlfn.XLOOKUP(C42,customers!$A$1:$A$1001,customers!$B$1:$B$1001,0)</f>
        <v>Jessica McNess</v>
      </c>
      <c r="G42" s="2" t="s">
        <v>6222</v>
      </c>
      <c r="H42" s="2" t="str">
        <f>_xlfn.XLOOKUP(C42,customers!$A$1:$A$1001,customers!$G$1:$G$1001,0)</f>
        <v>United States</v>
      </c>
      <c r="I42" t="str">
        <f>_xlfn.XLOOKUP(D42,products!$A$1:$A$49,products!$B$1:$B$49,0)</f>
        <v>Lib</v>
      </c>
      <c r="J42" t="str">
        <f>_xlfn.XLOOKUP(worksheet!D42,products!$A$1:$A$49,products!$C$1:$C$49,0)</f>
        <v>M</v>
      </c>
      <c r="K42" s="5">
        <f>_xlfn.XLOOKUP(worksheet!D42,products!$A$1:$A$49,products!$D$1:$D$49,0)</f>
        <v>1</v>
      </c>
      <c r="L42" s="6">
        <f>_xlfn.XLOOKUP(worksheet!D42,products!$A$1:$A$49,products!$E$1:$E$49,0)</f>
        <v>14.55</v>
      </c>
      <c r="M42" s="6">
        <f>worksheet!E42*worksheet!L42</f>
        <v>43.650000000000006</v>
      </c>
      <c r="N42" t="str">
        <f t="shared" si="0"/>
        <v>Liberica</v>
      </c>
      <c r="O42" t="str">
        <f t="shared" si="1"/>
        <v>Medium</v>
      </c>
      <c r="P42" t="str">
        <f>_xlfn.XLOOKUP(worksheet[[#This Row],[Customer ID]],customers!$A$1:$A$1001,customers!$I$1:$I$1001,0)</f>
        <v>No</v>
      </c>
    </row>
    <row r="43" spans="1:16" x14ac:dyDescent="0.25">
      <c r="A43" s="2" t="s">
        <v>720</v>
      </c>
      <c r="B43" s="4">
        <v>44749</v>
      </c>
      <c r="C43" s="2" t="s">
        <v>721</v>
      </c>
      <c r="D43" t="s">
        <v>6153</v>
      </c>
      <c r="E43" s="2">
        <v>2</v>
      </c>
      <c r="F43" s="2" t="str">
        <f>_xlfn.XLOOKUP(C43,customers!$A$1:$A$1001,customers!$B$1:$B$1001,0)</f>
        <v>Lorenzo Yeoland</v>
      </c>
      <c r="G43" s="2" t="s">
        <v>723</v>
      </c>
      <c r="H43" s="2" t="str">
        <f>_xlfn.XLOOKUP(C43,customers!$A$1:$A$1001,customers!$G$1:$G$1001,0)</f>
        <v>United States</v>
      </c>
      <c r="I43" t="str">
        <f>_xlfn.XLOOKUP(D43,products!$A$1:$A$49,products!$B$1:$B$49,0)</f>
        <v>Exc</v>
      </c>
      <c r="J43" t="str">
        <f>_xlfn.XLOOKUP(worksheet!D43,products!$A$1:$A$49,products!$C$1:$C$49,0)</f>
        <v>D</v>
      </c>
      <c r="K43" s="5">
        <f>_xlfn.XLOOKUP(worksheet!D43,products!$A$1:$A$49,products!$D$1:$D$49,0)</f>
        <v>0.2</v>
      </c>
      <c r="L43" s="6">
        <f>_xlfn.XLOOKUP(worksheet!D43,products!$A$1:$A$49,products!$E$1:$E$49,0)</f>
        <v>3.645</v>
      </c>
      <c r="M43" s="6">
        <f>worksheet!E43*worksheet!L43</f>
        <v>7.29</v>
      </c>
      <c r="N43" t="str">
        <f t="shared" si="0"/>
        <v>Excelsa</v>
      </c>
      <c r="O43" t="str">
        <f t="shared" si="1"/>
        <v>Dark</v>
      </c>
      <c r="P43" t="str">
        <f>_xlfn.XLOOKUP(worksheet[[#This Row],[Customer ID]],customers!$A$1:$A$1001,customers!$I$1:$I$1001,0)</f>
        <v>Yes</v>
      </c>
    </row>
    <row r="44" spans="1:16" x14ac:dyDescent="0.25">
      <c r="A44" s="2" t="s">
        <v>726</v>
      </c>
      <c r="B44" s="4">
        <v>43607</v>
      </c>
      <c r="C44" s="2" t="s">
        <v>727</v>
      </c>
      <c r="D44" t="s">
        <v>6163</v>
      </c>
      <c r="E44" s="2">
        <v>3</v>
      </c>
      <c r="F44" s="2" t="str">
        <f>_xlfn.XLOOKUP(C44,customers!$A$1:$A$1001,customers!$B$1:$B$1001,0)</f>
        <v>Abigail Tolworthy</v>
      </c>
      <c r="G44" s="2" t="s">
        <v>729</v>
      </c>
      <c r="H44" s="2" t="str">
        <f>_xlfn.XLOOKUP(C44,customers!$A$1:$A$1001,customers!$G$1:$G$1001,0)</f>
        <v>United States</v>
      </c>
      <c r="I44" t="str">
        <f>_xlfn.XLOOKUP(D44,products!$A$1:$A$49,products!$B$1:$B$49,0)</f>
        <v>Rob</v>
      </c>
      <c r="J44" t="str">
        <f>_xlfn.XLOOKUP(worksheet!D44,products!$A$1:$A$49,products!$C$1:$C$49,0)</f>
        <v>D</v>
      </c>
      <c r="K44" s="5">
        <f>_xlfn.XLOOKUP(worksheet!D44,products!$A$1:$A$49,products!$D$1:$D$49,0)</f>
        <v>0.2</v>
      </c>
      <c r="L44" s="6">
        <f>_xlfn.XLOOKUP(worksheet!D44,products!$A$1:$A$49,products!$E$1:$E$49,0)</f>
        <v>2.6849999999999996</v>
      </c>
      <c r="M44" s="6">
        <f>worksheet!E44*worksheet!L44</f>
        <v>8.0549999999999997</v>
      </c>
      <c r="N44" t="str">
        <f t="shared" si="0"/>
        <v>Robusta</v>
      </c>
      <c r="O44" t="str">
        <f t="shared" si="1"/>
        <v>Dark</v>
      </c>
      <c r="P44" t="str">
        <f>_xlfn.XLOOKUP(worksheet[[#This Row],[Customer ID]],customers!$A$1:$A$1001,customers!$I$1:$I$1001,0)</f>
        <v>Yes</v>
      </c>
    </row>
    <row r="45" spans="1:16" x14ac:dyDescent="0.25">
      <c r="A45" s="2" t="s">
        <v>733</v>
      </c>
      <c r="B45" s="4">
        <v>44473</v>
      </c>
      <c r="C45" s="2" t="s">
        <v>734</v>
      </c>
      <c r="D45" t="s">
        <v>6164</v>
      </c>
      <c r="E45" s="2">
        <v>2</v>
      </c>
      <c r="F45" s="2" t="str">
        <f>_xlfn.XLOOKUP(C45,customers!$A$1:$A$1001,customers!$B$1:$B$1001,0)</f>
        <v>Maurie Bartol</v>
      </c>
      <c r="G45" s="2" t="s">
        <v>6222</v>
      </c>
      <c r="H45" s="2" t="str">
        <f>_xlfn.XLOOKUP(C45,customers!$A$1:$A$1001,customers!$G$1:$G$1001,0)</f>
        <v>United States</v>
      </c>
      <c r="I45" t="str">
        <f>_xlfn.XLOOKUP(D45,products!$A$1:$A$49,products!$B$1:$B$49,0)</f>
        <v>Lib</v>
      </c>
      <c r="J45" t="str">
        <f>_xlfn.XLOOKUP(worksheet!D45,products!$A$1:$A$49,products!$C$1:$C$49,0)</f>
        <v>L</v>
      </c>
      <c r="K45" s="5">
        <f>_xlfn.XLOOKUP(worksheet!D45,products!$A$1:$A$49,products!$D$1:$D$49,0)</f>
        <v>2.5</v>
      </c>
      <c r="L45" s="6">
        <f>_xlfn.XLOOKUP(worksheet!D45,products!$A$1:$A$49,products!$E$1:$E$49,0)</f>
        <v>36.454999999999998</v>
      </c>
      <c r="M45" s="6">
        <f>worksheet!E45*worksheet!L45</f>
        <v>72.91</v>
      </c>
      <c r="N45" t="str">
        <f t="shared" si="0"/>
        <v>Liberica</v>
      </c>
      <c r="O45" t="str">
        <f t="shared" si="1"/>
        <v>Light</v>
      </c>
      <c r="P45" t="str">
        <f>_xlfn.XLOOKUP(worksheet[[#This Row],[Customer ID]],customers!$A$1:$A$1001,customers!$I$1:$I$1001,0)</f>
        <v>No</v>
      </c>
    </row>
    <row r="46" spans="1:16" x14ac:dyDescent="0.25">
      <c r="A46" s="2" t="s">
        <v>738</v>
      </c>
      <c r="B46" s="4">
        <v>43932</v>
      </c>
      <c r="C46" s="2" t="s">
        <v>739</v>
      </c>
      <c r="D46" t="s">
        <v>6139</v>
      </c>
      <c r="E46" s="2">
        <v>2</v>
      </c>
      <c r="F46" s="2" t="str">
        <f>_xlfn.XLOOKUP(C46,customers!$A$1:$A$1001,customers!$B$1:$B$1001,0)</f>
        <v>Olag Baudassi</v>
      </c>
      <c r="G46" s="2" t="s">
        <v>741</v>
      </c>
      <c r="H46" s="2" t="str">
        <f>_xlfn.XLOOKUP(C46,customers!$A$1:$A$1001,customers!$G$1:$G$1001,0)</f>
        <v>United States</v>
      </c>
      <c r="I46" t="str">
        <f>_xlfn.XLOOKUP(D46,products!$A$1:$A$49,products!$B$1:$B$49,0)</f>
        <v>Exc</v>
      </c>
      <c r="J46" t="str">
        <f>_xlfn.XLOOKUP(worksheet!D46,products!$A$1:$A$49,products!$C$1:$C$49,0)</f>
        <v>M</v>
      </c>
      <c r="K46" s="5">
        <f>_xlfn.XLOOKUP(worksheet!D46,products!$A$1:$A$49,products!$D$1:$D$49,0)</f>
        <v>0.5</v>
      </c>
      <c r="L46" s="6">
        <f>_xlfn.XLOOKUP(worksheet!D46,products!$A$1:$A$49,products!$E$1:$E$49,0)</f>
        <v>8.25</v>
      </c>
      <c r="M46" s="6">
        <f>worksheet!E46*worksheet!L46</f>
        <v>16.5</v>
      </c>
      <c r="N46" t="str">
        <f t="shared" si="0"/>
        <v>Excelsa</v>
      </c>
      <c r="O46" t="str">
        <f t="shared" si="1"/>
        <v>Medium</v>
      </c>
      <c r="P46" t="str">
        <f>_xlfn.XLOOKUP(worksheet[[#This Row],[Customer ID]],customers!$A$1:$A$1001,customers!$I$1:$I$1001,0)</f>
        <v>Yes</v>
      </c>
    </row>
    <row r="47" spans="1:16" x14ac:dyDescent="0.25">
      <c r="A47" s="2" t="s">
        <v>744</v>
      </c>
      <c r="B47" s="4">
        <v>44592</v>
      </c>
      <c r="C47" s="2" t="s">
        <v>745</v>
      </c>
      <c r="D47" t="s">
        <v>6165</v>
      </c>
      <c r="E47" s="2">
        <v>6</v>
      </c>
      <c r="F47" s="2" t="str">
        <f>_xlfn.XLOOKUP(C47,customers!$A$1:$A$1001,customers!$B$1:$B$1001,0)</f>
        <v>Petey Kingsbury</v>
      </c>
      <c r="G47" s="2" t="s">
        <v>747</v>
      </c>
      <c r="H47" s="2" t="str">
        <f>_xlfn.XLOOKUP(C47,customers!$A$1:$A$1001,customers!$G$1:$G$1001,0)</f>
        <v>United States</v>
      </c>
      <c r="I47" t="str">
        <f>_xlfn.XLOOKUP(D47,products!$A$1:$A$49,products!$B$1:$B$49,0)</f>
        <v>Lib</v>
      </c>
      <c r="J47" t="str">
        <f>_xlfn.XLOOKUP(worksheet!D47,products!$A$1:$A$49,products!$C$1:$C$49,0)</f>
        <v>D</v>
      </c>
      <c r="K47" s="5">
        <f>_xlfn.XLOOKUP(worksheet!D47,products!$A$1:$A$49,products!$D$1:$D$49,0)</f>
        <v>2.5</v>
      </c>
      <c r="L47" s="6">
        <f>_xlfn.XLOOKUP(worksheet!D47,products!$A$1:$A$49,products!$E$1:$E$49,0)</f>
        <v>29.784999999999997</v>
      </c>
      <c r="M47" s="6">
        <f>worksheet!E47*worksheet!L47</f>
        <v>178.70999999999998</v>
      </c>
      <c r="N47" t="str">
        <f t="shared" si="0"/>
        <v>Liberica</v>
      </c>
      <c r="O47" t="str">
        <f t="shared" si="1"/>
        <v>Dark</v>
      </c>
      <c r="P47" t="str">
        <f>_xlfn.XLOOKUP(worksheet[[#This Row],[Customer ID]],customers!$A$1:$A$1001,customers!$I$1:$I$1001,0)</f>
        <v>No</v>
      </c>
    </row>
    <row r="48" spans="1:16" x14ac:dyDescent="0.25">
      <c r="A48" s="2" t="s">
        <v>750</v>
      </c>
      <c r="B48" s="4">
        <v>43776</v>
      </c>
      <c r="C48" s="2" t="s">
        <v>751</v>
      </c>
      <c r="D48" t="s">
        <v>6166</v>
      </c>
      <c r="E48" s="2">
        <v>2</v>
      </c>
      <c r="F48" s="2" t="str">
        <f>_xlfn.XLOOKUP(C48,customers!$A$1:$A$1001,customers!$B$1:$B$1001,0)</f>
        <v>Donna Baskeyfied</v>
      </c>
      <c r="G48" s="2" t="s">
        <v>6222</v>
      </c>
      <c r="H48" s="2" t="str">
        <f>_xlfn.XLOOKUP(C48,customers!$A$1:$A$1001,customers!$G$1:$G$1001,0)</f>
        <v>United States</v>
      </c>
      <c r="I48" t="str">
        <f>_xlfn.XLOOKUP(D48,products!$A$1:$A$49,products!$B$1:$B$49,0)</f>
        <v>Exc</v>
      </c>
      <c r="J48" t="str">
        <f>_xlfn.XLOOKUP(worksheet!D48,products!$A$1:$A$49,products!$C$1:$C$49,0)</f>
        <v>M</v>
      </c>
      <c r="K48" s="5">
        <f>_xlfn.XLOOKUP(worksheet!D48,products!$A$1:$A$49,products!$D$1:$D$49,0)</f>
        <v>2.5</v>
      </c>
      <c r="L48" s="6">
        <f>_xlfn.XLOOKUP(worksheet!D48,products!$A$1:$A$49,products!$E$1:$E$49,0)</f>
        <v>31.624999999999996</v>
      </c>
      <c r="M48" s="6">
        <f>worksheet!E48*worksheet!L48</f>
        <v>63.249999999999993</v>
      </c>
      <c r="N48" t="str">
        <f t="shared" si="0"/>
        <v>Excelsa</v>
      </c>
      <c r="O48" t="str">
        <f t="shared" si="1"/>
        <v>Medium</v>
      </c>
      <c r="P48" t="str">
        <f>_xlfn.XLOOKUP(worksheet[[#This Row],[Customer ID]],customers!$A$1:$A$1001,customers!$I$1:$I$1001,0)</f>
        <v>Yes</v>
      </c>
    </row>
    <row r="49" spans="1:16" x14ac:dyDescent="0.25">
      <c r="A49" s="2" t="s">
        <v>755</v>
      </c>
      <c r="B49" s="4">
        <v>43644</v>
      </c>
      <c r="C49" s="2" t="s">
        <v>756</v>
      </c>
      <c r="D49" t="s">
        <v>6167</v>
      </c>
      <c r="E49" s="2">
        <v>2</v>
      </c>
      <c r="F49" s="2" t="str">
        <f>_xlfn.XLOOKUP(C49,customers!$A$1:$A$1001,customers!$B$1:$B$1001,0)</f>
        <v>Arda Curley</v>
      </c>
      <c r="G49" s="2" t="s">
        <v>758</v>
      </c>
      <c r="H49" s="2" t="str">
        <f>_xlfn.XLOOKUP(C49,customers!$A$1:$A$1001,customers!$G$1:$G$1001,0)</f>
        <v>United States</v>
      </c>
      <c r="I49" t="str">
        <f>_xlfn.XLOOKUP(D49,products!$A$1:$A$49,products!$B$1:$B$49,0)</f>
        <v>Ara</v>
      </c>
      <c r="J49" t="str">
        <f>_xlfn.XLOOKUP(worksheet!D49,products!$A$1:$A$49,products!$C$1:$C$49,0)</f>
        <v>L</v>
      </c>
      <c r="K49" s="5">
        <f>_xlfn.XLOOKUP(worksheet!D49,products!$A$1:$A$49,products!$D$1:$D$49,0)</f>
        <v>0.2</v>
      </c>
      <c r="L49" s="6">
        <f>_xlfn.XLOOKUP(worksheet!D49,products!$A$1:$A$49,products!$E$1:$E$49,0)</f>
        <v>3.8849999999999998</v>
      </c>
      <c r="M49" s="6">
        <f>worksheet!E49*worksheet!L49</f>
        <v>7.77</v>
      </c>
      <c r="N49" t="str">
        <f t="shared" si="0"/>
        <v>Arabica</v>
      </c>
      <c r="O49" t="str">
        <f t="shared" si="1"/>
        <v>Light</v>
      </c>
      <c r="P49" t="str">
        <f>_xlfn.XLOOKUP(worksheet[[#This Row],[Customer ID]],customers!$A$1:$A$1001,customers!$I$1:$I$1001,0)</f>
        <v>Yes</v>
      </c>
    </row>
    <row r="50" spans="1:16" x14ac:dyDescent="0.25">
      <c r="A50" s="2" t="s">
        <v>761</v>
      </c>
      <c r="B50" s="4">
        <v>44085</v>
      </c>
      <c r="C50" s="2" t="s">
        <v>762</v>
      </c>
      <c r="D50" t="s">
        <v>6168</v>
      </c>
      <c r="E50" s="2">
        <v>4</v>
      </c>
      <c r="F50" s="2" t="str">
        <f>_xlfn.XLOOKUP(C50,customers!$A$1:$A$1001,customers!$B$1:$B$1001,0)</f>
        <v>Raynor McGilvary</v>
      </c>
      <c r="G50" s="2" t="s">
        <v>764</v>
      </c>
      <c r="H50" s="2" t="str">
        <f>_xlfn.XLOOKUP(C50,customers!$A$1:$A$1001,customers!$G$1:$G$1001,0)</f>
        <v>United States</v>
      </c>
      <c r="I50" t="str">
        <f>_xlfn.XLOOKUP(D50,products!$A$1:$A$49,products!$B$1:$B$49,0)</f>
        <v>Ara</v>
      </c>
      <c r="J50" t="str">
        <f>_xlfn.XLOOKUP(worksheet!D50,products!$A$1:$A$49,products!$C$1:$C$49,0)</f>
        <v>D</v>
      </c>
      <c r="K50" s="5">
        <f>_xlfn.XLOOKUP(worksheet!D50,products!$A$1:$A$49,products!$D$1:$D$49,0)</f>
        <v>2.5</v>
      </c>
      <c r="L50" s="6">
        <f>_xlfn.XLOOKUP(worksheet!D50,products!$A$1:$A$49,products!$E$1:$E$49,0)</f>
        <v>22.884999999999998</v>
      </c>
      <c r="M50" s="6">
        <f>worksheet!E50*worksheet!L50</f>
        <v>91.539999999999992</v>
      </c>
      <c r="N50" t="str">
        <f t="shared" si="0"/>
        <v>Arabica</v>
      </c>
      <c r="O50" t="str">
        <f t="shared" si="1"/>
        <v>Dark</v>
      </c>
      <c r="P50" t="str">
        <f>_xlfn.XLOOKUP(worksheet[[#This Row],[Customer ID]],customers!$A$1:$A$1001,customers!$I$1:$I$1001,0)</f>
        <v>No</v>
      </c>
    </row>
    <row r="51" spans="1:16" x14ac:dyDescent="0.25">
      <c r="A51" s="2" t="s">
        <v>766</v>
      </c>
      <c r="B51" s="4">
        <v>44790</v>
      </c>
      <c r="C51" s="2" t="s">
        <v>767</v>
      </c>
      <c r="D51" t="s">
        <v>6140</v>
      </c>
      <c r="E51" s="2">
        <v>3</v>
      </c>
      <c r="F51" s="2" t="str">
        <f>_xlfn.XLOOKUP(C51,customers!$A$1:$A$1001,customers!$B$1:$B$1001,0)</f>
        <v>Isis Pikett</v>
      </c>
      <c r="G51" s="2" t="s">
        <v>769</v>
      </c>
      <c r="H51" s="2" t="str">
        <f>_xlfn.XLOOKUP(C51,customers!$A$1:$A$1001,customers!$G$1:$G$1001,0)</f>
        <v>United States</v>
      </c>
      <c r="I51" t="str">
        <f>_xlfn.XLOOKUP(D51,products!$A$1:$A$49,products!$B$1:$B$49,0)</f>
        <v>Ara</v>
      </c>
      <c r="J51" t="str">
        <f>_xlfn.XLOOKUP(worksheet!D51,products!$A$1:$A$49,products!$C$1:$C$49,0)</f>
        <v>L</v>
      </c>
      <c r="K51" s="5">
        <f>_xlfn.XLOOKUP(worksheet!D51,products!$A$1:$A$49,products!$D$1:$D$49,0)</f>
        <v>1</v>
      </c>
      <c r="L51" s="6">
        <f>_xlfn.XLOOKUP(worksheet!D51,products!$A$1:$A$49,products!$E$1:$E$49,0)</f>
        <v>12.95</v>
      </c>
      <c r="M51" s="6">
        <f>worksheet!E51*worksheet!L51</f>
        <v>38.849999999999994</v>
      </c>
      <c r="N51" t="str">
        <f t="shared" si="0"/>
        <v>Arabica</v>
      </c>
      <c r="O51" t="str">
        <f t="shared" si="1"/>
        <v>Light</v>
      </c>
      <c r="P51" t="str">
        <f>_xlfn.XLOOKUP(worksheet[[#This Row],[Customer ID]],customers!$A$1:$A$1001,customers!$I$1:$I$1001,0)</f>
        <v>No</v>
      </c>
    </row>
    <row r="52" spans="1:16" x14ac:dyDescent="0.25">
      <c r="A52" s="2" t="s">
        <v>772</v>
      </c>
      <c r="B52" s="4">
        <v>44792</v>
      </c>
      <c r="C52" s="2" t="s">
        <v>773</v>
      </c>
      <c r="D52" t="s">
        <v>6169</v>
      </c>
      <c r="E52" s="2">
        <v>2</v>
      </c>
      <c r="F52" s="2" t="str">
        <f>_xlfn.XLOOKUP(C52,customers!$A$1:$A$1001,customers!$B$1:$B$1001,0)</f>
        <v>Inger Bouldon</v>
      </c>
      <c r="G52" s="2" t="s">
        <v>775</v>
      </c>
      <c r="H52" s="2" t="str">
        <f>_xlfn.XLOOKUP(C52,customers!$A$1:$A$1001,customers!$G$1:$G$1001,0)</f>
        <v>United States</v>
      </c>
      <c r="I52" t="str">
        <f>_xlfn.XLOOKUP(D52,products!$A$1:$A$49,products!$B$1:$B$49,0)</f>
        <v>Lib</v>
      </c>
      <c r="J52" t="str">
        <f>_xlfn.XLOOKUP(worksheet!D52,products!$A$1:$A$49,products!$C$1:$C$49,0)</f>
        <v>D</v>
      </c>
      <c r="K52" s="5">
        <f>_xlfn.XLOOKUP(worksheet!D52,products!$A$1:$A$49,products!$D$1:$D$49,0)</f>
        <v>0.5</v>
      </c>
      <c r="L52" s="6">
        <f>_xlfn.XLOOKUP(worksheet!D52,products!$A$1:$A$49,products!$E$1:$E$49,0)</f>
        <v>7.77</v>
      </c>
      <c r="M52" s="6">
        <f>worksheet!E52*worksheet!L52</f>
        <v>15.54</v>
      </c>
      <c r="N52" t="str">
        <f t="shared" si="0"/>
        <v>Liberica</v>
      </c>
      <c r="O52" t="str">
        <f t="shared" si="1"/>
        <v>Dark</v>
      </c>
      <c r="P52" t="str">
        <f>_xlfn.XLOOKUP(worksheet[[#This Row],[Customer ID]],customers!$A$1:$A$1001,customers!$I$1:$I$1001,0)</f>
        <v>No</v>
      </c>
    </row>
    <row r="53" spans="1:16" x14ac:dyDescent="0.25">
      <c r="A53" s="2" t="s">
        <v>778</v>
      </c>
      <c r="B53" s="4">
        <v>43600</v>
      </c>
      <c r="C53" s="2" t="s">
        <v>779</v>
      </c>
      <c r="D53" t="s">
        <v>6164</v>
      </c>
      <c r="E53" s="2">
        <v>4</v>
      </c>
      <c r="F53" s="2" t="str">
        <f>_xlfn.XLOOKUP(C53,customers!$A$1:$A$1001,customers!$B$1:$B$1001,0)</f>
        <v>Karry Flanders</v>
      </c>
      <c r="G53" s="2" t="s">
        <v>781</v>
      </c>
      <c r="H53" s="2" t="str">
        <f>_xlfn.XLOOKUP(C53,customers!$A$1:$A$1001,customers!$G$1:$G$1001,0)</f>
        <v>Ireland</v>
      </c>
      <c r="I53" t="str">
        <f>_xlfn.XLOOKUP(D53,products!$A$1:$A$49,products!$B$1:$B$49,0)</f>
        <v>Lib</v>
      </c>
      <c r="J53" t="str">
        <f>_xlfn.XLOOKUP(worksheet!D53,products!$A$1:$A$49,products!$C$1:$C$49,0)</f>
        <v>L</v>
      </c>
      <c r="K53" s="5">
        <f>_xlfn.XLOOKUP(worksheet!D53,products!$A$1:$A$49,products!$D$1:$D$49,0)</f>
        <v>2.5</v>
      </c>
      <c r="L53" s="6">
        <f>_xlfn.XLOOKUP(worksheet!D53,products!$A$1:$A$49,products!$E$1:$E$49,0)</f>
        <v>36.454999999999998</v>
      </c>
      <c r="M53" s="6">
        <f>worksheet!E53*worksheet!L53</f>
        <v>145.82</v>
      </c>
      <c r="N53" t="str">
        <f t="shared" si="0"/>
        <v>Liberica</v>
      </c>
      <c r="O53" t="str">
        <f t="shared" si="1"/>
        <v>Light</v>
      </c>
      <c r="P53" t="str">
        <f>_xlfn.XLOOKUP(worksheet[[#This Row],[Customer ID]],customers!$A$1:$A$1001,customers!$I$1:$I$1001,0)</f>
        <v>Yes</v>
      </c>
    </row>
    <row r="54" spans="1:16" x14ac:dyDescent="0.25">
      <c r="A54" s="2" t="s">
        <v>784</v>
      </c>
      <c r="B54" s="4">
        <v>43719</v>
      </c>
      <c r="C54" s="2" t="s">
        <v>785</v>
      </c>
      <c r="D54" t="s">
        <v>6146</v>
      </c>
      <c r="E54" s="2">
        <v>5</v>
      </c>
      <c r="F54" s="2" t="str">
        <f>_xlfn.XLOOKUP(C54,customers!$A$1:$A$1001,customers!$B$1:$B$1001,0)</f>
        <v>Hartley Mattioli</v>
      </c>
      <c r="G54" s="2" t="s">
        <v>787</v>
      </c>
      <c r="H54" s="2" t="str">
        <f>_xlfn.XLOOKUP(C54,customers!$A$1:$A$1001,customers!$G$1:$G$1001,0)</f>
        <v>United Kingdom</v>
      </c>
      <c r="I54" t="str">
        <f>_xlfn.XLOOKUP(D54,products!$A$1:$A$49,products!$B$1:$B$49,0)</f>
        <v>Rob</v>
      </c>
      <c r="J54" t="str">
        <f>_xlfn.XLOOKUP(worksheet!D54,products!$A$1:$A$49,products!$C$1:$C$49,0)</f>
        <v>M</v>
      </c>
      <c r="K54" s="5">
        <f>_xlfn.XLOOKUP(worksheet!D54,products!$A$1:$A$49,products!$D$1:$D$49,0)</f>
        <v>0.5</v>
      </c>
      <c r="L54" s="6">
        <f>_xlfn.XLOOKUP(worksheet!D54,products!$A$1:$A$49,products!$E$1:$E$49,0)</f>
        <v>5.97</v>
      </c>
      <c r="M54" s="6">
        <f>worksheet!E54*worksheet!L54</f>
        <v>29.849999999999998</v>
      </c>
      <c r="N54" t="str">
        <f t="shared" si="0"/>
        <v>Robusta</v>
      </c>
      <c r="O54" t="str">
        <f t="shared" si="1"/>
        <v>Medium</v>
      </c>
      <c r="P54" t="str">
        <f>_xlfn.XLOOKUP(worksheet[[#This Row],[Customer ID]],customers!$A$1:$A$1001,customers!$I$1:$I$1001,0)</f>
        <v>No</v>
      </c>
    </row>
    <row r="55" spans="1:16" x14ac:dyDescent="0.25">
      <c r="A55" s="2" t="s">
        <v>784</v>
      </c>
      <c r="B55" s="4">
        <v>43719</v>
      </c>
      <c r="C55" s="2" t="s">
        <v>785</v>
      </c>
      <c r="D55" t="s">
        <v>6164</v>
      </c>
      <c r="E55" s="2">
        <v>2</v>
      </c>
      <c r="F55" s="2" t="str">
        <f>_xlfn.XLOOKUP(C55,customers!$A$1:$A$1001,customers!$B$1:$B$1001,0)</f>
        <v>Hartley Mattioli</v>
      </c>
      <c r="G55" s="2" t="s">
        <v>787</v>
      </c>
      <c r="H55" s="2" t="str">
        <f>_xlfn.XLOOKUP(C55,customers!$A$1:$A$1001,customers!$G$1:$G$1001,0)</f>
        <v>United Kingdom</v>
      </c>
      <c r="I55" t="str">
        <f>_xlfn.XLOOKUP(D55,products!$A$1:$A$49,products!$B$1:$B$49,0)</f>
        <v>Lib</v>
      </c>
      <c r="J55" t="str">
        <f>_xlfn.XLOOKUP(worksheet!D55,products!$A$1:$A$49,products!$C$1:$C$49,0)</f>
        <v>L</v>
      </c>
      <c r="K55" s="5">
        <f>_xlfn.XLOOKUP(worksheet!D55,products!$A$1:$A$49,products!$D$1:$D$49,0)</f>
        <v>2.5</v>
      </c>
      <c r="L55" s="6">
        <f>_xlfn.XLOOKUP(worksheet!D55,products!$A$1:$A$49,products!$E$1:$E$49,0)</f>
        <v>36.454999999999998</v>
      </c>
      <c r="M55" s="6">
        <f>worksheet!E55*worksheet!L55</f>
        <v>72.91</v>
      </c>
      <c r="N55" t="str">
        <f t="shared" si="0"/>
        <v>Liberica</v>
      </c>
      <c r="O55" t="str">
        <f t="shared" si="1"/>
        <v>Light</v>
      </c>
      <c r="P55" t="str">
        <f>_xlfn.XLOOKUP(worksheet[[#This Row],[Customer ID]],customers!$A$1:$A$1001,customers!$I$1:$I$1001,0)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
        <v>797</v>
      </c>
      <c r="H56" s="2" t="str">
        <f>_xlfn.XLOOKUP(C56,customers!$A$1:$A$1001,customers!$G$1:$G$1001,0)</f>
        <v>United States</v>
      </c>
      <c r="I56" t="str">
        <f>_xlfn.XLOOKUP(D56,products!$A$1:$A$49,products!$B$1:$B$49,0)</f>
        <v>Lib</v>
      </c>
      <c r="J56" t="str">
        <f>_xlfn.XLOOKUP(worksheet!D56,products!$A$1:$A$49,products!$C$1:$C$49,0)</f>
        <v>M</v>
      </c>
      <c r="K56" s="5">
        <f>_xlfn.XLOOKUP(worksheet!D56,products!$A$1:$A$49,products!$D$1:$D$49,0)</f>
        <v>1</v>
      </c>
      <c r="L56" s="6">
        <f>_xlfn.XLOOKUP(worksheet!D56,products!$A$1:$A$49,products!$E$1:$E$49,0)</f>
        <v>14.55</v>
      </c>
      <c r="M56" s="6">
        <f>worksheet!E56*worksheet!L56</f>
        <v>72.75</v>
      </c>
      <c r="N56" t="str">
        <f t="shared" si="0"/>
        <v>Liberica</v>
      </c>
      <c r="O56" t="str">
        <f t="shared" si="1"/>
        <v>Medium</v>
      </c>
      <c r="P56" t="str">
        <f>_xlfn.XLOOKUP(worksheet[[#This Row],[Customer ID]],customers!$A$1:$A$1001,customers!$I$1:$I$1001,0)</f>
        <v>No</v>
      </c>
    </row>
    <row r="57" spans="1:16" x14ac:dyDescent="0.25">
      <c r="A57" s="2" t="s">
        <v>800</v>
      </c>
      <c r="B57" s="4">
        <v>44168</v>
      </c>
      <c r="C57" s="2" t="s">
        <v>801</v>
      </c>
      <c r="D57" t="s">
        <v>6170</v>
      </c>
      <c r="E57" s="2">
        <v>3</v>
      </c>
      <c r="F57" s="2" t="str">
        <f>_xlfn.XLOOKUP(C57,customers!$A$1:$A$1001,customers!$B$1:$B$1001,0)</f>
        <v>Salomo Cushworth</v>
      </c>
      <c r="G57" s="2" t="s">
        <v>6222</v>
      </c>
      <c r="H57" s="2" t="str">
        <f>_xlfn.XLOOKUP(C57,customers!$A$1:$A$1001,customers!$G$1:$G$1001,0)</f>
        <v>United States</v>
      </c>
      <c r="I57" t="str">
        <f>_xlfn.XLOOKUP(D57,products!$A$1:$A$49,products!$B$1:$B$49,0)</f>
        <v>Lib</v>
      </c>
      <c r="J57" t="str">
        <f>_xlfn.XLOOKUP(worksheet!D57,products!$A$1:$A$49,products!$C$1:$C$49,0)</f>
        <v>L</v>
      </c>
      <c r="K57" s="5">
        <f>_xlfn.XLOOKUP(worksheet!D57,products!$A$1:$A$49,products!$D$1:$D$49,0)</f>
        <v>1</v>
      </c>
      <c r="L57" s="6">
        <f>_xlfn.XLOOKUP(worksheet!D57,products!$A$1:$A$49,products!$E$1:$E$49,0)</f>
        <v>15.85</v>
      </c>
      <c r="M57" s="6">
        <f>worksheet!E57*worksheet!L57</f>
        <v>47.55</v>
      </c>
      <c r="N57" t="str">
        <f t="shared" si="0"/>
        <v>Liberica</v>
      </c>
      <c r="O57" t="str">
        <f t="shared" si="1"/>
        <v>Light</v>
      </c>
      <c r="P57" t="str">
        <f>_xlfn.XLOOKUP(worksheet[[#This Row],[Customer ID]],customers!$A$1:$A$1001,customers!$I$1:$I$1001,0)</f>
        <v>No</v>
      </c>
    </row>
    <row r="58" spans="1:16" x14ac:dyDescent="0.25">
      <c r="A58" s="2" t="s">
        <v>805</v>
      </c>
      <c r="B58" s="4">
        <v>43857</v>
      </c>
      <c r="C58" s="2" t="s">
        <v>806</v>
      </c>
      <c r="D58" t="s">
        <v>6153</v>
      </c>
      <c r="E58" s="2">
        <v>3</v>
      </c>
      <c r="F58" s="2" t="str">
        <f>_xlfn.XLOOKUP(C58,customers!$A$1:$A$1001,customers!$B$1:$B$1001,0)</f>
        <v>Theda Grizard</v>
      </c>
      <c r="G58" s="2" t="s">
        <v>808</v>
      </c>
      <c r="H58" s="2" t="str">
        <f>_xlfn.XLOOKUP(C58,customers!$A$1:$A$1001,customers!$G$1:$G$1001,0)</f>
        <v>United States</v>
      </c>
      <c r="I58" t="str">
        <f>_xlfn.XLOOKUP(D58,products!$A$1:$A$49,products!$B$1:$B$49,0)</f>
        <v>Exc</v>
      </c>
      <c r="J58" t="str">
        <f>_xlfn.XLOOKUP(worksheet!D58,products!$A$1:$A$49,products!$C$1:$C$49,0)</f>
        <v>D</v>
      </c>
      <c r="K58" s="5">
        <f>_xlfn.XLOOKUP(worksheet!D58,products!$A$1:$A$49,products!$D$1:$D$49,0)</f>
        <v>0.2</v>
      </c>
      <c r="L58" s="6">
        <f>_xlfn.XLOOKUP(worksheet!D58,products!$A$1:$A$49,products!$E$1:$E$49,0)</f>
        <v>3.645</v>
      </c>
      <c r="M58" s="6">
        <f>worksheet!E58*worksheet!L58</f>
        <v>10.935</v>
      </c>
      <c r="N58" t="str">
        <f t="shared" si="0"/>
        <v>Excelsa</v>
      </c>
      <c r="O58" t="str">
        <f t="shared" si="1"/>
        <v>Dark</v>
      </c>
      <c r="P58" t="str">
        <f>_xlfn.XLOOKUP(worksheet[[#This Row],[Customer ID]],customers!$A$1:$A$1001,customers!$I$1:$I$1001,0)</f>
        <v>Yes</v>
      </c>
    </row>
    <row r="59" spans="1:16" x14ac:dyDescent="0.25">
      <c r="A59" s="2" t="s">
        <v>811</v>
      </c>
      <c r="B59" s="4">
        <v>44759</v>
      </c>
      <c r="C59" s="2" t="s">
        <v>812</v>
      </c>
      <c r="D59" t="s">
        <v>6171</v>
      </c>
      <c r="E59" s="2">
        <v>4</v>
      </c>
      <c r="F59" s="2" t="str">
        <f>_xlfn.XLOOKUP(C59,customers!$A$1:$A$1001,customers!$B$1:$B$1001,0)</f>
        <v>Rozele Relton</v>
      </c>
      <c r="G59" s="2" t="s">
        <v>814</v>
      </c>
      <c r="H59" s="2" t="str">
        <f>_xlfn.XLOOKUP(C59,customers!$A$1:$A$1001,customers!$G$1:$G$1001,0)</f>
        <v>United States</v>
      </c>
      <c r="I59" t="str">
        <f>_xlfn.XLOOKUP(D59,products!$A$1:$A$49,products!$B$1:$B$49,0)</f>
        <v>Exc</v>
      </c>
      <c r="J59" t="str">
        <f>_xlfn.XLOOKUP(worksheet!D59,products!$A$1:$A$49,products!$C$1:$C$49,0)</f>
        <v>L</v>
      </c>
      <c r="K59" s="5">
        <f>_xlfn.XLOOKUP(worksheet!D59,products!$A$1:$A$49,products!$D$1:$D$49,0)</f>
        <v>1</v>
      </c>
      <c r="L59" s="6">
        <f>_xlfn.XLOOKUP(worksheet!D59,products!$A$1:$A$49,products!$E$1:$E$49,0)</f>
        <v>14.85</v>
      </c>
      <c r="M59" s="6">
        <f>worksheet!E59*worksheet!L59</f>
        <v>59.4</v>
      </c>
      <c r="N59" t="str">
        <f t="shared" si="0"/>
        <v>Excelsa</v>
      </c>
      <c r="O59" t="str">
        <f t="shared" si="1"/>
        <v>Light</v>
      </c>
      <c r="P59" t="str">
        <f>_xlfn.XLOOKUP(worksheet[[#This Row],[Customer ID]],customers!$A$1:$A$1001,customers!$I$1:$I$1001,0)</f>
        <v>No</v>
      </c>
    </row>
    <row r="60" spans="1:16" x14ac:dyDescent="0.25">
      <c r="A60" s="2" t="s">
        <v>817</v>
      </c>
      <c r="B60" s="4">
        <v>44624</v>
      </c>
      <c r="C60" s="2" t="s">
        <v>818</v>
      </c>
      <c r="D60" t="s">
        <v>6165</v>
      </c>
      <c r="E60" s="2">
        <v>3</v>
      </c>
      <c r="F60" s="2" t="str">
        <f>_xlfn.XLOOKUP(C60,customers!$A$1:$A$1001,customers!$B$1:$B$1001,0)</f>
        <v>Willa Rolling</v>
      </c>
      <c r="G60" s="2" t="s">
        <v>6222</v>
      </c>
      <c r="H60" s="2" t="str">
        <f>_xlfn.XLOOKUP(C60,customers!$A$1:$A$1001,customers!$G$1:$G$1001,0)</f>
        <v>United States</v>
      </c>
      <c r="I60" t="str">
        <f>_xlfn.XLOOKUP(D60,products!$A$1:$A$49,products!$B$1:$B$49,0)</f>
        <v>Lib</v>
      </c>
      <c r="J60" t="str">
        <f>_xlfn.XLOOKUP(worksheet!D60,products!$A$1:$A$49,products!$C$1:$C$49,0)</f>
        <v>D</v>
      </c>
      <c r="K60" s="5">
        <f>_xlfn.XLOOKUP(worksheet!D60,products!$A$1:$A$49,products!$D$1:$D$49,0)</f>
        <v>2.5</v>
      </c>
      <c r="L60" s="6">
        <f>_xlfn.XLOOKUP(worksheet!D60,products!$A$1:$A$49,products!$E$1:$E$49,0)</f>
        <v>29.784999999999997</v>
      </c>
      <c r="M60" s="6">
        <f>worksheet!E60*worksheet!L60</f>
        <v>89.35499999999999</v>
      </c>
      <c r="N60" t="str">
        <f t="shared" si="0"/>
        <v>Liberica</v>
      </c>
      <c r="O60" t="str">
        <f t="shared" si="1"/>
        <v>Dark</v>
      </c>
      <c r="P60" t="str">
        <f>_xlfn.XLOOKUP(worksheet[[#This Row],[Customer ID]],customers!$A$1:$A$1001,customers!$I$1:$I$1001,0)</f>
        <v>Yes</v>
      </c>
    </row>
    <row r="61" spans="1:16" x14ac:dyDescent="0.25">
      <c r="A61" s="2" t="s">
        <v>822</v>
      </c>
      <c r="B61" s="4">
        <v>44537</v>
      </c>
      <c r="C61" s="2" t="s">
        <v>823</v>
      </c>
      <c r="D61" t="s">
        <v>6160</v>
      </c>
      <c r="E61" s="2">
        <v>3</v>
      </c>
      <c r="F61" s="2" t="str">
        <f>_xlfn.XLOOKUP(C61,customers!$A$1:$A$1001,customers!$B$1:$B$1001,0)</f>
        <v>Stanislaus Gilroy</v>
      </c>
      <c r="G61" s="2" t="s">
        <v>825</v>
      </c>
      <c r="H61" s="2" t="str">
        <f>_xlfn.XLOOKUP(C61,customers!$A$1:$A$1001,customers!$G$1:$G$1001,0)</f>
        <v>United States</v>
      </c>
      <c r="I61" t="str">
        <f>_xlfn.XLOOKUP(D61,products!$A$1:$A$49,products!$B$1:$B$49,0)</f>
        <v>Lib</v>
      </c>
      <c r="J61" t="str">
        <f>_xlfn.XLOOKUP(worksheet!D61,products!$A$1:$A$49,products!$C$1:$C$49,0)</f>
        <v>M</v>
      </c>
      <c r="K61" s="5">
        <f>_xlfn.XLOOKUP(worksheet!D61,products!$A$1:$A$49,products!$D$1:$D$49,0)</f>
        <v>0.5</v>
      </c>
      <c r="L61" s="6">
        <f>_xlfn.XLOOKUP(worksheet!D61,products!$A$1:$A$49,products!$E$1:$E$49,0)</f>
        <v>8.73</v>
      </c>
      <c r="M61" s="6">
        <f>worksheet!E61*worksheet!L61</f>
        <v>26.19</v>
      </c>
      <c r="N61" t="str">
        <f t="shared" si="0"/>
        <v>Liberica</v>
      </c>
      <c r="O61" t="str">
        <f t="shared" si="1"/>
        <v>Medium</v>
      </c>
      <c r="P61" t="str">
        <f>_xlfn.XLOOKUP(worksheet[[#This Row],[Customer ID]],customers!$A$1:$A$1001,customers!$I$1:$I$1001,0)</f>
        <v>Yes</v>
      </c>
    </row>
    <row r="62" spans="1:16" x14ac:dyDescent="0.25">
      <c r="A62" s="2" t="s">
        <v>827</v>
      </c>
      <c r="B62" s="4">
        <v>44252</v>
      </c>
      <c r="C62" s="2" t="s">
        <v>828</v>
      </c>
      <c r="D62" t="s">
        <v>6168</v>
      </c>
      <c r="E62" s="2">
        <v>5</v>
      </c>
      <c r="F62" s="2" t="str">
        <f>_xlfn.XLOOKUP(C62,customers!$A$1:$A$1001,customers!$B$1:$B$1001,0)</f>
        <v>Correy Cottingham</v>
      </c>
      <c r="G62" s="2" t="s">
        <v>830</v>
      </c>
      <c r="H62" s="2" t="str">
        <f>_xlfn.XLOOKUP(C62,customers!$A$1:$A$1001,customers!$G$1:$G$1001,0)</f>
        <v>United States</v>
      </c>
      <c r="I62" t="str">
        <f>_xlfn.XLOOKUP(D62,products!$A$1:$A$49,products!$B$1:$B$49,0)</f>
        <v>Ara</v>
      </c>
      <c r="J62" t="str">
        <f>_xlfn.XLOOKUP(worksheet!D62,products!$A$1:$A$49,products!$C$1:$C$49,0)</f>
        <v>D</v>
      </c>
      <c r="K62" s="5">
        <f>_xlfn.XLOOKUP(worksheet!D62,products!$A$1:$A$49,products!$D$1:$D$49,0)</f>
        <v>2.5</v>
      </c>
      <c r="L62" s="6">
        <f>_xlfn.XLOOKUP(worksheet!D62,products!$A$1:$A$49,products!$E$1:$E$49,0)</f>
        <v>22.884999999999998</v>
      </c>
      <c r="M62" s="6">
        <f>worksheet!E62*worksheet!L62</f>
        <v>114.42499999999998</v>
      </c>
      <c r="N62" t="str">
        <f t="shared" si="0"/>
        <v>Arabica</v>
      </c>
      <c r="O62" t="str">
        <f t="shared" si="1"/>
        <v>Dark</v>
      </c>
      <c r="P62" t="str">
        <f>_xlfn.XLOOKUP(worksheet[[#This Row],[Customer ID]],customers!$A$1:$A$1001,customers!$I$1:$I$1001,0)</f>
        <v>No</v>
      </c>
    </row>
    <row r="63" spans="1:16" x14ac:dyDescent="0.25">
      <c r="A63" s="2" t="s">
        <v>833</v>
      </c>
      <c r="B63" s="4">
        <v>43521</v>
      </c>
      <c r="C63" s="2" t="s">
        <v>834</v>
      </c>
      <c r="D63" t="s">
        <v>6172</v>
      </c>
      <c r="E63" s="2">
        <v>5</v>
      </c>
      <c r="F63" s="2" t="str">
        <f>_xlfn.XLOOKUP(C63,customers!$A$1:$A$1001,customers!$B$1:$B$1001,0)</f>
        <v>Pammi Endacott</v>
      </c>
      <c r="G63" s="2" t="s">
        <v>6222</v>
      </c>
      <c r="H63" s="2" t="str">
        <f>_xlfn.XLOOKUP(C63,customers!$A$1:$A$1001,customers!$G$1:$G$1001,0)</f>
        <v>United Kingdom</v>
      </c>
      <c r="I63" t="str">
        <f>_xlfn.XLOOKUP(D63,products!$A$1:$A$49,products!$B$1:$B$49,0)</f>
        <v>Rob</v>
      </c>
      <c r="J63" t="str">
        <f>_xlfn.XLOOKUP(worksheet!D63,products!$A$1:$A$49,products!$C$1:$C$49,0)</f>
        <v>D</v>
      </c>
      <c r="K63" s="5">
        <f>_xlfn.XLOOKUP(worksheet!D63,products!$A$1:$A$49,products!$D$1:$D$49,0)</f>
        <v>0.5</v>
      </c>
      <c r="L63" s="6">
        <f>_xlfn.XLOOKUP(worksheet!D63,products!$A$1:$A$49,products!$E$1:$E$49,0)</f>
        <v>5.3699999999999992</v>
      </c>
      <c r="M63" s="6">
        <f>worksheet!E63*worksheet!L63</f>
        <v>26.849999999999994</v>
      </c>
      <c r="N63" t="str">
        <f t="shared" si="0"/>
        <v>Robusta</v>
      </c>
      <c r="O63" t="str">
        <f t="shared" si="1"/>
        <v>Dark</v>
      </c>
      <c r="P63" t="str">
        <f>_xlfn.XLOOKUP(worksheet[[#This Row],[Customer ID]],customers!$A$1:$A$1001,customers!$I$1:$I$1001,0)</f>
        <v>Yes</v>
      </c>
    </row>
    <row r="64" spans="1:16" x14ac:dyDescent="0.25">
      <c r="A64" s="2" t="s">
        <v>838</v>
      </c>
      <c r="B64" s="4">
        <v>43505</v>
      </c>
      <c r="C64" s="2" t="s">
        <v>839</v>
      </c>
      <c r="D64" t="s">
        <v>6145</v>
      </c>
      <c r="E64" s="2">
        <v>5</v>
      </c>
      <c r="F64" s="2" t="str">
        <f>_xlfn.XLOOKUP(C64,customers!$A$1:$A$1001,customers!$B$1:$B$1001,0)</f>
        <v>Nona Linklater</v>
      </c>
      <c r="G64" s="2" t="s">
        <v>6222</v>
      </c>
      <c r="H64" s="2" t="str">
        <f>_xlfn.XLOOKUP(C64,customers!$A$1:$A$1001,customers!$G$1:$G$1001,0)</f>
        <v>United States</v>
      </c>
      <c r="I64" t="str">
        <f>_xlfn.XLOOKUP(D64,products!$A$1:$A$49,products!$B$1:$B$49,0)</f>
        <v>Lib</v>
      </c>
      <c r="J64" t="str">
        <f>_xlfn.XLOOKUP(worksheet!D64,products!$A$1:$A$49,products!$C$1:$C$49,0)</f>
        <v>L</v>
      </c>
      <c r="K64" s="5">
        <f>_xlfn.XLOOKUP(worksheet!D64,products!$A$1:$A$49,products!$D$1:$D$49,0)</f>
        <v>0.2</v>
      </c>
      <c r="L64" s="6">
        <f>_xlfn.XLOOKUP(worksheet!D64,products!$A$1:$A$49,products!$E$1:$E$49,0)</f>
        <v>4.7549999999999999</v>
      </c>
      <c r="M64" s="6">
        <f>worksheet!E64*worksheet!L64</f>
        <v>23.774999999999999</v>
      </c>
      <c r="N64" t="str">
        <f t="shared" si="0"/>
        <v>Liberica</v>
      </c>
      <c r="O64" t="str">
        <f t="shared" si="1"/>
        <v>Light</v>
      </c>
      <c r="P64" t="str">
        <f>_xlfn.XLOOKUP(worksheet[[#This Row],[Customer ID]],customers!$A$1:$A$1001,customers!$I$1:$I$1001,0)</f>
        <v>Yes</v>
      </c>
    </row>
    <row r="65" spans="1:16" x14ac:dyDescent="0.25">
      <c r="A65" s="2" t="s">
        <v>843</v>
      </c>
      <c r="B65" s="4">
        <v>43868</v>
      </c>
      <c r="C65" s="2" t="s">
        <v>844</v>
      </c>
      <c r="D65" t="s">
        <v>6157</v>
      </c>
      <c r="E65" s="2">
        <v>1</v>
      </c>
      <c r="F65" s="2" t="str">
        <f>_xlfn.XLOOKUP(C65,customers!$A$1:$A$1001,customers!$B$1:$B$1001,0)</f>
        <v>Annadiane Dykes</v>
      </c>
      <c r="G65" s="2" t="s">
        <v>846</v>
      </c>
      <c r="H65" s="2" t="str">
        <f>_xlfn.XLOOKUP(C65,customers!$A$1:$A$1001,customers!$G$1:$G$1001,0)</f>
        <v>United States</v>
      </c>
      <c r="I65" t="str">
        <f>_xlfn.XLOOKUP(D65,products!$A$1:$A$49,products!$B$1:$B$49,0)</f>
        <v>Ara</v>
      </c>
      <c r="J65" t="str">
        <f>_xlfn.XLOOKUP(worksheet!D65,products!$A$1:$A$49,products!$C$1:$C$49,0)</f>
        <v>M</v>
      </c>
      <c r="K65" s="5">
        <f>_xlfn.XLOOKUP(worksheet!D65,products!$A$1:$A$49,products!$D$1:$D$49,0)</f>
        <v>0.5</v>
      </c>
      <c r="L65" s="6">
        <f>_xlfn.XLOOKUP(worksheet!D65,products!$A$1:$A$49,products!$E$1:$E$49,0)</f>
        <v>6.75</v>
      </c>
      <c r="M65" s="6">
        <f>worksheet!E65*worksheet!L65</f>
        <v>6.75</v>
      </c>
      <c r="N65" t="str">
        <f t="shared" si="0"/>
        <v>Arabica</v>
      </c>
      <c r="O65" t="str">
        <f t="shared" si="1"/>
        <v>Medium</v>
      </c>
      <c r="P65" t="str">
        <f>_xlfn.XLOOKUP(worksheet[[#This Row],[Customer ID]],customers!$A$1:$A$1001,customers!$I$1:$I$1001,0)</f>
        <v>No</v>
      </c>
    </row>
    <row r="66" spans="1:16" x14ac:dyDescent="0.25">
      <c r="A66" s="2" t="s">
        <v>849</v>
      </c>
      <c r="B66" s="4">
        <v>43913</v>
      </c>
      <c r="C66" s="2" t="s">
        <v>850</v>
      </c>
      <c r="D66" t="s">
        <v>6146</v>
      </c>
      <c r="E66" s="2">
        <v>6</v>
      </c>
      <c r="F66" s="2" t="str">
        <f>_xlfn.XLOOKUP(C66,customers!$A$1:$A$1001,customers!$B$1:$B$1001,0)</f>
        <v>Felecia Dodgson</v>
      </c>
      <c r="G66" s="2" t="s">
        <v>6222</v>
      </c>
      <c r="H66" s="2" t="str">
        <f>_xlfn.XLOOKUP(C66,customers!$A$1:$A$1001,customers!$G$1:$G$1001,0)</f>
        <v>United States</v>
      </c>
      <c r="I66" t="str">
        <f>_xlfn.XLOOKUP(D66,products!$A$1:$A$49,products!$B$1:$B$49,0)</f>
        <v>Rob</v>
      </c>
      <c r="J66" t="str">
        <f>_xlfn.XLOOKUP(worksheet!D66,products!$A$1:$A$49,products!$C$1:$C$49,0)</f>
        <v>M</v>
      </c>
      <c r="K66" s="5">
        <f>_xlfn.XLOOKUP(worksheet!D66,products!$A$1:$A$49,products!$D$1:$D$49,0)</f>
        <v>0.5</v>
      </c>
      <c r="L66" s="6">
        <f>_xlfn.XLOOKUP(worksheet!D66,products!$A$1:$A$49,products!$E$1:$E$49,0)</f>
        <v>5.97</v>
      </c>
      <c r="M66" s="6">
        <f>worksheet!E66*worksheet!L66</f>
        <v>35.82</v>
      </c>
      <c r="N66" t="str">
        <f t="shared" si="0"/>
        <v>Robusta</v>
      </c>
      <c r="O66" t="str">
        <f t="shared" si="1"/>
        <v>Medium</v>
      </c>
      <c r="P66" t="str">
        <f>_xlfn.XLOOKUP(worksheet[[#This Row],[Customer ID]],customers!$A$1:$A$1001,customers!$I$1:$I$1001,0)</f>
        <v>Yes</v>
      </c>
    </row>
    <row r="67" spans="1:16" x14ac:dyDescent="0.25">
      <c r="A67" s="2" t="s">
        <v>854</v>
      </c>
      <c r="B67" s="4">
        <v>44626</v>
      </c>
      <c r="C67" s="2" t="s">
        <v>855</v>
      </c>
      <c r="D67" t="s">
        <v>6149</v>
      </c>
      <c r="E67" s="2">
        <v>4</v>
      </c>
      <c r="F67" s="2" t="str">
        <f>_xlfn.XLOOKUP(C67,customers!$A$1:$A$1001,customers!$B$1:$B$1001,0)</f>
        <v>Angelia Cockrem</v>
      </c>
      <c r="G67" s="2" t="s">
        <v>857</v>
      </c>
      <c r="H67" s="2" t="str">
        <f>_xlfn.XLOOKUP(C67,customers!$A$1:$A$1001,customers!$G$1:$G$1001,0)</f>
        <v>United States</v>
      </c>
      <c r="I67" t="str">
        <f>_xlfn.XLOOKUP(D67,products!$A$1:$A$49,products!$B$1:$B$49,0)</f>
        <v>Rob</v>
      </c>
      <c r="J67" t="str">
        <f>_xlfn.XLOOKUP(worksheet!D67,products!$A$1:$A$49,products!$C$1:$C$49,0)</f>
        <v>D</v>
      </c>
      <c r="K67" s="5">
        <f>_xlfn.XLOOKUP(worksheet!D67,products!$A$1:$A$49,products!$D$1:$D$49,0)</f>
        <v>2.5</v>
      </c>
      <c r="L67" s="6">
        <f>_xlfn.XLOOKUP(worksheet!D67,products!$A$1:$A$49,products!$E$1:$E$49,0)</f>
        <v>20.584999999999997</v>
      </c>
      <c r="M67" s="6">
        <f>worksheet!E67*worksheet!L67</f>
        <v>82.339999999999989</v>
      </c>
      <c r="N67" t="str">
        <f t="shared" ref="N67:N130" si="2">IF(I67="Rob","Robusta",IF(I67="Exc","Excelsa",IF(I67="Ara","Arabica",IF(I67="Lib","Liberica",""))))</f>
        <v>Robusta</v>
      </c>
      <c r="O67" t="str">
        <f t="shared" ref="O67:O130" si="3">IF(J67="M","Medium",IF(J67="L","Light",IF(J67="D","Dark","")))</f>
        <v>Dark</v>
      </c>
      <c r="P67" t="str">
        <f>_xlfn.XLOOKUP(worksheet[[#This Row],[Customer ID]],customers!$A$1:$A$1001,customers!$I$1:$I$1001,0)</f>
        <v>Yes</v>
      </c>
    </row>
    <row r="68" spans="1:16" x14ac:dyDescent="0.25">
      <c r="A68" s="2" t="s">
        <v>860</v>
      </c>
      <c r="B68" s="4">
        <v>44666</v>
      </c>
      <c r="C68" s="2" t="s">
        <v>861</v>
      </c>
      <c r="D68" t="s">
        <v>6173</v>
      </c>
      <c r="E68" s="2">
        <v>1</v>
      </c>
      <c r="F68" s="2" t="str">
        <f>_xlfn.XLOOKUP(C68,customers!$A$1:$A$1001,customers!$B$1:$B$1001,0)</f>
        <v>Belvia Umpleby</v>
      </c>
      <c r="G68" s="2" t="s">
        <v>863</v>
      </c>
      <c r="H68" s="2" t="str">
        <f>_xlfn.XLOOKUP(C68,customers!$A$1:$A$1001,customers!$G$1:$G$1001,0)</f>
        <v>United States</v>
      </c>
      <c r="I68" t="str">
        <f>_xlfn.XLOOKUP(D68,products!$A$1:$A$49,products!$B$1:$B$49,0)</f>
        <v>Rob</v>
      </c>
      <c r="J68" t="str">
        <f>_xlfn.XLOOKUP(worksheet!D68,products!$A$1:$A$49,products!$C$1:$C$49,0)</f>
        <v>L</v>
      </c>
      <c r="K68" s="5">
        <f>_xlfn.XLOOKUP(worksheet!D68,products!$A$1:$A$49,products!$D$1:$D$49,0)</f>
        <v>0.5</v>
      </c>
      <c r="L68" s="6">
        <f>_xlfn.XLOOKUP(worksheet!D68,products!$A$1:$A$49,products!$E$1:$E$49,0)</f>
        <v>7.169999999999999</v>
      </c>
      <c r="M68" s="6">
        <f>worksheet!E68*worksheet!L68</f>
        <v>7.169999999999999</v>
      </c>
      <c r="N68" t="str">
        <f t="shared" si="2"/>
        <v>Robusta</v>
      </c>
      <c r="O68" t="str">
        <f t="shared" si="3"/>
        <v>Light</v>
      </c>
      <c r="P68" t="str">
        <f>_xlfn.XLOOKUP(worksheet[[#This Row],[Customer ID]],customers!$A$1:$A$1001,customers!$I$1:$I$1001,0)</f>
        <v>Yes</v>
      </c>
    </row>
    <row r="69" spans="1:16" x14ac:dyDescent="0.25">
      <c r="A69" s="2" t="s">
        <v>866</v>
      </c>
      <c r="B69" s="4">
        <v>44519</v>
      </c>
      <c r="C69" s="2" t="s">
        <v>867</v>
      </c>
      <c r="D69" t="s">
        <v>6145</v>
      </c>
      <c r="E69" s="2">
        <v>2</v>
      </c>
      <c r="F69" s="2" t="str">
        <f>_xlfn.XLOOKUP(C69,customers!$A$1:$A$1001,customers!$B$1:$B$1001,0)</f>
        <v>Nat Saleway</v>
      </c>
      <c r="G69" s="2" t="s">
        <v>869</v>
      </c>
      <c r="H69" s="2" t="str">
        <f>_xlfn.XLOOKUP(C69,customers!$A$1:$A$1001,customers!$G$1:$G$1001,0)</f>
        <v>United States</v>
      </c>
      <c r="I69" t="str">
        <f>_xlfn.XLOOKUP(D69,products!$A$1:$A$49,products!$B$1:$B$49,0)</f>
        <v>Lib</v>
      </c>
      <c r="J69" t="str">
        <f>_xlfn.XLOOKUP(worksheet!D69,products!$A$1:$A$49,products!$C$1:$C$49,0)</f>
        <v>L</v>
      </c>
      <c r="K69" s="5">
        <f>_xlfn.XLOOKUP(worksheet!D69,products!$A$1:$A$49,products!$D$1:$D$49,0)</f>
        <v>0.2</v>
      </c>
      <c r="L69" s="6">
        <f>_xlfn.XLOOKUP(worksheet!D69,products!$A$1:$A$49,products!$E$1:$E$49,0)</f>
        <v>4.7549999999999999</v>
      </c>
      <c r="M69" s="6">
        <f>worksheet!E69*worksheet!L69</f>
        <v>9.51</v>
      </c>
      <c r="N69" t="str">
        <f t="shared" si="2"/>
        <v>Liberica</v>
      </c>
      <c r="O69" t="str">
        <f t="shared" si="3"/>
        <v>Light</v>
      </c>
      <c r="P69" t="str">
        <f>_xlfn.XLOOKUP(worksheet[[#This Row],[Customer ID]],customers!$A$1:$A$1001,customers!$I$1:$I$1001,0)</f>
        <v>No</v>
      </c>
    </row>
    <row r="70" spans="1:16" x14ac:dyDescent="0.25">
      <c r="A70" s="2" t="s">
        <v>872</v>
      </c>
      <c r="B70" s="4">
        <v>43754</v>
      </c>
      <c r="C70" s="2" t="s">
        <v>873</v>
      </c>
      <c r="D70" t="s">
        <v>6174</v>
      </c>
      <c r="E70" s="2">
        <v>1</v>
      </c>
      <c r="F70" s="2" t="str">
        <f>_xlfn.XLOOKUP(C70,customers!$A$1:$A$1001,customers!$B$1:$B$1001,0)</f>
        <v>Hayward Goulter</v>
      </c>
      <c r="G70" s="2" t="s">
        <v>875</v>
      </c>
      <c r="H70" s="2" t="str">
        <f>_xlfn.XLOOKUP(C70,customers!$A$1:$A$1001,customers!$G$1:$G$1001,0)</f>
        <v>United States</v>
      </c>
      <c r="I70" t="str">
        <f>_xlfn.XLOOKUP(D70,products!$A$1:$A$49,products!$B$1:$B$49,0)</f>
        <v>Rob</v>
      </c>
      <c r="J70" t="str">
        <f>_xlfn.XLOOKUP(worksheet!D70,products!$A$1:$A$49,products!$C$1:$C$49,0)</f>
        <v>M</v>
      </c>
      <c r="K70" s="5">
        <f>_xlfn.XLOOKUP(worksheet!D70,products!$A$1:$A$49,products!$D$1:$D$49,0)</f>
        <v>0.2</v>
      </c>
      <c r="L70" s="6">
        <f>_xlfn.XLOOKUP(worksheet!D70,products!$A$1:$A$49,products!$E$1:$E$49,0)</f>
        <v>2.9849999999999999</v>
      </c>
      <c r="M70" s="6">
        <f>worksheet!E70*worksheet!L70</f>
        <v>2.9849999999999999</v>
      </c>
      <c r="N70" t="str">
        <f t="shared" si="2"/>
        <v>Robusta</v>
      </c>
      <c r="O70" t="str">
        <f t="shared" si="3"/>
        <v>Medium</v>
      </c>
      <c r="P70" t="str">
        <f>_xlfn.XLOOKUP(worksheet[[#This Row],[Customer ID]],customers!$A$1:$A$1001,customers!$I$1:$I$1001,0)</f>
        <v>No</v>
      </c>
    </row>
    <row r="71" spans="1:16" x14ac:dyDescent="0.25">
      <c r="A71" s="2" t="s">
        <v>878</v>
      </c>
      <c r="B71" s="4">
        <v>43795</v>
      </c>
      <c r="C71" s="2" t="s">
        <v>879</v>
      </c>
      <c r="D71" t="s">
        <v>6138</v>
      </c>
      <c r="E71" s="2">
        <v>6</v>
      </c>
      <c r="F71" s="2" t="str">
        <f>_xlfn.XLOOKUP(C71,customers!$A$1:$A$1001,customers!$B$1:$B$1001,0)</f>
        <v>Gay Rizzello</v>
      </c>
      <c r="G71" s="2" t="s">
        <v>881</v>
      </c>
      <c r="H71" s="2" t="str">
        <f>_xlfn.XLOOKUP(C71,customers!$A$1:$A$1001,customers!$G$1:$G$1001,0)</f>
        <v>United Kingdom</v>
      </c>
      <c r="I71" t="str">
        <f>_xlfn.XLOOKUP(D71,products!$A$1:$A$49,products!$B$1:$B$49,0)</f>
        <v>Rob</v>
      </c>
      <c r="J71" t="str">
        <f>_xlfn.XLOOKUP(worksheet!D71,products!$A$1:$A$49,products!$C$1:$C$49,0)</f>
        <v>M</v>
      </c>
      <c r="K71" s="5">
        <f>_xlfn.XLOOKUP(worksheet!D71,products!$A$1:$A$49,products!$D$1:$D$49,0)</f>
        <v>1</v>
      </c>
      <c r="L71" s="6">
        <f>_xlfn.XLOOKUP(worksheet!D71,products!$A$1:$A$49,products!$E$1:$E$49,0)</f>
        <v>9.9499999999999993</v>
      </c>
      <c r="M71" s="6">
        <f>worksheet!E71*worksheet!L71</f>
        <v>59.699999999999996</v>
      </c>
      <c r="N71" t="str">
        <f t="shared" si="2"/>
        <v>Robusta</v>
      </c>
      <c r="O71" t="str">
        <f t="shared" si="3"/>
        <v>Medium</v>
      </c>
      <c r="P71" t="str">
        <f>_xlfn.XLOOKUP(worksheet[[#This Row],[Customer ID]],customers!$A$1:$A$1001,customers!$I$1:$I$1001,0)</f>
        <v>Yes</v>
      </c>
    </row>
    <row r="72" spans="1:16" x14ac:dyDescent="0.25">
      <c r="A72" s="2" t="s">
        <v>885</v>
      </c>
      <c r="B72" s="4">
        <v>43646</v>
      </c>
      <c r="C72" s="2" t="s">
        <v>886</v>
      </c>
      <c r="D72" t="s">
        <v>6148</v>
      </c>
      <c r="E72" s="2">
        <v>4</v>
      </c>
      <c r="F72" s="2" t="str">
        <f>_xlfn.XLOOKUP(C72,customers!$A$1:$A$1001,customers!$B$1:$B$1001,0)</f>
        <v>Shannon List</v>
      </c>
      <c r="G72" s="2" t="s">
        <v>888</v>
      </c>
      <c r="H72" s="2" t="str">
        <f>_xlfn.XLOOKUP(C72,customers!$A$1:$A$1001,customers!$G$1:$G$1001,0)</f>
        <v>United States</v>
      </c>
      <c r="I72" t="str">
        <f>_xlfn.XLOOKUP(D72,products!$A$1:$A$49,products!$B$1:$B$49,0)</f>
        <v>Exc</v>
      </c>
      <c r="J72" t="str">
        <f>_xlfn.XLOOKUP(worksheet!D72,products!$A$1:$A$49,products!$C$1:$C$49,0)</f>
        <v>L</v>
      </c>
      <c r="K72" s="5">
        <f>_xlfn.XLOOKUP(worksheet!D72,products!$A$1:$A$49,products!$D$1:$D$49,0)</f>
        <v>2.5</v>
      </c>
      <c r="L72" s="6">
        <f>_xlfn.XLOOKUP(worksheet!D72,products!$A$1:$A$49,products!$E$1:$E$49,0)</f>
        <v>34.154999999999994</v>
      </c>
      <c r="M72" s="6">
        <f>worksheet!E72*worksheet!L72</f>
        <v>136.61999999999998</v>
      </c>
      <c r="N72" t="str">
        <f t="shared" si="2"/>
        <v>Excelsa</v>
      </c>
      <c r="O72" t="str">
        <f t="shared" si="3"/>
        <v>Light</v>
      </c>
      <c r="P72" t="str">
        <f>_xlfn.XLOOKUP(worksheet[[#This Row],[Customer ID]],customers!$A$1:$A$1001,customers!$I$1:$I$1001,0)</f>
        <v>No</v>
      </c>
    </row>
    <row r="73" spans="1:16" x14ac:dyDescent="0.25">
      <c r="A73" s="2" t="s">
        <v>891</v>
      </c>
      <c r="B73" s="4">
        <v>44200</v>
      </c>
      <c r="C73" s="2" t="s">
        <v>892</v>
      </c>
      <c r="D73" t="s">
        <v>6145</v>
      </c>
      <c r="E73" s="2">
        <v>2</v>
      </c>
      <c r="F73" s="2" t="str">
        <f>_xlfn.XLOOKUP(C73,customers!$A$1:$A$1001,customers!$B$1:$B$1001,0)</f>
        <v>Shirlene Edmondson</v>
      </c>
      <c r="G73" s="2" t="s">
        <v>894</v>
      </c>
      <c r="H73" s="2" t="str">
        <f>_xlfn.XLOOKUP(C73,customers!$A$1:$A$1001,customers!$G$1:$G$1001,0)</f>
        <v>Ireland</v>
      </c>
      <c r="I73" t="str">
        <f>_xlfn.XLOOKUP(D73,products!$A$1:$A$49,products!$B$1:$B$49,0)</f>
        <v>Lib</v>
      </c>
      <c r="J73" t="str">
        <f>_xlfn.XLOOKUP(worksheet!D73,products!$A$1:$A$49,products!$C$1:$C$49,0)</f>
        <v>L</v>
      </c>
      <c r="K73" s="5">
        <f>_xlfn.XLOOKUP(worksheet!D73,products!$A$1:$A$49,products!$D$1:$D$49,0)</f>
        <v>0.2</v>
      </c>
      <c r="L73" s="6">
        <f>_xlfn.XLOOKUP(worksheet!D73,products!$A$1:$A$49,products!$E$1:$E$49,0)</f>
        <v>4.7549999999999999</v>
      </c>
      <c r="M73" s="6">
        <f>worksheet!E73*worksheet!L73</f>
        <v>9.51</v>
      </c>
      <c r="N73" t="str">
        <f t="shared" si="2"/>
        <v>Liberica</v>
      </c>
      <c r="O73" t="str">
        <f t="shared" si="3"/>
        <v>Light</v>
      </c>
      <c r="P73" t="str">
        <f>_xlfn.XLOOKUP(worksheet[[#This Row],[Customer ID]],customers!$A$1:$A$1001,customers!$I$1:$I$1001,0)</f>
        <v>No</v>
      </c>
    </row>
    <row r="74" spans="1:16" x14ac:dyDescent="0.25">
      <c r="A74" s="2" t="s">
        <v>897</v>
      </c>
      <c r="B74" s="4">
        <v>44131</v>
      </c>
      <c r="C74" s="2" t="s">
        <v>898</v>
      </c>
      <c r="D74" t="s">
        <v>6175</v>
      </c>
      <c r="E74" s="2">
        <v>3</v>
      </c>
      <c r="F74" s="2" t="str">
        <f>_xlfn.XLOOKUP(C74,customers!$A$1:$A$1001,customers!$B$1:$B$1001,0)</f>
        <v>Aurlie McCarl</v>
      </c>
      <c r="G74" s="2" t="s">
        <v>6222</v>
      </c>
      <c r="H74" s="2" t="str">
        <f>_xlfn.XLOOKUP(C74,customers!$A$1:$A$1001,customers!$G$1:$G$1001,0)</f>
        <v>United States</v>
      </c>
      <c r="I74" t="str">
        <f>_xlfn.XLOOKUP(D74,products!$A$1:$A$49,products!$B$1:$B$49,0)</f>
        <v>Ara</v>
      </c>
      <c r="J74" t="str">
        <f>_xlfn.XLOOKUP(worksheet!D74,products!$A$1:$A$49,products!$C$1:$C$49,0)</f>
        <v>M</v>
      </c>
      <c r="K74" s="5">
        <f>_xlfn.XLOOKUP(worksheet!D74,products!$A$1:$A$49,products!$D$1:$D$49,0)</f>
        <v>2.5</v>
      </c>
      <c r="L74" s="6">
        <f>_xlfn.XLOOKUP(worksheet!D74,products!$A$1:$A$49,products!$E$1:$E$49,0)</f>
        <v>25.874999999999996</v>
      </c>
      <c r="M74" s="6">
        <f>worksheet!E74*worksheet!L74</f>
        <v>77.624999999999986</v>
      </c>
      <c r="N74" t="str">
        <f t="shared" si="2"/>
        <v>Arabica</v>
      </c>
      <c r="O74" t="str">
        <f t="shared" si="3"/>
        <v>Medium</v>
      </c>
      <c r="P74" t="str">
        <f>_xlfn.XLOOKUP(worksheet[[#This Row],[Customer ID]],customers!$A$1:$A$1001,customers!$I$1:$I$1001,0)</f>
        <v>No</v>
      </c>
    </row>
    <row r="75" spans="1:16" x14ac:dyDescent="0.25">
      <c r="A75" s="2" t="s">
        <v>902</v>
      </c>
      <c r="B75" s="4">
        <v>44362</v>
      </c>
      <c r="C75" s="2" t="s">
        <v>903</v>
      </c>
      <c r="D75" t="s">
        <v>6159</v>
      </c>
      <c r="E75" s="2">
        <v>5</v>
      </c>
      <c r="F75" s="2" t="str">
        <f>_xlfn.XLOOKUP(C75,customers!$A$1:$A$1001,customers!$B$1:$B$1001,0)</f>
        <v>Alikee Carryer</v>
      </c>
      <c r="G75" s="2" t="s">
        <v>6222</v>
      </c>
      <c r="H75" s="2" t="str">
        <f>_xlfn.XLOOKUP(C75,customers!$A$1:$A$1001,customers!$G$1:$G$1001,0)</f>
        <v>United States</v>
      </c>
      <c r="I75" t="str">
        <f>_xlfn.XLOOKUP(D75,products!$A$1:$A$49,products!$B$1:$B$49,0)</f>
        <v>Lib</v>
      </c>
      <c r="J75" t="str">
        <f>_xlfn.XLOOKUP(worksheet!D75,products!$A$1:$A$49,products!$C$1:$C$49,0)</f>
        <v>M</v>
      </c>
      <c r="K75" s="5">
        <f>_xlfn.XLOOKUP(worksheet!D75,products!$A$1:$A$49,products!$D$1:$D$49,0)</f>
        <v>0.2</v>
      </c>
      <c r="L75" s="6">
        <f>_xlfn.XLOOKUP(worksheet!D75,products!$A$1:$A$49,products!$E$1:$E$49,0)</f>
        <v>4.3650000000000002</v>
      </c>
      <c r="M75" s="6">
        <f>worksheet!E75*worksheet!L75</f>
        <v>21.825000000000003</v>
      </c>
      <c r="N75" t="str">
        <f t="shared" si="2"/>
        <v>Liberica</v>
      </c>
      <c r="O75" t="str">
        <f t="shared" si="3"/>
        <v>Medium</v>
      </c>
      <c r="P75" t="str">
        <f>_xlfn.XLOOKUP(worksheet[[#This Row],[Customer ID]],customers!$A$1:$A$1001,customers!$I$1:$I$1001,0)</f>
        <v>Yes</v>
      </c>
    </row>
    <row r="76" spans="1:16" x14ac:dyDescent="0.25">
      <c r="A76" s="2" t="s">
        <v>907</v>
      </c>
      <c r="B76" s="4">
        <v>44396</v>
      </c>
      <c r="C76" s="2" t="s">
        <v>908</v>
      </c>
      <c r="D76" t="s">
        <v>6176</v>
      </c>
      <c r="E76" s="2">
        <v>2</v>
      </c>
      <c r="F76" s="2" t="str">
        <f>_xlfn.XLOOKUP(C76,customers!$A$1:$A$1001,customers!$B$1:$B$1001,0)</f>
        <v>Jennifer Rangall</v>
      </c>
      <c r="G76" s="2" t="s">
        <v>910</v>
      </c>
      <c r="H76" s="2" t="str">
        <f>_xlfn.XLOOKUP(C76,customers!$A$1:$A$1001,customers!$G$1:$G$1001,0)</f>
        <v>United States</v>
      </c>
      <c r="I76" t="str">
        <f>_xlfn.XLOOKUP(D76,products!$A$1:$A$49,products!$B$1:$B$49,0)</f>
        <v>Exc</v>
      </c>
      <c r="J76" t="str">
        <f>_xlfn.XLOOKUP(worksheet!D76,products!$A$1:$A$49,products!$C$1:$C$49,0)</f>
        <v>L</v>
      </c>
      <c r="K76" s="5">
        <f>_xlfn.XLOOKUP(worksheet!D76,products!$A$1:$A$49,products!$D$1:$D$49,0)</f>
        <v>0.5</v>
      </c>
      <c r="L76" s="6">
        <f>_xlfn.XLOOKUP(worksheet!D76,products!$A$1:$A$49,products!$E$1:$E$49,0)</f>
        <v>8.91</v>
      </c>
      <c r="M76" s="6">
        <f>worksheet!E76*worksheet!L76</f>
        <v>17.82</v>
      </c>
      <c r="N76" t="str">
        <f t="shared" si="2"/>
        <v>Excelsa</v>
      </c>
      <c r="O76" t="str">
        <f t="shared" si="3"/>
        <v>Light</v>
      </c>
      <c r="P76" t="str">
        <f>_xlfn.XLOOKUP(worksheet[[#This Row],[Customer ID]],customers!$A$1:$A$1001,customers!$I$1:$I$1001,0)</f>
        <v>Yes</v>
      </c>
    </row>
    <row r="77" spans="1:16" x14ac:dyDescent="0.25">
      <c r="A77" s="2" t="s">
        <v>913</v>
      </c>
      <c r="B77" s="4">
        <v>44400</v>
      </c>
      <c r="C77" s="2" t="s">
        <v>914</v>
      </c>
      <c r="D77" t="s">
        <v>6177</v>
      </c>
      <c r="E77" s="2">
        <v>6</v>
      </c>
      <c r="F77" s="2" t="str">
        <f>_xlfn.XLOOKUP(C77,customers!$A$1:$A$1001,customers!$B$1:$B$1001,0)</f>
        <v>Kipper Boorn</v>
      </c>
      <c r="G77" s="2" t="s">
        <v>916</v>
      </c>
      <c r="H77" s="2" t="str">
        <f>_xlfn.XLOOKUP(C77,customers!$A$1:$A$1001,customers!$G$1:$G$1001,0)</f>
        <v>Ireland</v>
      </c>
      <c r="I77" t="str">
        <f>_xlfn.XLOOKUP(D77,products!$A$1:$A$49,products!$B$1:$B$49,0)</f>
        <v>Rob</v>
      </c>
      <c r="J77" t="str">
        <f>_xlfn.XLOOKUP(worksheet!D77,products!$A$1:$A$49,products!$C$1:$C$49,0)</f>
        <v>D</v>
      </c>
      <c r="K77" s="5">
        <f>_xlfn.XLOOKUP(worksheet!D77,products!$A$1:$A$49,products!$D$1:$D$49,0)</f>
        <v>1</v>
      </c>
      <c r="L77" s="6">
        <f>_xlfn.XLOOKUP(worksheet!D77,products!$A$1:$A$49,products!$E$1:$E$49,0)</f>
        <v>8.9499999999999993</v>
      </c>
      <c r="M77" s="6">
        <f>worksheet!E77*worksheet!L77</f>
        <v>53.699999999999996</v>
      </c>
      <c r="N77" t="str">
        <f t="shared" si="2"/>
        <v>Robusta</v>
      </c>
      <c r="O77" t="str">
        <f t="shared" si="3"/>
        <v>Dark</v>
      </c>
      <c r="P77" t="str">
        <f>_xlfn.XLOOKUP(worksheet[[#This Row],[Customer ID]],customers!$A$1:$A$1001,customers!$I$1:$I$1001,0)</f>
        <v>Yes</v>
      </c>
    </row>
    <row r="78" spans="1:16" x14ac:dyDescent="0.25">
      <c r="A78" s="2" t="s">
        <v>919</v>
      </c>
      <c r="B78" s="4">
        <v>43855</v>
      </c>
      <c r="C78" s="2" t="s">
        <v>920</v>
      </c>
      <c r="D78" t="s">
        <v>6178</v>
      </c>
      <c r="E78" s="2">
        <v>1</v>
      </c>
      <c r="F78" s="2" t="str">
        <f>_xlfn.XLOOKUP(C78,customers!$A$1:$A$1001,customers!$B$1:$B$1001,0)</f>
        <v>Melania Beadle</v>
      </c>
      <c r="G78" s="2" t="s">
        <v>6222</v>
      </c>
      <c r="H78" s="2" t="str">
        <f>_xlfn.XLOOKUP(C78,customers!$A$1:$A$1001,customers!$G$1:$G$1001,0)</f>
        <v>Ireland</v>
      </c>
      <c r="I78" t="str">
        <f>_xlfn.XLOOKUP(D78,products!$A$1:$A$49,products!$B$1:$B$49,0)</f>
        <v>Rob</v>
      </c>
      <c r="J78" t="str">
        <f>_xlfn.XLOOKUP(worksheet!D78,products!$A$1:$A$49,products!$C$1:$C$49,0)</f>
        <v>L</v>
      </c>
      <c r="K78" s="5">
        <f>_xlfn.XLOOKUP(worksheet!D78,products!$A$1:$A$49,products!$D$1:$D$49,0)</f>
        <v>0.2</v>
      </c>
      <c r="L78" s="6">
        <f>_xlfn.XLOOKUP(worksheet!D78,products!$A$1:$A$49,products!$E$1:$E$49,0)</f>
        <v>3.5849999999999995</v>
      </c>
      <c r="M78" s="6">
        <f>worksheet!E78*worksheet!L78</f>
        <v>3.5849999999999995</v>
      </c>
      <c r="N78" t="str">
        <f t="shared" si="2"/>
        <v>Robusta</v>
      </c>
      <c r="O78" t="str">
        <f t="shared" si="3"/>
        <v>Light</v>
      </c>
      <c r="P78" t="str">
        <f>_xlfn.XLOOKUP(worksheet[[#This Row],[Customer ID]],customers!$A$1:$A$1001,customers!$I$1:$I$1001,0)</f>
        <v>Yes</v>
      </c>
    </row>
    <row r="79" spans="1:16" x14ac:dyDescent="0.25">
      <c r="A79" s="2" t="s">
        <v>924</v>
      </c>
      <c r="B79" s="4">
        <v>43594</v>
      </c>
      <c r="C79" s="2" t="s">
        <v>925</v>
      </c>
      <c r="D79" t="s">
        <v>6153</v>
      </c>
      <c r="E79" s="2">
        <v>2</v>
      </c>
      <c r="F79" s="2" t="str">
        <f>_xlfn.XLOOKUP(C79,customers!$A$1:$A$1001,customers!$B$1:$B$1001,0)</f>
        <v>Colene Elgey</v>
      </c>
      <c r="G79" s="2" t="s">
        <v>927</v>
      </c>
      <c r="H79" s="2" t="str">
        <f>_xlfn.XLOOKUP(C79,customers!$A$1:$A$1001,customers!$G$1:$G$1001,0)</f>
        <v>United States</v>
      </c>
      <c r="I79" t="str">
        <f>_xlfn.XLOOKUP(D79,products!$A$1:$A$49,products!$B$1:$B$49,0)</f>
        <v>Exc</v>
      </c>
      <c r="J79" t="str">
        <f>_xlfn.XLOOKUP(worksheet!D79,products!$A$1:$A$49,products!$C$1:$C$49,0)</f>
        <v>D</v>
      </c>
      <c r="K79" s="5">
        <f>_xlfn.XLOOKUP(worksheet!D79,products!$A$1:$A$49,products!$D$1:$D$49,0)</f>
        <v>0.2</v>
      </c>
      <c r="L79" s="6">
        <f>_xlfn.XLOOKUP(worksheet!D79,products!$A$1:$A$49,products!$E$1:$E$49,0)</f>
        <v>3.645</v>
      </c>
      <c r="M79" s="6">
        <f>worksheet!E79*worksheet!L79</f>
        <v>7.29</v>
      </c>
      <c r="N79" t="str">
        <f t="shared" si="2"/>
        <v>Excelsa</v>
      </c>
      <c r="O79" t="str">
        <f t="shared" si="3"/>
        <v>Dark</v>
      </c>
      <c r="P79" t="str">
        <f>_xlfn.XLOOKUP(worksheet[[#This Row],[Customer ID]],customers!$A$1:$A$1001,customers!$I$1:$I$1001,0)</f>
        <v>No</v>
      </c>
    </row>
    <row r="80" spans="1:16" x14ac:dyDescent="0.25">
      <c r="A80" s="2" t="s">
        <v>930</v>
      </c>
      <c r="B80" s="4">
        <v>43920</v>
      </c>
      <c r="C80" s="2" t="s">
        <v>931</v>
      </c>
      <c r="D80" t="s">
        <v>6157</v>
      </c>
      <c r="E80" s="2">
        <v>6</v>
      </c>
      <c r="F80" s="2" t="str">
        <f>_xlfn.XLOOKUP(C80,customers!$A$1:$A$1001,customers!$B$1:$B$1001,0)</f>
        <v>Lothaire Mizzi</v>
      </c>
      <c r="G80" s="2" t="s">
        <v>933</v>
      </c>
      <c r="H80" s="2" t="str">
        <f>_xlfn.XLOOKUP(C80,customers!$A$1:$A$1001,customers!$G$1:$G$1001,0)</f>
        <v>United States</v>
      </c>
      <c r="I80" t="str">
        <f>_xlfn.XLOOKUP(D80,products!$A$1:$A$49,products!$B$1:$B$49,0)</f>
        <v>Ara</v>
      </c>
      <c r="J80" t="str">
        <f>_xlfn.XLOOKUP(worksheet!D80,products!$A$1:$A$49,products!$C$1:$C$49,0)</f>
        <v>M</v>
      </c>
      <c r="K80" s="5">
        <f>_xlfn.XLOOKUP(worksheet!D80,products!$A$1:$A$49,products!$D$1:$D$49,0)</f>
        <v>0.5</v>
      </c>
      <c r="L80" s="6">
        <f>_xlfn.XLOOKUP(worksheet!D80,products!$A$1:$A$49,products!$E$1:$E$49,0)</f>
        <v>6.75</v>
      </c>
      <c r="M80" s="6">
        <f>worksheet!E80*worksheet!L80</f>
        <v>40.5</v>
      </c>
      <c r="N80" t="str">
        <f t="shared" si="2"/>
        <v>Arabica</v>
      </c>
      <c r="O80" t="str">
        <f t="shared" si="3"/>
        <v>Medium</v>
      </c>
      <c r="P80" t="str">
        <f>_xlfn.XLOOKUP(worksheet[[#This Row],[Customer ID]],customers!$A$1:$A$1001,customers!$I$1:$I$1001,0)</f>
        <v>Yes</v>
      </c>
    </row>
    <row r="81" spans="1:16" x14ac:dyDescent="0.25">
      <c r="A81" s="2" t="s">
        <v>936</v>
      </c>
      <c r="B81" s="4">
        <v>44633</v>
      </c>
      <c r="C81" s="2" t="s">
        <v>937</v>
      </c>
      <c r="D81" t="s">
        <v>6179</v>
      </c>
      <c r="E81" s="2">
        <v>4</v>
      </c>
      <c r="F81" s="2" t="str">
        <f>_xlfn.XLOOKUP(C81,customers!$A$1:$A$1001,customers!$B$1:$B$1001,0)</f>
        <v>Cletis Giacomazzo</v>
      </c>
      <c r="G81" s="2" t="s">
        <v>939</v>
      </c>
      <c r="H81" s="2" t="str">
        <f>_xlfn.XLOOKUP(C81,customers!$A$1:$A$1001,customers!$G$1:$G$1001,0)</f>
        <v>United States</v>
      </c>
      <c r="I81" t="str">
        <f>_xlfn.XLOOKUP(D81,products!$A$1:$A$49,products!$B$1:$B$49,0)</f>
        <v>Rob</v>
      </c>
      <c r="J81" t="str">
        <f>_xlfn.XLOOKUP(worksheet!D81,products!$A$1:$A$49,products!$C$1:$C$49,0)</f>
        <v>L</v>
      </c>
      <c r="K81" s="5">
        <f>_xlfn.XLOOKUP(worksheet!D81,products!$A$1:$A$49,products!$D$1:$D$49,0)</f>
        <v>1</v>
      </c>
      <c r="L81" s="6">
        <f>_xlfn.XLOOKUP(worksheet!D81,products!$A$1:$A$49,products!$E$1:$E$49,0)</f>
        <v>11.95</v>
      </c>
      <c r="M81" s="6">
        <f>worksheet!E81*worksheet!L81</f>
        <v>47.8</v>
      </c>
      <c r="N81" t="str">
        <f t="shared" si="2"/>
        <v>Robusta</v>
      </c>
      <c r="O81" t="str">
        <f t="shared" si="3"/>
        <v>Light</v>
      </c>
      <c r="P81" t="str">
        <f>_xlfn.XLOOKUP(worksheet[[#This Row],[Customer ID]],customers!$A$1:$A$1001,customers!$I$1:$I$1001,0)</f>
        <v>No</v>
      </c>
    </row>
    <row r="82" spans="1:16" x14ac:dyDescent="0.25">
      <c r="A82" s="2" t="s">
        <v>942</v>
      </c>
      <c r="B82" s="4">
        <v>43572</v>
      </c>
      <c r="C82" s="2" t="s">
        <v>943</v>
      </c>
      <c r="D82" t="s">
        <v>6180</v>
      </c>
      <c r="E82" s="2">
        <v>5</v>
      </c>
      <c r="F82" s="2" t="str">
        <f>_xlfn.XLOOKUP(C82,customers!$A$1:$A$1001,customers!$B$1:$B$1001,0)</f>
        <v>Ami Arnow</v>
      </c>
      <c r="G82" s="2" t="s">
        <v>945</v>
      </c>
      <c r="H82" s="2" t="str">
        <f>_xlfn.XLOOKUP(C82,customers!$A$1:$A$1001,customers!$G$1:$G$1001,0)</f>
        <v>United States</v>
      </c>
      <c r="I82" t="str">
        <f>_xlfn.XLOOKUP(D82,products!$A$1:$A$49,products!$B$1:$B$49,0)</f>
        <v>Ara</v>
      </c>
      <c r="J82" t="str">
        <f>_xlfn.XLOOKUP(worksheet!D82,products!$A$1:$A$49,products!$C$1:$C$49,0)</f>
        <v>L</v>
      </c>
      <c r="K82" s="5">
        <f>_xlfn.XLOOKUP(worksheet!D82,products!$A$1:$A$49,products!$D$1:$D$49,0)</f>
        <v>0.5</v>
      </c>
      <c r="L82" s="6">
        <f>_xlfn.XLOOKUP(worksheet!D82,products!$A$1:$A$49,products!$E$1:$E$49,0)</f>
        <v>7.77</v>
      </c>
      <c r="M82" s="6">
        <f>worksheet!E82*worksheet!L82</f>
        <v>38.849999999999994</v>
      </c>
      <c r="N82" t="str">
        <f t="shared" si="2"/>
        <v>Arabica</v>
      </c>
      <c r="O82" t="str">
        <f t="shared" si="3"/>
        <v>Light</v>
      </c>
      <c r="P82" t="str">
        <f>_xlfn.XLOOKUP(worksheet[[#This Row],[Customer ID]],customers!$A$1:$A$1001,customers!$I$1:$I$1001,0)</f>
        <v>Yes</v>
      </c>
    </row>
    <row r="83" spans="1:16" x14ac:dyDescent="0.25">
      <c r="A83" s="2" t="s">
        <v>948</v>
      </c>
      <c r="B83" s="4">
        <v>43763</v>
      </c>
      <c r="C83" s="2" t="s">
        <v>949</v>
      </c>
      <c r="D83" t="s">
        <v>6164</v>
      </c>
      <c r="E83" s="2">
        <v>3</v>
      </c>
      <c r="F83" s="2" t="str">
        <f>_xlfn.XLOOKUP(C83,customers!$A$1:$A$1001,customers!$B$1:$B$1001,0)</f>
        <v>Sheppard Yann</v>
      </c>
      <c r="G83" s="2" t="s">
        <v>951</v>
      </c>
      <c r="H83" s="2" t="str">
        <f>_xlfn.XLOOKUP(C83,customers!$A$1:$A$1001,customers!$G$1:$G$1001,0)</f>
        <v>United States</v>
      </c>
      <c r="I83" t="str">
        <f>_xlfn.XLOOKUP(D83,products!$A$1:$A$49,products!$B$1:$B$49,0)</f>
        <v>Lib</v>
      </c>
      <c r="J83" t="str">
        <f>_xlfn.XLOOKUP(worksheet!D83,products!$A$1:$A$49,products!$C$1:$C$49,0)</f>
        <v>L</v>
      </c>
      <c r="K83" s="5">
        <f>_xlfn.XLOOKUP(worksheet!D83,products!$A$1:$A$49,products!$D$1:$D$49,0)</f>
        <v>2.5</v>
      </c>
      <c r="L83" s="6">
        <f>_xlfn.XLOOKUP(worksheet!D83,products!$A$1:$A$49,products!$E$1:$E$49,0)</f>
        <v>36.454999999999998</v>
      </c>
      <c r="M83" s="6">
        <f>worksheet!E83*worksheet!L83</f>
        <v>109.36499999999999</v>
      </c>
      <c r="N83" t="str">
        <f t="shared" si="2"/>
        <v>Liberica</v>
      </c>
      <c r="O83" t="str">
        <f t="shared" si="3"/>
        <v>Light</v>
      </c>
      <c r="P83" t="str">
        <f>_xlfn.XLOOKUP(worksheet[[#This Row],[Customer ID]],customers!$A$1:$A$1001,customers!$I$1:$I$1001,0)</f>
        <v>Yes</v>
      </c>
    </row>
    <row r="84" spans="1:16" x14ac:dyDescent="0.25">
      <c r="A84" s="2" t="s">
        <v>954</v>
      </c>
      <c r="B84" s="4">
        <v>43721</v>
      </c>
      <c r="C84" s="2" t="s">
        <v>955</v>
      </c>
      <c r="D84" t="s">
        <v>6181</v>
      </c>
      <c r="E84" s="2">
        <v>3</v>
      </c>
      <c r="F84" s="2" t="str">
        <f>_xlfn.XLOOKUP(C84,customers!$A$1:$A$1001,customers!$B$1:$B$1001,0)</f>
        <v>Bunny Naulls</v>
      </c>
      <c r="G84" s="2" t="s">
        <v>957</v>
      </c>
      <c r="H84" s="2" t="str">
        <f>_xlfn.XLOOKUP(C84,customers!$A$1:$A$1001,customers!$G$1:$G$1001,0)</f>
        <v>Ireland</v>
      </c>
      <c r="I84" t="str">
        <f>_xlfn.XLOOKUP(D84,products!$A$1:$A$49,products!$B$1:$B$49,0)</f>
        <v>Lib</v>
      </c>
      <c r="J84" t="str">
        <f>_xlfn.XLOOKUP(worksheet!D84,products!$A$1:$A$49,products!$C$1:$C$49,0)</f>
        <v>M</v>
      </c>
      <c r="K84" s="5">
        <f>_xlfn.XLOOKUP(worksheet!D84,products!$A$1:$A$49,products!$D$1:$D$49,0)</f>
        <v>2.5</v>
      </c>
      <c r="L84" s="6">
        <f>_xlfn.XLOOKUP(worksheet!D84,products!$A$1:$A$49,products!$E$1:$E$49,0)</f>
        <v>33.464999999999996</v>
      </c>
      <c r="M84" s="6">
        <f>worksheet!E84*worksheet!L84</f>
        <v>100.39499999999998</v>
      </c>
      <c r="N84" t="str">
        <f t="shared" si="2"/>
        <v>Liberica</v>
      </c>
      <c r="O84" t="str">
        <f t="shared" si="3"/>
        <v>Medium</v>
      </c>
      <c r="P84" t="str">
        <f>_xlfn.XLOOKUP(worksheet[[#This Row],[Customer ID]],customers!$A$1:$A$1001,customers!$I$1:$I$1001,0)</f>
        <v>Yes</v>
      </c>
    </row>
    <row r="85" spans="1:16" x14ac:dyDescent="0.25">
      <c r="A85" s="2" t="s">
        <v>960</v>
      </c>
      <c r="B85" s="4">
        <v>43933</v>
      </c>
      <c r="C85" s="2" t="s">
        <v>961</v>
      </c>
      <c r="D85" t="s">
        <v>6149</v>
      </c>
      <c r="E85" s="2">
        <v>4</v>
      </c>
      <c r="F85" s="2" t="str">
        <f>_xlfn.XLOOKUP(C85,customers!$A$1:$A$1001,customers!$B$1:$B$1001,0)</f>
        <v>Hally Lorait</v>
      </c>
      <c r="G85" s="2" t="s">
        <v>6222</v>
      </c>
      <c r="H85" s="2" t="str">
        <f>_xlfn.XLOOKUP(C85,customers!$A$1:$A$1001,customers!$G$1:$G$1001,0)</f>
        <v>United States</v>
      </c>
      <c r="I85" t="str">
        <f>_xlfn.XLOOKUP(D85,products!$A$1:$A$49,products!$B$1:$B$49,0)</f>
        <v>Rob</v>
      </c>
      <c r="J85" t="str">
        <f>_xlfn.XLOOKUP(worksheet!D85,products!$A$1:$A$49,products!$C$1:$C$49,0)</f>
        <v>D</v>
      </c>
      <c r="K85" s="5">
        <f>_xlfn.XLOOKUP(worksheet!D85,products!$A$1:$A$49,products!$D$1:$D$49,0)</f>
        <v>2.5</v>
      </c>
      <c r="L85" s="6">
        <f>_xlfn.XLOOKUP(worksheet!D85,products!$A$1:$A$49,products!$E$1:$E$49,0)</f>
        <v>20.584999999999997</v>
      </c>
      <c r="M85" s="6">
        <f>worksheet!E85*worksheet!L85</f>
        <v>82.339999999999989</v>
      </c>
      <c r="N85" t="str">
        <f t="shared" si="2"/>
        <v>Robusta</v>
      </c>
      <c r="O85" t="str">
        <f t="shared" si="3"/>
        <v>Dark</v>
      </c>
      <c r="P85" t="str">
        <f>_xlfn.XLOOKUP(worksheet[[#This Row],[Customer ID]],customers!$A$1:$A$1001,customers!$I$1:$I$1001,0)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
        <v>968</v>
      </c>
      <c r="H86" s="2" t="str">
        <f>_xlfn.XLOOKUP(C86,customers!$A$1:$A$1001,customers!$G$1:$G$1001,0)</f>
        <v>United States</v>
      </c>
      <c r="I86" t="str">
        <f>_xlfn.XLOOKUP(D86,products!$A$1:$A$49,products!$B$1:$B$49,0)</f>
        <v>Lib</v>
      </c>
      <c r="J86" t="str">
        <f>_xlfn.XLOOKUP(worksheet!D86,products!$A$1:$A$49,products!$C$1:$C$49,0)</f>
        <v>L</v>
      </c>
      <c r="K86" s="5">
        <f>_xlfn.XLOOKUP(worksheet!D86,products!$A$1:$A$49,products!$D$1:$D$49,0)</f>
        <v>0.5</v>
      </c>
      <c r="L86" s="6">
        <f>_xlfn.XLOOKUP(worksheet!D86,products!$A$1:$A$49,products!$E$1:$E$49,0)</f>
        <v>9.51</v>
      </c>
      <c r="M86" s="6">
        <f>worksheet!E86*worksheet!L86</f>
        <v>9.51</v>
      </c>
      <c r="N86" t="str">
        <f t="shared" si="2"/>
        <v>Liberica</v>
      </c>
      <c r="O86" t="str">
        <f t="shared" si="3"/>
        <v>Light</v>
      </c>
      <c r="P86" t="str">
        <f>_xlfn.XLOOKUP(worksheet[[#This Row],[Customer ID]],customers!$A$1:$A$1001,customers!$I$1:$I$1001,0)</f>
        <v>No</v>
      </c>
    </row>
    <row r="87" spans="1:16" x14ac:dyDescent="0.25">
      <c r="A87" s="2" t="s">
        <v>971</v>
      </c>
      <c r="B87" s="4">
        <v>43664</v>
      </c>
      <c r="C87" s="2" t="s">
        <v>972</v>
      </c>
      <c r="D87" t="s">
        <v>6182</v>
      </c>
      <c r="E87" s="2">
        <v>3</v>
      </c>
      <c r="F87" s="2" t="str">
        <f>_xlfn.XLOOKUP(C87,customers!$A$1:$A$1001,customers!$B$1:$B$1001,0)</f>
        <v>Jeffrey Dufaire</v>
      </c>
      <c r="G87" s="2" t="s">
        <v>974</v>
      </c>
      <c r="H87" s="2" t="str">
        <f>_xlfn.XLOOKUP(C87,customers!$A$1:$A$1001,customers!$G$1:$G$1001,0)</f>
        <v>United States</v>
      </c>
      <c r="I87" t="str">
        <f>_xlfn.XLOOKUP(D87,products!$A$1:$A$49,products!$B$1:$B$49,0)</f>
        <v>Ara</v>
      </c>
      <c r="J87" t="str">
        <f>_xlfn.XLOOKUP(worksheet!D87,products!$A$1:$A$49,products!$C$1:$C$49,0)</f>
        <v>L</v>
      </c>
      <c r="K87" s="5">
        <f>_xlfn.XLOOKUP(worksheet!D87,products!$A$1:$A$49,products!$D$1:$D$49,0)</f>
        <v>2.5</v>
      </c>
      <c r="L87" s="6">
        <f>_xlfn.XLOOKUP(worksheet!D87,products!$A$1:$A$49,products!$E$1:$E$49,0)</f>
        <v>29.784999999999997</v>
      </c>
      <c r="M87" s="6">
        <f>worksheet!E87*worksheet!L87</f>
        <v>89.35499999999999</v>
      </c>
      <c r="N87" t="str">
        <f t="shared" si="2"/>
        <v>Arabica</v>
      </c>
      <c r="O87" t="str">
        <f t="shared" si="3"/>
        <v>Light</v>
      </c>
      <c r="P87" t="str">
        <f>_xlfn.XLOOKUP(worksheet[[#This Row],[Customer ID]],customers!$A$1:$A$1001,customers!$I$1:$I$1001,0)</f>
        <v>No</v>
      </c>
    </row>
    <row r="88" spans="1:16" x14ac:dyDescent="0.25">
      <c r="A88" s="2" t="s">
        <v>971</v>
      </c>
      <c r="B88" s="4">
        <v>43664</v>
      </c>
      <c r="C88" s="2" t="s">
        <v>972</v>
      </c>
      <c r="D88" t="s">
        <v>6154</v>
      </c>
      <c r="E88" s="2">
        <v>4</v>
      </c>
      <c r="F88" s="2" t="str">
        <f>_xlfn.XLOOKUP(C88,customers!$A$1:$A$1001,customers!$B$1:$B$1001,0)</f>
        <v>Jeffrey Dufaire</v>
      </c>
      <c r="G88" s="2" t="s">
        <v>974</v>
      </c>
      <c r="H88" s="2" t="str">
        <f>_xlfn.XLOOKUP(C88,customers!$A$1:$A$1001,customers!$G$1:$G$1001,0)</f>
        <v>United States</v>
      </c>
      <c r="I88" t="str">
        <f>_xlfn.XLOOKUP(D88,products!$A$1:$A$49,products!$B$1:$B$49,0)</f>
        <v>Ara</v>
      </c>
      <c r="J88" t="str">
        <f>_xlfn.XLOOKUP(worksheet!D88,products!$A$1:$A$49,products!$C$1:$C$49,0)</f>
        <v>D</v>
      </c>
      <c r="K88" s="5">
        <f>_xlfn.XLOOKUP(worksheet!D88,products!$A$1:$A$49,products!$D$1:$D$49,0)</f>
        <v>0.2</v>
      </c>
      <c r="L88" s="6">
        <f>_xlfn.XLOOKUP(worksheet!D88,products!$A$1:$A$49,products!$E$1:$E$49,0)</f>
        <v>2.9849999999999999</v>
      </c>
      <c r="M88" s="6">
        <f>worksheet!E88*worksheet!L88</f>
        <v>11.94</v>
      </c>
      <c r="N88" t="str">
        <f t="shared" si="2"/>
        <v>Arabica</v>
      </c>
      <c r="O88" t="str">
        <f t="shared" si="3"/>
        <v>Dark</v>
      </c>
      <c r="P88" t="str">
        <f>_xlfn.XLOOKUP(worksheet[[#This Row],[Customer ID]],customers!$A$1:$A$1001,customers!$I$1:$I$1001,0)</f>
        <v>No</v>
      </c>
    </row>
    <row r="89" spans="1:16" x14ac:dyDescent="0.25">
      <c r="A89" s="2" t="s">
        <v>980</v>
      </c>
      <c r="B89" s="4">
        <v>44289</v>
      </c>
      <c r="C89" s="2" t="s">
        <v>981</v>
      </c>
      <c r="D89" t="s">
        <v>6155</v>
      </c>
      <c r="E89" s="2">
        <v>3</v>
      </c>
      <c r="F89" s="2" t="str">
        <f>_xlfn.XLOOKUP(C89,customers!$A$1:$A$1001,customers!$B$1:$B$1001,0)</f>
        <v>Beitris Keaveney</v>
      </c>
      <c r="G89" s="2" t="s">
        <v>983</v>
      </c>
      <c r="H89" s="2" t="str">
        <f>_xlfn.XLOOKUP(C89,customers!$A$1:$A$1001,customers!$G$1:$G$1001,0)</f>
        <v>United States</v>
      </c>
      <c r="I89" t="str">
        <f>_xlfn.XLOOKUP(D89,products!$A$1:$A$49,products!$B$1:$B$49,0)</f>
        <v>Ara</v>
      </c>
      <c r="J89" t="str">
        <f>_xlfn.XLOOKUP(worksheet!D89,products!$A$1:$A$49,products!$C$1:$C$49,0)</f>
        <v>M</v>
      </c>
      <c r="K89" s="5">
        <f>_xlfn.XLOOKUP(worksheet!D89,products!$A$1:$A$49,products!$D$1:$D$49,0)</f>
        <v>1</v>
      </c>
      <c r="L89" s="6">
        <f>_xlfn.XLOOKUP(worksheet!D89,products!$A$1:$A$49,products!$E$1:$E$49,0)</f>
        <v>11.25</v>
      </c>
      <c r="M89" s="6">
        <f>worksheet!E89*worksheet!L89</f>
        <v>33.75</v>
      </c>
      <c r="N89" t="str">
        <f t="shared" si="2"/>
        <v>Arabica</v>
      </c>
      <c r="O89" t="str">
        <f t="shared" si="3"/>
        <v>Medium</v>
      </c>
      <c r="P89" t="str">
        <f>_xlfn.XLOOKUP(worksheet[[#This Row],[Customer ID]],customers!$A$1:$A$1001,customers!$I$1:$I$1001,0)</f>
        <v>No</v>
      </c>
    </row>
    <row r="90" spans="1:16" x14ac:dyDescent="0.25">
      <c r="A90" s="2" t="s">
        <v>985</v>
      </c>
      <c r="B90" s="4">
        <v>44284</v>
      </c>
      <c r="C90" s="2" t="s">
        <v>986</v>
      </c>
      <c r="D90" t="s">
        <v>6179</v>
      </c>
      <c r="E90" s="2">
        <v>3</v>
      </c>
      <c r="F90" s="2" t="str">
        <f>_xlfn.XLOOKUP(C90,customers!$A$1:$A$1001,customers!$B$1:$B$1001,0)</f>
        <v>Elna Grise</v>
      </c>
      <c r="G90" s="2" t="s">
        <v>988</v>
      </c>
      <c r="H90" s="2" t="str">
        <f>_xlfn.XLOOKUP(C90,customers!$A$1:$A$1001,customers!$G$1:$G$1001,0)</f>
        <v>United States</v>
      </c>
      <c r="I90" t="str">
        <f>_xlfn.XLOOKUP(D90,products!$A$1:$A$49,products!$B$1:$B$49,0)</f>
        <v>Rob</v>
      </c>
      <c r="J90" t="str">
        <f>_xlfn.XLOOKUP(worksheet!D90,products!$A$1:$A$49,products!$C$1:$C$49,0)</f>
        <v>L</v>
      </c>
      <c r="K90" s="5">
        <f>_xlfn.XLOOKUP(worksheet!D90,products!$A$1:$A$49,products!$D$1:$D$49,0)</f>
        <v>1</v>
      </c>
      <c r="L90" s="6">
        <f>_xlfn.XLOOKUP(worksheet!D90,products!$A$1:$A$49,products!$E$1:$E$49,0)</f>
        <v>11.95</v>
      </c>
      <c r="M90" s="6">
        <f>worksheet!E90*worksheet!L90</f>
        <v>35.849999999999994</v>
      </c>
      <c r="N90" t="str">
        <f t="shared" si="2"/>
        <v>Robusta</v>
      </c>
      <c r="O90" t="str">
        <f t="shared" si="3"/>
        <v>Light</v>
      </c>
      <c r="P90" t="str">
        <f>_xlfn.XLOOKUP(worksheet[[#This Row],[Customer ID]],customers!$A$1:$A$1001,customers!$I$1:$I$1001,0)</f>
        <v>No</v>
      </c>
    </row>
    <row r="91" spans="1:16" x14ac:dyDescent="0.25">
      <c r="A91" s="2" t="s">
        <v>990</v>
      </c>
      <c r="B91" s="4">
        <v>44545</v>
      </c>
      <c r="C91" s="2" t="s">
        <v>991</v>
      </c>
      <c r="D91" t="s">
        <v>6140</v>
      </c>
      <c r="E91" s="2">
        <v>6</v>
      </c>
      <c r="F91" s="2" t="str">
        <f>_xlfn.XLOOKUP(C91,customers!$A$1:$A$1001,customers!$B$1:$B$1001,0)</f>
        <v>Torie Gottelier</v>
      </c>
      <c r="G91" s="2" t="s">
        <v>993</v>
      </c>
      <c r="H91" s="2" t="str">
        <f>_xlfn.XLOOKUP(C91,customers!$A$1:$A$1001,customers!$G$1:$G$1001,0)</f>
        <v>United States</v>
      </c>
      <c r="I91" t="str">
        <f>_xlfn.XLOOKUP(D91,products!$A$1:$A$49,products!$B$1:$B$49,0)</f>
        <v>Ara</v>
      </c>
      <c r="J91" t="str">
        <f>_xlfn.XLOOKUP(worksheet!D91,products!$A$1:$A$49,products!$C$1:$C$49,0)</f>
        <v>L</v>
      </c>
      <c r="K91" s="5">
        <f>_xlfn.XLOOKUP(worksheet!D91,products!$A$1:$A$49,products!$D$1:$D$49,0)</f>
        <v>1</v>
      </c>
      <c r="L91" s="6">
        <f>_xlfn.XLOOKUP(worksheet!D91,products!$A$1:$A$49,products!$E$1:$E$49,0)</f>
        <v>12.95</v>
      </c>
      <c r="M91" s="6">
        <f>worksheet!E91*worksheet!L91</f>
        <v>77.699999999999989</v>
      </c>
      <c r="N91" t="str">
        <f t="shared" si="2"/>
        <v>Arabica</v>
      </c>
      <c r="O91" t="str">
        <f t="shared" si="3"/>
        <v>Light</v>
      </c>
      <c r="P91" t="str">
        <f>_xlfn.XLOOKUP(worksheet[[#This Row],[Customer ID]],customers!$A$1:$A$1001,customers!$I$1:$I$1001,0)</f>
        <v>No</v>
      </c>
    </row>
    <row r="92" spans="1:16" x14ac:dyDescent="0.25">
      <c r="A92" s="2" t="s">
        <v>996</v>
      </c>
      <c r="B92" s="4">
        <v>43971</v>
      </c>
      <c r="C92" s="2" t="s">
        <v>997</v>
      </c>
      <c r="D92" t="s">
        <v>6140</v>
      </c>
      <c r="E92" s="2">
        <v>4</v>
      </c>
      <c r="F92" s="2" t="str">
        <f>_xlfn.XLOOKUP(C92,customers!$A$1:$A$1001,customers!$B$1:$B$1001,0)</f>
        <v>Loydie Langlais</v>
      </c>
      <c r="G92" s="2" t="s">
        <v>6222</v>
      </c>
      <c r="H92" s="2" t="str">
        <f>_xlfn.XLOOKUP(C92,customers!$A$1:$A$1001,customers!$G$1:$G$1001,0)</f>
        <v>Ireland</v>
      </c>
      <c r="I92" t="str">
        <f>_xlfn.XLOOKUP(D92,products!$A$1:$A$49,products!$B$1:$B$49,0)</f>
        <v>Ara</v>
      </c>
      <c r="J92" t="str">
        <f>_xlfn.XLOOKUP(worksheet!D92,products!$A$1:$A$49,products!$C$1:$C$49,0)</f>
        <v>L</v>
      </c>
      <c r="K92" s="5">
        <f>_xlfn.XLOOKUP(worksheet!D92,products!$A$1:$A$49,products!$D$1:$D$49,0)</f>
        <v>1</v>
      </c>
      <c r="L92" s="6">
        <f>_xlfn.XLOOKUP(worksheet!D92,products!$A$1:$A$49,products!$E$1:$E$49,0)</f>
        <v>12.95</v>
      </c>
      <c r="M92" s="6">
        <f>worksheet!E92*worksheet!L92</f>
        <v>51.8</v>
      </c>
      <c r="N92" t="str">
        <f t="shared" si="2"/>
        <v>Arabica</v>
      </c>
      <c r="O92" t="str">
        <f t="shared" si="3"/>
        <v>Light</v>
      </c>
      <c r="P92" t="str">
        <f>_xlfn.XLOOKUP(worksheet[[#This Row],[Customer ID]],customers!$A$1:$A$1001,customers!$I$1:$I$1001,0)</f>
        <v>Yes</v>
      </c>
    </row>
    <row r="93" spans="1:16" x14ac:dyDescent="0.25">
      <c r="A93" s="2" t="s">
        <v>1001</v>
      </c>
      <c r="B93" s="4">
        <v>44137</v>
      </c>
      <c r="C93" s="2" t="s">
        <v>1002</v>
      </c>
      <c r="D93" t="s">
        <v>6175</v>
      </c>
      <c r="E93" s="2">
        <v>4</v>
      </c>
      <c r="F93" s="2" t="str">
        <f>_xlfn.XLOOKUP(C93,customers!$A$1:$A$1001,customers!$B$1:$B$1001,0)</f>
        <v>Adham Greenhead</v>
      </c>
      <c r="G93" s="2" t="s">
        <v>1004</v>
      </c>
      <c r="H93" s="2" t="str">
        <f>_xlfn.XLOOKUP(C93,customers!$A$1:$A$1001,customers!$G$1:$G$1001,0)</f>
        <v>United States</v>
      </c>
      <c r="I93" t="str">
        <f>_xlfn.XLOOKUP(D93,products!$A$1:$A$49,products!$B$1:$B$49,0)</f>
        <v>Ara</v>
      </c>
      <c r="J93" t="str">
        <f>_xlfn.XLOOKUP(worksheet!D93,products!$A$1:$A$49,products!$C$1:$C$49,0)</f>
        <v>M</v>
      </c>
      <c r="K93" s="5">
        <f>_xlfn.XLOOKUP(worksheet!D93,products!$A$1:$A$49,products!$D$1:$D$49,0)</f>
        <v>2.5</v>
      </c>
      <c r="L93" s="6">
        <f>_xlfn.XLOOKUP(worksheet!D93,products!$A$1:$A$49,products!$E$1:$E$49,0)</f>
        <v>25.874999999999996</v>
      </c>
      <c r="M93" s="6">
        <f>worksheet!E93*worksheet!L93</f>
        <v>103.49999999999999</v>
      </c>
      <c r="N93" t="str">
        <f t="shared" si="2"/>
        <v>Arabica</v>
      </c>
      <c r="O93" t="str">
        <f t="shared" si="3"/>
        <v>Medium</v>
      </c>
      <c r="P93" t="str">
        <f>_xlfn.XLOOKUP(worksheet[[#This Row],[Customer ID]],customers!$A$1:$A$1001,customers!$I$1:$I$1001,0)</f>
        <v>No</v>
      </c>
    </row>
    <row r="94" spans="1:16" x14ac:dyDescent="0.25">
      <c r="A94" s="2" t="s">
        <v>1007</v>
      </c>
      <c r="B94" s="4">
        <v>44037</v>
      </c>
      <c r="C94" s="2" t="s">
        <v>1008</v>
      </c>
      <c r="D94" t="s">
        <v>6171</v>
      </c>
      <c r="E94" s="2">
        <v>3</v>
      </c>
      <c r="F94" s="2" t="str">
        <f>_xlfn.XLOOKUP(C94,customers!$A$1:$A$1001,customers!$B$1:$B$1001,0)</f>
        <v>Hamish MacSherry</v>
      </c>
      <c r="G94" s="2" t="s">
        <v>6222</v>
      </c>
      <c r="H94" s="2" t="str">
        <f>_xlfn.XLOOKUP(C94,customers!$A$1:$A$1001,customers!$G$1:$G$1001,0)</f>
        <v>United States</v>
      </c>
      <c r="I94" t="str">
        <f>_xlfn.XLOOKUP(D94,products!$A$1:$A$49,products!$B$1:$B$49,0)</f>
        <v>Exc</v>
      </c>
      <c r="J94" t="str">
        <f>_xlfn.XLOOKUP(worksheet!D94,products!$A$1:$A$49,products!$C$1:$C$49,0)</f>
        <v>L</v>
      </c>
      <c r="K94" s="5">
        <f>_xlfn.XLOOKUP(worksheet!D94,products!$A$1:$A$49,products!$D$1:$D$49,0)</f>
        <v>1</v>
      </c>
      <c r="L94" s="6">
        <f>_xlfn.XLOOKUP(worksheet!D94,products!$A$1:$A$49,products!$E$1:$E$49,0)</f>
        <v>14.85</v>
      </c>
      <c r="M94" s="6">
        <f>worksheet!E94*worksheet!L94</f>
        <v>44.55</v>
      </c>
      <c r="N94" t="str">
        <f t="shared" si="2"/>
        <v>Excelsa</v>
      </c>
      <c r="O94" t="str">
        <f t="shared" si="3"/>
        <v>Light</v>
      </c>
      <c r="P94" t="str">
        <f>_xlfn.XLOOKUP(worksheet[[#This Row],[Customer ID]],customers!$A$1:$A$1001,customers!$I$1:$I$1001,0)</f>
        <v>Yes</v>
      </c>
    </row>
    <row r="95" spans="1:16" x14ac:dyDescent="0.25">
      <c r="A95" s="2" t="s">
        <v>1012</v>
      </c>
      <c r="B95" s="4">
        <v>43538</v>
      </c>
      <c r="C95" s="2" t="s">
        <v>1013</v>
      </c>
      <c r="D95" t="s">
        <v>6176</v>
      </c>
      <c r="E95" s="2">
        <v>4</v>
      </c>
      <c r="F95" s="2" t="str">
        <f>_xlfn.XLOOKUP(C95,customers!$A$1:$A$1001,customers!$B$1:$B$1001,0)</f>
        <v>Else Langcaster</v>
      </c>
      <c r="G95" s="2" t="s">
        <v>1015</v>
      </c>
      <c r="H95" s="2" t="str">
        <f>_xlfn.XLOOKUP(C95,customers!$A$1:$A$1001,customers!$G$1:$G$1001,0)</f>
        <v>United Kingdom</v>
      </c>
      <c r="I95" t="str">
        <f>_xlfn.XLOOKUP(D95,products!$A$1:$A$49,products!$B$1:$B$49,0)</f>
        <v>Exc</v>
      </c>
      <c r="J95" t="str">
        <f>_xlfn.XLOOKUP(worksheet!D95,products!$A$1:$A$49,products!$C$1:$C$49,0)</f>
        <v>L</v>
      </c>
      <c r="K95" s="5">
        <f>_xlfn.XLOOKUP(worksheet!D95,products!$A$1:$A$49,products!$D$1:$D$49,0)</f>
        <v>0.5</v>
      </c>
      <c r="L95" s="6">
        <f>_xlfn.XLOOKUP(worksheet!D95,products!$A$1:$A$49,products!$E$1:$E$49,0)</f>
        <v>8.91</v>
      </c>
      <c r="M95" s="6">
        <f>worksheet!E95*worksheet!L95</f>
        <v>35.64</v>
      </c>
      <c r="N95" t="str">
        <f t="shared" si="2"/>
        <v>Excelsa</v>
      </c>
      <c r="O95" t="str">
        <f t="shared" si="3"/>
        <v>Light</v>
      </c>
      <c r="P95" t="str">
        <f>_xlfn.XLOOKUP(worksheet[[#This Row],[Customer ID]],customers!$A$1:$A$1001,customers!$I$1:$I$1001,0)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
        <v>6222</v>
      </c>
      <c r="H96" s="2" t="str">
        <f>_xlfn.XLOOKUP(C96,customers!$A$1:$A$1001,customers!$G$1:$G$1001,0)</f>
        <v>Ireland</v>
      </c>
      <c r="I96" t="str">
        <f>_xlfn.XLOOKUP(D96,products!$A$1:$A$49,products!$B$1:$B$49,0)</f>
        <v>Ara</v>
      </c>
      <c r="J96" t="str">
        <f>_xlfn.XLOOKUP(worksheet!D96,products!$A$1:$A$49,products!$C$1:$C$49,0)</f>
        <v>D</v>
      </c>
      <c r="K96" s="5">
        <f>_xlfn.XLOOKUP(worksheet!D96,products!$A$1:$A$49,products!$D$1:$D$49,0)</f>
        <v>0.2</v>
      </c>
      <c r="L96" s="6">
        <f>_xlfn.XLOOKUP(worksheet!D96,products!$A$1:$A$49,products!$E$1:$E$49,0)</f>
        <v>2.9849999999999999</v>
      </c>
      <c r="M96" s="6">
        <f>worksheet!E96*worksheet!L96</f>
        <v>17.91</v>
      </c>
      <c r="N96" t="str">
        <f t="shared" si="2"/>
        <v>Arabica</v>
      </c>
      <c r="O96" t="str">
        <f t="shared" si="3"/>
        <v>Dark</v>
      </c>
      <c r="P96" t="str">
        <f>_xlfn.XLOOKUP(worksheet[[#This Row],[Customer ID]],customers!$A$1:$A$1001,customers!$I$1:$I$1001,0)</f>
        <v>Yes</v>
      </c>
    </row>
    <row r="97" spans="1:16" x14ac:dyDescent="0.25">
      <c r="A97" s="2" t="s">
        <v>1022</v>
      </c>
      <c r="B97" s="4">
        <v>43816</v>
      </c>
      <c r="C97" s="2" t="s">
        <v>1023</v>
      </c>
      <c r="D97" t="s">
        <v>6175</v>
      </c>
      <c r="E97" s="2">
        <v>6</v>
      </c>
      <c r="F97" s="2" t="str">
        <f>_xlfn.XLOOKUP(C97,customers!$A$1:$A$1001,customers!$B$1:$B$1001,0)</f>
        <v>Norene Magauran</v>
      </c>
      <c r="G97" s="2" t="s">
        <v>1025</v>
      </c>
      <c r="H97" s="2" t="str">
        <f>_xlfn.XLOOKUP(C97,customers!$A$1:$A$1001,customers!$G$1:$G$1001,0)</f>
        <v>United States</v>
      </c>
      <c r="I97" t="str">
        <f>_xlfn.XLOOKUP(D97,products!$A$1:$A$49,products!$B$1:$B$49,0)</f>
        <v>Ara</v>
      </c>
      <c r="J97" t="str">
        <f>_xlfn.XLOOKUP(worksheet!D97,products!$A$1:$A$49,products!$C$1:$C$49,0)</f>
        <v>M</v>
      </c>
      <c r="K97" s="5">
        <f>_xlfn.XLOOKUP(worksheet!D97,products!$A$1:$A$49,products!$D$1:$D$49,0)</f>
        <v>2.5</v>
      </c>
      <c r="L97" s="6">
        <f>_xlfn.XLOOKUP(worksheet!D97,products!$A$1:$A$49,products!$E$1:$E$49,0)</f>
        <v>25.874999999999996</v>
      </c>
      <c r="M97" s="6">
        <f>worksheet!E97*worksheet!L97</f>
        <v>155.24999999999997</v>
      </c>
      <c r="N97" t="str">
        <f t="shared" si="2"/>
        <v>Arabica</v>
      </c>
      <c r="O97" t="str">
        <f t="shared" si="3"/>
        <v>Medium</v>
      </c>
      <c r="P97" t="str">
        <f>_xlfn.XLOOKUP(worksheet[[#This Row],[Customer ID]],customers!$A$1:$A$1001,customers!$I$1:$I$1001,0)</f>
        <v>No</v>
      </c>
    </row>
    <row r="98" spans="1:16" x14ac:dyDescent="0.25">
      <c r="A98" s="2" t="s">
        <v>1027</v>
      </c>
      <c r="B98" s="4">
        <v>44171</v>
      </c>
      <c r="C98" s="2" t="s">
        <v>1028</v>
      </c>
      <c r="D98" t="s">
        <v>6154</v>
      </c>
      <c r="E98" s="2">
        <v>2</v>
      </c>
      <c r="F98" s="2" t="str">
        <f>_xlfn.XLOOKUP(C98,customers!$A$1:$A$1001,customers!$B$1:$B$1001,0)</f>
        <v>Vicki Kirdsch</v>
      </c>
      <c r="G98" s="2" t="s">
        <v>1030</v>
      </c>
      <c r="H98" s="2" t="str">
        <f>_xlfn.XLOOKUP(C98,customers!$A$1:$A$1001,customers!$G$1:$G$1001,0)</f>
        <v>United States</v>
      </c>
      <c r="I98" t="str">
        <f>_xlfn.XLOOKUP(D98,products!$A$1:$A$49,products!$B$1:$B$49,0)</f>
        <v>Ara</v>
      </c>
      <c r="J98" t="str">
        <f>_xlfn.XLOOKUP(worksheet!D98,products!$A$1:$A$49,products!$C$1:$C$49,0)</f>
        <v>D</v>
      </c>
      <c r="K98" s="5">
        <f>_xlfn.XLOOKUP(worksheet!D98,products!$A$1:$A$49,products!$D$1:$D$49,0)</f>
        <v>0.2</v>
      </c>
      <c r="L98" s="6">
        <f>_xlfn.XLOOKUP(worksheet!D98,products!$A$1:$A$49,products!$E$1:$E$49,0)</f>
        <v>2.9849999999999999</v>
      </c>
      <c r="M98" s="6">
        <f>worksheet!E98*worksheet!L98</f>
        <v>5.97</v>
      </c>
      <c r="N98" t="str">
        <f t="shared" si="2"/>
        <v>Arabica</v>
      </c>
      <c r="O98" t="str">
        <f t="shared" si="3"/>
        <v>Dark</v>
      </c>
      <c r="P98" t="str">
        <f>_xlfn.XLOOKUP(worksheet[[#This Row],[Customer ID]],customers!$A$1:$A$1001,customers!$I$1:$I$1001,0)</f>
        <v>No</v>
      </c>
    </row>
    <row r="99" spans="1:16" x14ac:dyDescent="0.25">
      <c r="A99" s="2" t="s">
        <v>1032</v>
      </c>
      <c r="B99" s="4">
        <v>44259</v>
      </c>
      <c r="C99" s="2" t="s">
        <v>1033</v>
      </c>
      <c r="D99" t="s">
        <v>6157</v>
      </c>
      <c r="E99" s="2">
        <v>2</v>
      </c>
      <c r="F99" s="2" t="str">
        <f>_xlfn.XLOOKUP(C99,customers!$A$1:$A$1001,customers!$B$1:$B$1001,0)</f>
        <v>Ilysa Whapple</v>
      </c>
      <c r="G99" s="2" t="s">
        <v>1035</v>
      </c>
      <c r="H99" s="2" t="str">
        <f>_xlfn.XLOOKUP(C99,customers!$A$1:$A$1001,customers!$G$1:$G$1001,0)</f>
        <v>United States</v>
      </c>
      <c r="I99" t="str">
        <f>_xlfn.XLOOKUP(D99,products!$A$1:$A$49,products!$B$1:$B$49,0)</f>
        <v>Ara</v>
      </c>
      <c r="J99" t="str">
        <f>_xlfn.XLOOKUP(worksheet!D99,products!$A$1:$A$49,products!$C$1:$C$49,0)</f>
        <v>M</v>
      </c>
      <c r="K99" s="5">
        <f>_xlfn.XLOOKUP(worksheet!D99,products!$A$1:$A$49,products!$D$1:$D$49,0)</f>
        <v>0.5</v>
      </c>
      <c r="L99" s="6">
        <f>_xlfn.XLOOKUP(worksheet!D99,products!$A$1:$A$49,products!$E$1:$E$49,0)</f>
        <v>6.75</v>
      </c>
      <c r="M99" s="6">
        <f>worksheet!E99*worksheet!L99</f>
        <v>13.5</v>
      </c>
      <c r="N99" t="str">
        <f t="shared" si="2"/>
        <v>Arabica</v>
      </c>
      <c r="O99" t="str">
        <f t="shared" si="3"/>
        <v>Medium</v>
      </c>
      <c r="P99" t="str">
        <f>_xlfn.XLOOKUP(worksheet[[#This Row],[Customer ID]],customers!$A$1:$A$1001,customers!$I$1:$I$1001,0)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
        <v>6222</v>
      </c>
      <c r="H100" s="2" t="str">
        <f>_xlfn.XLOOKUP(C100,customers!$A$1:$A$1001,customers!$G$1:$G$1001,0)</f>
        <v>Ireland</v>
      </c>
      <c r="I100" t="str">
        <f>_xlfn.XLOOKUP(D100,products!$A$1:$A$49,products!$B$1:$B$49,0)</f>
        <v>Ara</v>
      </c>
      <c r="J100" t="str">
        <f>_xlfn.XLOOKUP(worksheet!D100,products!$A$1:$A$49,products!$C$1:$C$49,0)</f>
        <v>D</v>
      </c>
      <c r="K100" s="5">
        <f>_xlfn.XLOOKUP(worksheet!D100,products!$A$1:$A$49,products!$D$1:$D$49,0)</f>
        <v>0.2</v>
      </c>
      <c r="L100" s="6">
        <f>_xlfn.XLOOKUP(worksheet!D100,products!$A$1:$A$49,products!$E$1:$E$49,0)</f>
        <v>2.9849999999999999</v>
      </c>
      <c r="M100" s="6">
        <f>worksheet!E100*worksheet!L100</f>
        <v>2.9849999999999999</v>
      </c>
      <c r="N100" t="str">
        <f t="shared" si="2"/>
        <v>Arabica</v>
      </c>
      <c r="O100" t="str">
        <f t="shared" si="3"/>
        <v>Dark</v>
      </c>
      <c r="P100" t="str">
        <f>_xlfn.XLOOKUP(worksheet[[#This Row],[Customer ID]],customers!$A$1:$A$1001,customers!$I$1:$I$1001,0)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
        <v>6222</v>
      </c>
      <c r="H101" s="2" t="str">
        <f>_xlfn.XLOOKUP(C101,customers!$A$1:$A$1001,customers!$G$1:$G$1001,0)</f>
        <v>United States</v>
      </c>
      <c r="I101" t="str">
        <f>_xlfn.XLOOKUP(D101,products!$A$1:$A$49,products!$B$1:$B$49,0)</f>
        <v>Lib</v>
      </c>
      <c r="J101" t="str">
        <f>_xlfn.XLOOKUP(worksheet!D101,products!$A$1:$A$49,products!$C$1:$C$49,0)</f>
        <v>M</v>
      </c>
      <c r="K101" s="5">
        <f>_xlfn.XLOOKUP(worksheet!D101,products!$A$1:$A$49,products!$D$1:$D$49,0)</f>
        <v>0.2</v>
      </c>
      <c r="L101" s="6">
        <f>_xlfn.XLOOKUP(worksheet!D101,products!$A$1:$A$49,products!$E$1:$E$49,0)</f>
        <v>4.3650000000000002</v>
      </c>
      <c r="M101" s="6">
        <f>worksheet!E101*worksheet!L101</f>
        <v>13.095000000000001</v>
      </c>
      <c r="N101" t="str">
        <f t="shared" si="2"/>
        <v>Liberica</v>
      </c>
      <c r="O101" t="str">
        <f t="shared" si="3"/>
        <v>Medium</v>
      </c>
      <c r="P101" t="str">
        <f>_xlfn.XLOOKUP(worksheet[[#This Row],[Customer ID]],customers!$A$1:$A$1001,customers!$I$1:$I$1001,0)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
        <v>6222</v>
      </c>
      <c r="H102" s="2" t="str">
        <f>_xlfn.XLOOKUP(C102,customers!$A$1:$A$1001,customers!$G$1:$G$1001,0)</f>
        <v>United States</v>
      </c>
      <c r="I102" t="str">
        <f>_xlfn.XLOOKUP(D102,products!$A$1:$A$49,products!$B$1:$B$49,0)</f>
        <v>Ara</v>
      </c>
      <c r="J102" t="str">
        <f>_xlfn.XLOOKUP(worksheet!D102,products!$A$1:$A$49,products!$C$1:$C$49,0)</f>
        <v>L</v>
      </c>
      <c r="K102" s="5">
        <f>_xlfn.XLOOKUP(worksheet!D102,products!$A$1:$A$49,products!$D$1:$D$49,0)</f>
        <v>0.2</v>
      </c>
      <c r="L102" s="6">
        <f>_xlfn.XLOOKUP(worksheet!D102,products!$A$1:$A$49,products!$E$1:$E$49,0)</f>
        <v>3.8849999999999998</v>
      </c>
      <c r="M102" s="6">
        <f>worksheet!E102*worksheet!L102</f>
        <v>7.77</v>
      </c>
      <c r="N102" t="str">
        <f t="shared" si="2"/>
        <v>Arabica</v>
      </c>
      <c r="O102" t="str">
        <f t="shared" si="3"/>
        <v>Light</v>
      </c>
      <c r="P102" t="str">
        <f>_xlfn.XLOOKUP(worksheet[[#This Row],[Customer ID]],customers!$A$1:$A$1001,customers!$I$1:$I$1001,0)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
        <v>1056</v>
      </c>
      <c r="H103" s="2" t="str">
        <f>_xlfn.XLOOKUP(C103,customers!$A$1:$A$1001,customers!$G$1:$G$1001,0)</f>
        <v>Ireland</v>
      </c>
      <c r="I103" t="str">
        <f>_xlfn.XLOOKUP(D103,products!$A$1:$A$49,products!$B$1:$B$49,0)</f>
        <v>Lib</v>
      </c>
      <c r="J103" t="str">
        <f>_xlfn.XLOOKUP(worksheet!D103,products!$A$1:$A$49,products!$C$1:$C$49,0)</f>
        <v>D</v>
      </c>
      <c r="K103" s="5">
        <f>_xlfn.XLOOKUP(worksheet!D103,products!$A$1:$A$49,products!$D$1:$D$49,0)</f>
        <v>2.5</v>
      </c>
      <c r="L103" s="6">
        <f>_xlfn.XLOOKUP(worksheet!D103,products!$A$1:$A$49,products!$E$1:$E$49,0)</f>
        <v>29.784999999999997</v>
      </c>
      <c r="M103" s="6">
        <f>worksheet!E103*worksheet!L103</f>
        <v>148.92499999999998</v>
      </c>
      <c r="N103" t="str">
        <f t="shared" si="2"/>
        <v>Liberica</v>
      </c>
      <c r="O103" t="str">
        <f t="shared" si="3"/>
        <v>Dark</v>
      </c>
      <c r="P103" t="str">
        <f>_xlfn.XLOOKUP(worksheet[[#This Row],[Customer ID]],customers!$A$1:$A$1001,customers!$I$1:$I$1001,0)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
        <v>1062</v>
      </c>
      <c r="H104" s="2" t="str">
        <f>_xlfn.XLOOKUP(C104,customers!$A$1:$A$1001,customers!$G$1:$G$1001,0)</f>
        <v>Ireland</v>
      </c>
      <c r="I104" t="str">
        <f>_xlfn.XLOOKUP(D104,products!$A$1:$A$49,products!$B$1:$B$49,0)</f>
        <v>Lib</v>
      </c>
      <c r="J104" t="str">
        <f>_xlfn.XLOOKUP(worksheet!D104,products!$A$1:$A$49,products!$C$1:$C$49,0)</f>
        <v>D</v>
      </c>
      <c r="K104" s="5">
        <f>_xlfn.XLOOKUP(worksheet!D104,products!$A$1:$A$49,products!$D$1:$D$49,0)</f>
        <v>1</v>
      </c>
      <c r="L104" s="6">
        <f>_xlfn.XLOOKUP(worksheet!D104,products!$A$1:$A$49,products!$E$1:$E$49,0)</f>
        <v>12.95</v>
      </c>
      <c r="M104" s="6">
        <f>worksheet!E104*worksheet!L104</f>
        <v>38.849999999999994</v>
      </c>
      <c r="N104" t="str">
        <f t="shared" si="2"/>
        <v>Liberica</v>
      </c>
      <c r="O104" t="str">
        <f t="shared" si="3"/>
        <v>Dark</v>
      </c>
      <c r="P104" t="str">
        <f>_xlfn.XLOOKUP(worksheet[[#This Row],[Customer ID]],customers!$A$1:$A$1001,customers!$I$1:$I$1001,0)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
        <v>1068</v>
      </c>
      <c r="H105" s="2" t="str">
        <f>_xlfn.XLOOKUP(C105,customers!$A$1:$A$1001,customers!$G$1:$G$1001,0)</f>
        <v>United States</v>
      </c>
      <c r="I105" t="str">
        <f>_xlfn.XLOOKUP(D105,products!$A$1:$A$49,products!$B$1:$B$49,0)</f>
        <v>Rob</v>
      </c>
      <c r="J105" t="str">
        <f>_xlfn.XLOOKUP(worksheet!D105,products!$A$1:$A$49,products!$C$1:$C$49,0)</f>
        <v>M</v>
      </c>
      <c r="K105" s="5">
        <f>_xlfn.XLOOKUP(worksheet!D105,products!$A$1:$A$49,products!$D$1:$D$49,0)</f>
        <v>0.2</v>
      </c>
      <c r="L105" s="6">
        <f>_xlfn.XLOOKUP(worksheet!D105,products!$A$1:$A$49,products!$E$1:$E$49,0)</f>
        <v>2.9849999999999999</v>
      </c>
      <c r="M105" s="6">
        <f>worksheet!E105*worksheet!L105</f>
        <v>11.94</v>
      </c>
      <c r="N105" t="str">
        <f t="shared" si="2"/>
        <v>Robusta</v>
      </c>
      <c r="O105" t="str">
        <f t="shared" si="3"/>
        <v>Medium</v>
      </c>
      <c r="P105" t="str">
        <f>_xlfn.XLOOKUP(worksheet[[#This Row],[Customer ID]],customers!$A$1:$A$1001,customers!$I$1:$I$1001,0)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
        <v>1074</v>
      </c>
      <c r="H106" s="2" t="str">
        <f>_xlfn.XLOOKUP(C106,customers!$A$1:$A$1001,customers!$G$1:$G$1001,0)</f>
        <v>United States</v>
      </c>
      <c r="I106" t="str">
        <f>_xlfn.XLOOKUP(D106,products!$A$1:$A$49,products!$B$1:$B$49,0)</f>
        <v>Lib</v>
      </c>
      <c r="J106" t="str">
        <f>_xlfn.XLOOKUP(worksheet!D106,products!$A$1:$A$49,products!$C$1:$C$49,0)</f>
        <v>M</v>
      </c>
      <c r="K106" s="5">
        <f>_xlfn.XLOOKUP(worksheet!D106,products!$A$1:$A$49,products!$D$1:$D$49,0)</f>
        <v>1</v>
      </c>
      <c r="L106" s="6">
        <f>_xlfn.XLOOKUP(worksheet!D106,products!$A$1:$A$49,products!$E$1:$E$49,0)</f>
        <v>14.55</v>
      </c>
      <c r="M106" s="6">
        <f>worksheet!E106*worksheet!L106</f>
        <v>87.300000000000011</v>
      </c>
      <c r="N106" t="str">
        <f t="shared" si="2"/>
        <v>Liberica</v>
      </c>
      <c r="O106" t="str">
        <f t="shared" si="3"/>
        <v>Medium</v>
      </c>
      <c r="P106" t="str">
        <f>_xlfn.XLOOKUP(worksheet[[#This Row],[Customer ID]],customers!$A$1:$A$1001,customers!$I$1:$I$1001,0)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
        <v>1080</v>
      </c>
      <c r="H107" s="2" t="str">
        <f>_xlfn.XLOOKUP(C107,customers!$A$1:$A$1001,customers!$G$1:$G$1001,0)</f>
        <v>United States</v>
      </c>
      <c r="I107" t="str">
        <f>_xlfn.XLOOKUP(D107,products!$A$1:$A$49,products!$B$1:$B$49,0)</f>
        <v>Ara</v>
      </c>
      <c r="J107" t="str">
        <f>_xlfn.XLOOKUP(worksheet!D107,products!$A$1:$A$49,products!$C$1:$C$49,0)</f>
        <v>M</v>
      </c>
      <c r="K107" s="5">
        <f>_xlfn.XLOOKUP(worksheet!D107,products!$A$1:$A$49,products!$D$1:$D$49,0)</f>
        <v>0.5</v>
      </c>
      <c r="L107" s="6">
        <f>_xlfn.XLOOKUP(worksheet!D107,products!$A$1:$A$49,products!$E$1:$E$49,0)</f>
        <v>6.75</v>
      </c>
      <c r="M107" s="6">
        <f>worksheet!E107*worksheet!L107</f>
        <v>40.5</v>
      </c>
      <c r="N107" t="str">
        <f t="shared" si="2"/>
        <v>Arabica</v>
      </c>
      <c r="O107" t="str">
        <f t="shared" si="3"/>
        <v>Medium</v>
      </c>
      <c r="P107" t="str">
        <f>_xlfn.XLOOKUP(worksheet[[#This Row],[Customer ID]],customers!$A$1:$A$1001,customers!$I$1:$I$1001,0)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
        <v>1086</v>
      </c>
      <c r="H108" s="2" t="str">
        <f>_xlfn.XLOOKUP(C108,customers!$A$1:$A$1001,customers!$G$1:$G$1001,0)</f>
        <v>United States</v>
      </c>
      <c r="I108" t="str">
        <f>_xlfn.XLOOKUP(D108,products!$A$1:$A$49,products!$B$1:$B$49,0)</f>
        <v>Exc</v>
      </c>
      <c r="J108" t="str">
        <f>_xlfn.XLOOKUP(worksheet!D108,products!$A$1:$A$49,products!$C$1:$C$49,0)</f>
        <v>D</v>
      </c>
      <c r="K108" s="5">
        <f>_xlfn.XLOOKUP(worksheet!D108,products!$A$1:$A$49,products!$D$1:$D$49,0)</f>
        <v>1</v>
      </c>
      <c r="L108" s="6">
        <f>_xlfn.XLOOKUP(worksheet!D108,products!$A$1:$A$49,products!$E$1:$E$49,0)</f>
        <v>12.15</v>
      </c>
      <c r="M108" s="6">
        <f>worksheet!E108*worksheet!L108</f>
        <v>24.3</v>
      </c>
      <c r="N108" t="str">
        <f t="shared" si="2"/>
        <v>Excelsa</v>
      </c>
      <c r="O108" t="str">
        <f t="shared" si="3"/>
        <v>Dark</v>
      </c>
      <c r="P108" t="str">
        <f>_xlfn.XLOOKUP(worksheet[[#This Row],[Customer ID]],customers!$A$1:$A$1001,customers!$I$1:$I$1001,0)</f>
        <v>No</v>
      </c>
    </row>
    <row r="109" spans="1:16" x14ac:dyDescent="0.25">
      <c r="A109" s="2" t="s">
        <v>1089</v>
      </c>
      <c r="B109" s="4">
        <v>43569</v>
      </c>
      <c r="C109" s="2" t="s">
        <v>1090</v>
      </c>
      <c r="D109" t="s">
        <v>6146</v>
      </c>
      <c r="E109" s="2">
        <v>3</v>
      </c>
      <c r="F109" s="2" t="str">
        <f>_xlfn.XLOOKUP(C109,customers!$A$1:$A$1001,customers!$B$1:$B$1001,0)</f>
        <v>Pen Wye</v>
      </c>
      <c r="G109" s="2" t="s">
        <v>1092</v>
      </c>
      <c r="H109" s="2" t="str">
        <f>_xlfn.XLOOKUP(C109,customers!$A$1:$A$1001,customers!$G$1:$G$1001,0)</f>
        <v>United States</v>
      </c>
      <c r="I109" t="str">
        <f>_xlfn.XLOOKUP(D109,products!$A$1:$A$49,products!$B$1:$B$49,0)</f>
        <v>Rob</v>
      </c>
      <c r="J109" t="str">
        <f>_xlfn.XLOOKUP(worksheet!D109,products!$A$1:$A$49,products!$C$1:$C$49,0)</f>
        <v>M</v>
      </c>
      <c r="K109" s="5">
        <f>_xlfn.XLOOKUP(worksheet!D109,products!$A$1:$A$49,products!$D$1:$D$49,0)</f>
        <v>0.5</v>
      </c>
      <c r="L109" s="6">
        <f>_xlfn.XLOOKUP(worksheet!D109,products!$A$1:$A$49,products!$E$1:$E$49,0)</f>
        <v>5.97</v>
      </c>
      <c r="M109" s="6">
        <f>worksheet!E109*worksheet!L109</f>
        <v>17.91</v>
      </c>
      <c r="N109" t="str">
        <f t="shared" si="2"/>
        <v>Robusta</v>
      </c>
      <c r="O109" t="str">
        <f t="shared" si="3"/>
        <v>Medium</v>
      </c>
      <c r="P109" t="str">
        <f>_xlfn.XLOOKUP(worksheet[[#This Row],[Customer ID]],customers!$A$1:$A$1001,customers!$I$1:$I$1001,0)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
        <v>6222</v>
      </c>
      <c r="H110" s="2" t="str">
        <f>_xlfn.XLOOKUP(C110,customers!$A$1:$A$1001,customers!$G$1:$G$1001,0)</f>
        <v>United States</v>
      </c>
      <c r="I110" t="str">
        <f>_xlfn.XLOOKUP(D110,products!$A$1:$A$49,products!$B$1:$B$49,0)</f>
        <v>Ara</v>
      </c>
      <c r="J110" t="str">
        <f>_xlfn.XLOOKUP(worksheet!D110,products!$A$1:$A$49,products!$C$1:$C$49,0)</f>
        <v>M</v>
      </c>
      <c r="K110" s="5">
        <f>_xlfn.XLOOKUP(worksheet!D110,products!$A$1:$A$49,products!$D$1:$D$49,0)</f>
        <v>0.5</v>
      </c>
      <c r="L110" s="6">
        <f>_xlfn.XLOOKUP(worksheet!D110,products!$A$1:$A$49,products!$E$1:$E$49,0)</f>
        <v>6.75</v>
      </c>
      <c r="M110" s="6">
        <f>worksheet!E110*worksheet!L110</f>
        <v>27</v>
      </c>
      <c r="N110" t="str">
        <f t="shared" si="2"/>
        <v>Arabica</v>
      </c>
      <c r="O110" t="str">
        <f t="shared" si="3"/>
        <v>Medium</v>
      </c>
      <c r="P110" t="str">
        <f>_xlfn.XLOOKUP(worksheet[[#This Row],[Customer ID]],customers!$A$1:$A$1001,customers!$I$1:$I$1001,0)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
        <v>1103</v>
      </c>
      <c r="H111" s="2" t="str">
        <f>_xlfn.XLOOKUP(C111,customers!$A$1:$A$1001,customers!$G$1:$G$1001,0)</f>
        <v>United States</v>
      </c>
      <c r="I111" t="str">
        <f>_xlfn.XLOOKUP(D111,products!$A$1:$A$49,products!$B$1:$B$49,0)</f>
        <v>Lib</v>
      </c>
      <c r="J111" t="str">
        <f>_xlfn.XLOOKUP(worksheet!D111,products!$A$1:$A$49,products!$C$1:$C$49,0)</f>
        <v>D</v>
      </c>
      <c r="K111" s="5">
        <f>_xlfn.XLOOKUP(worksheet!D111,products!$A$1:$A$49,products!$D$1:$D$49,0)</f>
        <v>0.5</v>
      </c>
      <c r="L111" s="6">
        <f>_xlfn.XLOOKUP(worksheet!D111,products!$A$1:$A$49,products!$E$1:$E$49,0)</f>
        <v>7.77</v>
      </c>
      <c r="M111" s="6">
        <f>worksheet!E111*worksheet!L111</f>
        <v>7.77</v>
      </c>
      <c r="N111" t="str">
        <f t="shared" si="2"/>
        <v>Liberica</v>
      </c>
      <c r="O111" t="str">
        <f t="shared" si="3"/>
        <v>Dark</v>
      </c>
      <c r="P111" t="str">
        <f>_xlfn.XLOOKUP(worksheet[[#This Row],[Customer ID]],customers!$A$1:$A$1001,customers!$I$1:$I$1001,0)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
        <v>1109</v>
      </c>
      <c r="H112" s="2" t="str">
        <f>_xlfn.XLOOKUP(C112,customers!$A$1:$A$1001,customers!$G$1:$G$1001,0)</f>
        <v>United States</v>
      </c>
      <c r="I112" t="str">
        <f>_xlfn.XLOOKUP(D112,products!$A$1:$A$49,products!$B$1:$B$49,0)</f>
        <v>Exc</v>
      </c>
      <c r="J112" t="str">
        <f>_xlfn.XLOOKUP(worksheet!D112,products!$A$1:$A$49,products!$C$1:$C$49,0)</f>
        <v>L</v>
      </c>
      <c r="K112" s="5">
        <f>_xlfn.XLOOKUP(worksheet!D112,products!$A$1:$A$49,products!$D$1:$D$49,0)</f>
        <v>0.2</v>
      </c>
      <c r="L112" s="6">
        <f>_xlfn.XLOOKUP(worksheet!D112,products!$A$1:$A$49,products!$E$1:$E$49,0)</f>
        <v>4.4550000000000001</v>
      </c>
      <c r="M112" s="6">
        <f>worksheet!E112*worksheet!L112</f>
        <v>13.365</v>
      </c>
      <c r="N112" t="str">
        <f t="shared" si="2"/>
        <v>Excelsa</v>
      </c>
      <c r="O112" t="str">
        <f t="shared" si="3"/>
        <v>Light</v>
      </c>
      <c r="P112" t="str">
        <f>_xlfn.XLOOKUP(worksheet[[#This Row],[Customer ID]],customers!$A$1:$A$1001,customers!$I$1:$I$1001,0)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
        <v>1115</v>
      </c>
      <c r="H113" s="2" t="str">
        <f>_xlfn.XLOOKUP(C113,customers!$A$1:$A$1001,customers!$G$1:$G$1001,0)</f>
        <v>United States</v>
      </c>
      <c r="I113" t="str">
        <f>_xlfn.XLOOKUP(D113,products!$A$1:$A$49,products!$B$1:$B$49,0)</f>
        <v>Rob</v>
      </c>
      <c r="J113" t="str">
        <f>_xlfn.XLOOKUP(worksheet!D113,products!$A$1:$A$49,products!$C$1:$C$49,0)</f>
        <v>D</v>
      </c>
      <c r="K113" s="5">
        <f>_xlfn.XLOOKUP(worksheet!D113,products!$A$1:$A$49,products!$D$1:$D$49,0)</f>
        <v>0.5</v>
      </c>
      <c r="L113" s="6">
        <f>_xlfn.XLOOKUP(worksheet!D113,products!$A$1:$A$49,products!$E$1:$E$49,0)</f>
        <v>5.3699999999999992</v>
      </c>
      <c r="M113" s="6">
        <f>worksheet!E113*worksheet!L113</f>
        <v>26.849999999999994</v>
      </c>
      <c r="N113" t="str">
        <f t="shared" si="2"/>
        <v>Robusta</v>
      </c>
      <c r="O113" t="str">
        <f t="shared" si="3"/>
        <v>Dark</v>
      </c>
      <c r="P113" t="str">
        <f>_xlfn.XLOOKUP(worksheet[[#This Row],[Customer ID]],customers!$A$1:$A$1001,customers!$I$1:$I$1001,0)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
        <v>1120</v>
      </c>
      <c r="H114" s="2" t="str">
        <f>_xlfn.XLOOKUP(C114,customers!$A$1:$A$1001,customers!$G$1:$G$1001,0)</f>
        <v>United States</v>
      </c>
      <c r="I114" t="str">
        <f>_xlfn.XLOOKUP(D114,products!$A$1:$A$49,products!$B$1:$B$49,0)</f>
        <v>Ara</v>
      </c>
      <c r="J114" t="str">
        <f>_xlfn.XLOOKUP(worksheet!D114,products!$A$1:$A$49,products!$C$1:$C$49,0)</f>
        <v>M</v>
      </c>
      <c r="K114" s="5">
        <f>_xlfn.XLOOKUP(worksheet!D114,products!$A$1:$A$49,products!$D$1:$D$49,0)</f>
        <v>1</v>
      </c>
      <c r="L114" s="6">
        <f>_xlfn.XLOOKUP(worksheet!D114,products!$A$1:$A$49,products!$E$1:$E$49,0)</f>
        <v>11.25</v>
      </c>
      <c r="M114" s="6">
        <f>worksheet!E114*worksheet!L114</f>
        <v>11.25</v>
      </c>
      <c r="N114" t="str">
        <f t="shared" si="2"/>
        <v>Arabica</v>
      </c>
      <c r="O114" t="str">
        <f t="shared" si="3"/>
        <v>Medium</v>
      </c>
      <c r="P114" t="str">
        <f>_xlfn.XLOOKUP(worksheet[[#This Row],[Customer ID]],customers!$A$1:$A$1001,customers!$I$1:$I$1001,0)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
        <v>1126</v>
      </c>
      <c r="H115" s="2" t="str">
        <f>_xlfn.XLOOKUP(C115,customers!$A$1:$A$1001,customers!$G$1:$G$1001,0)</f>
        <v>Ireland</v>
      </c>
      <c r="I115" t="str">
        <f>_xlfn.XLOOKUP(D115,products!$A$1:$A$49,products!$B$1:$B$49,0)</f>
        <v>Lib</v>
      </c>
      <c r="J115" t="str">
        <f>_xlfn.XLOOKUP(worksheet!D115,products!$A$1:$A$49,products!$C$1:$C$49,0)</f>
        <v>M</v>
      </c>
      <c r="K115" s="5">
        <f>_xlfn.XLOOKUP(worksheet!D115,products!$A$1:$A$49,products!$D$1:$D$49,0)</f>
        <v>1</v>
      </c>
      <c r="L115" s="6">
        <f>_xlfn.XLOOKUP(worksheet!D115,products!$A$1:$A$49,products!$E$1:$E$49,0)</f>
        <v>14.55</v>
      </c>
      <c r="M115" s="6">
        <f>worksheet!E115*worksheet!L115</f>
        <v>14.55</v>
      </c>
      <c r="N115" t="str">
        <f t="shared" si="2"/>
        <v>Liberica</v>
      </c>
      <c r="O115" t="str">
        <f t="shared" si="3"/>
        <v>Medium</v>
      </c>
      <c r="P115" t="str">
        <f>_xlfn.XLOOKUP(worksheet[[#This Row],[Customer ID]],customers!$A$1:$A$1001,customers!$I$1:$I$1001,0)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
        <v>6222</v>
      </c>
      <c r="H116" s="2" t="str">
        <f>_xlfn.XLOOKUP(C116,customers!$A$1:$A$1001,customers!$G$1:$G$1001,0)</f>
        <v>United States</v>
      </c>
      <c r="I116" t="str">
        <f>_xlfn.XLOOKUP(D116,products!$A$1:$A$49,products!$B$1:$B$49,0)</f>
        <v>Rob</v>
      </c>
      <c r="J116" t="str">
        <f>_xlfn.XLOOKUP(worksheet!D116,products!$A$1:$A$49,products!$C$1:$C$49,0)</f>
        <v>L</v>
      </c>
      <c r="K116" s="5">
        <f>_xlfn.XLOOKUP(worksheet!D116,products!$A$1:$A$49,products!$D$1:$D$49,0)</f>
        <v>0.2</v>
      </c>
      <c r="L116" s="6">
        <f>_xlfn.XLOOKUP(worksheet!D116,products!$A$1:$A$49,products!$E$1:$E$49,0)</f>
        <v>3.5849999999999995</v>
      </c>
      <c r="M116" s="6">
        <f>worksheet!E116*worksheet!L116</f>
        <v>14.339999999999998</v>
      </c>
      <c r="N116" t="str">
        <f t="shared" si="2"/>
        <v>Robusta</v>
      </c>
      <c r="O116" t="str">
        <f t="shared" si="3"/>
        <v>Light</v>
      </c>
      <c r="P116" t="str">
        <f>_xlfn.XLOOKUP(worksheet[[#This Row],[Customer ID]],customers!$A$1:$A$1001,customers!$I$1:$I$1001,0)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
        <v>1137</v>
      </c>
      <c r="H117" s="2" t="str">
        <f>_xlfn.XLOOKUP(C117,customers!$A$1:$A$1001,customers!$G$1:$G$1001,0)</f>
        <v>United Kingdom</v>
      </c>
      <c r="I117" t="str">
        <f>_xlfn.XLOOKUP(D117,products!$A$1:$A$49,products!$B$1:$B$49,0)</f>
        <v>Lib</v>
      </c>
      <c r="J117" t="str">
        <f>_xlfn.XLOOKUP(worksheet!D117,products!$A$1:$A$49,products!$C$1:$C$49,0)</f>
        <v>L</v>
      </c>
      <c r="K117" s="5">
        <f>_xlfn.XLOOKUP(worksheet!D117,products!$A$1:$A$49,products!$D$1:$D$49,0)</f>
        <v>1</v>
      </c>
      <c r="L117" s="6">
        <f>_xlfn.XLOOKUP(worksheet!D117,products!$A$1:$A$49,products!$E$1:$E$49,0)</f>
        <v>15.85</v>
      </c>
      <c r="M117" s="6">
        <f>worksheet!E117*worksheet!L117</f>
        <v>15.85</v>
      </c>
      <c r="N117" t="str">
        <f t="shared" si="2"/>
        <v>Liberica</v>
      </c>
      <c r="O117" t="str">
        <f t="shared" si="3"/>
        <v>Light</v>
      </c>
      <c r="P117" t="str">
        <f>_xlfn.XLOOKUP(worksheet[[#This Row],[Customer ID]],customers!$A$1:$A$1001,customers!$I$1:$I$1001,0)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
        <v>1143</v>
      </c>
      <c r="H118" s="2" t="str">
        <f>_xlfn.XLOOKUP(C118,customers!$A$1:$A$1001,customers!$G$1:$G$1001,0)</f>
        <v>Ireland</v>
      </c>
      <c r="I118" t="str">
        <f>_xlfn.XLOOKUP(D118,products!$A$1:$A$49,products!$B$1:$B$49,0)</f>
        <v>Lib</v>
      </c>
      <c r="J118" t="str">
        <f>_xlfn.XLOOKUP(worksheet!D118,products!$A$1:$A$49,products!$C$1:$C$49,0)</f>
        <v>L</v>
      </c>
      <c r="K118" s="5">
        <f>_xlfn.XLOOKUP(worksheet!D118,products!$A$1:$A$49,products!$D$1:$D$49,0)</f>
        <v>0.2</v>
      </c>
      <c r="L118" s="6">
        <f>_xlfn.XLOOKUP(worksheet!D118,products!$A$1:$A$49,products!$E$1:$E$49,0)</f>
        <v>4.7549999999999999</v>
      </c>
      <c r="M118" s="6">
        <f>worksheet!E118*worksheet!L118</f>
        <v>19.02</v>
      </c>
      <c r="N118" t="str">
        <f t="shared" si="2"/>
        <v>Liberica</v>
      </c>
      <c r="O118" t="str">
        <f t="shared" si="3"/>
        <v>Light</v>
      </c>
      <c r="P118" t="str">
        <f>_xlfn.XLOOKUP(worksheet[[#This Row],[Customer ID]],customers!$A$1:$A$1001,customers!$I$1:$I$1001,0)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
        <v>1149</v>
      </c>
      <c r="H119" s="2" t="str">
        <f>_xlfn.XLOOKUP(C119,customers!$A$1:$A$1001,customers!$G$1:$G$1001,0)</f>
        <v>United States</v>
      </c>
      <c r="I119" t="str">
        <f>_xlfn.XLOOKUP(D119,products!$A$1:$A$49,products!$B$1:$B$49,0)</f>
        <v>Lib</v>
      </c>
      <c r="J119" t="str">
        <f>_xlfn.XLOOKUP(worksheet!D119,products!$A$1:$A$49,products!$C$1:$C$49,0)</f>
        <v>L</v>
      </c>
      <c r="K119" s="5">
        <f>_xlfn.XLOOKUP(worksheet!D119,products!$A$1:$A$49,products!$D$1:$D$49,0)</f>
        <v>0.5</v>
      </c>
      <c r="L119" s="6">
        <f>_xlfn.XLOOKUP(worksheet!D119,products!$A$1:$A$49,products!$E$1:$E$49,0)</f>
        <v>9.51</v>
      </c>
      <c r="M119" s="6">
        <f>worksheet!E119*worksheet!L119</f>
        <v>38.04</v>
      </c>
      <c r="N119" t="str">
        <f t="shared" si="2"/>
        <v>Liberica</v>
      </c>
      <c r="O119" t="str">
        <f t="shared" si="3"/>
        <v>Light</v>
      </c>
      <c r="P119" t="str">
        <f>_xlfn.XLOOKUP(worksheet[[#This Row],[Customer ID]],customers!$A$1:$A$1001,customers!$I$1:$I$1001,0)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
        <v>1155</v>
      </c>
      <c r="H120" s="2" t="str">
        <f>_xlfn.XLOOKUP(C120,customers!$A$1:$A$1001,customers!$G$1:$G$1001,0)</f>
        <v>United States</v>
      </c>
      <c r="I120" t="str">
        <f>_xlfn.XLOOKUP(D120,products!$A$1:$A$49,products!$B$1:$B$49,0)</f>
        <v>Exc</v>
      </c>
      <c r="J120" t="str">
        <f>_xlfn.XLOOKUP(worksheet!D120,products!$A$1:$A$49,products!$C$1:$C$49,0)</f>
        <v>D</v>
      </c>
      <c r="K120" s="5">
        <f>_xlfn.XLOOKUP(worksheet!D120,products!$A$1:$A$49,products!$D$1:$D$49,0)</f>
        <v>0.5</v>
      </c>
      <c r="L120" s="6">
        <f>_xlfn.XLOOKUP(worksheet!D120,products!$A$1:$A$49,products!$E$1:$E$49,0)</f>
        <v>7.29</v>
      </c>
      <c r="M120" s="6">
        <f>worksheet!E120*worksheet!L120</f>
        <v>21.87</v>
      </c>
      <c r="N120" t="str">
        <f t="shared" si="2"/>
        <v>Excelsa</v>
      </c>
      <c r="O120" t="str">
        <f t="shared" si="3"/>
        <v>Dark</v>
      </c>
      <c r="P120" t="str">
        <f>_xlfn.XLOOKUP(worksheet[[#This Row],[Customer ID]],customers!$A$1:$A$1001,customers!$I$1:$I$1001,0)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
        <v>1161</v>
      </c>
      <c r="H121" s="2" t="str">
        <f>_xlfn.XLOOKUP(C121,customers!$A$1:$A$1001,customers!$G$1:$G$1001,0)</f>
        <v>United States</v>
      </c>
      <c r="I121" t="str">
        <f>_xlfn.XLOOKUP(D121,products!$A$1:$A$49,products!$B$1:$B$49,0)</f>
        <v>Exc</v>
      </c>
      <c r="J121" t="str">
        <f>_xlfn.XLOOKUP(worksheet!D121,products!$A$1:$A$49,products!$C$1:$C$49,0)</f>
        <v>M</v>
      </c>
      <c r="K121" s="5">
        <f>_xlfn.XLOOKUP(worksheet!D121,products!$A$1:$A$49,products!$D$1:$D$49,0)</f>
        <v>0.2</v>
      </c>
      <c r="L121" s="6">
        <f>_xlfn.XLOOKUP(worksheet!D121,products!$A$1:$A$49,products!$E$1:$E$49,0)</f>
        <v>4.125</v>
      </c>
      <c r="M121" s="6">
        <f>worksheet!E121*worksheet!L121</f>
        <v>4.125</v>
      </c>
      <c r="N121" t="str">
        <f t="shared" si="2"/>
        <v>Excelsa</v>
      </c>
      <c r="O121" t="str">
        <f t="shared" si="3"/>
        <v>Medium</v>
      </c>
      <c r="P121" t="str">
        <f>_xlfn.XLOOKUP(worksheet[[#This Row],[Customer ID]],customers!$A$1:$A$1001,customers!$I$1:$I$1001,0)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
        <v>1161</v>
      </c>
      <c r="H122" s="2" t="str">
        <f>_xlfn.XLOOKUP(C122,customers!$A$1:$A$1001,customers!$G$1:$G$1001,0)</f>
        <v>United States</v>
      </c>
      <c r="I122" t="str">
        <f>_xlfn.XLOOKUP(D122,products!$A$1:$A$49,products!$B$1:$B$49,0)</f>
        <v>Ara</v>
      </c>
      <c r="J122" t="str">
        <f>_xlfn.XLOOKUP(worksheet!D122,products!$A$1:$A$49,products!$C$1:$C$49,0)</f>
        <v>L</v>
      </c>
      <c r="K122" s="5">
        <f>_xlfn.XLOOKUP(worksheet!D122,products!$A$1:$A$49,products!$D$1:$D$49,0)</f>
        <v>0.2</v>
      </c>
      <c r="L122" s="6">
        <f>_xlfn.XLOOKUP(worksheet!D122,products!$A$1:$A$49,products!$E$1:$E$49,0)</f>
        <v>3.8849999999999998</v>
      </c>
      <c r="M122" s="6">
        <f>worksheet!E122*worksheet!L122</f>
        <v>3.8849999999999998</v>
      </c>
      <c r="N122" t="str">
        <f t="shared" si="2"/>
        <v>Arabica</v>
      </c>
      <c r="O122" t="str">
        <f t="shared" si="3"/>
        <v>Light</v>
      </c>
      <c r="P122" t="str">
        <f>_xlfn.XLOOKUP(worksheet[[#This Row],[Customer ID]],customers!$A$1:$A$1001,customers!$I$1:$I$1001,0)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
        <v>1161</v>
      </c>
      <c r="H123" s="2" t="str">
        <f>_xlfn.XLOOKUP(C123,customers!$A$1:$A$1001,customers!$G$1:$G$1001,0)</f>
        <v>United States</v>
      </c>
      <c r="I123" t="str">
        <f>_xlfn.XLOOKUP(D123,products!$A$1:$A$49,products!$B$1:$B$49,0)</f>
        <v>Exc</v>
      </c>
      <c r="J123" t="str">
        <f>_xlfn.XLOOKUP(worksheet!D123,products!$A$1:$A$49,products!$C$1:$C$49,0)</f>
        <v>M</v>
      </c>
      <c r="K123" s="5">
        <f>_xlfn.XLOOKUP(worksheet!D123,products!$A$1:$A$49,products!$D$1:$D$49,0)</f>
        <v>1</v>
      </c>
      <c r="L123" s="6">
        <f>_xlfn.XLOOKUP(worksheet!D123,products!$A$1:$A$49,products!$E$1:$E$49,0)</f>
        <v>13.75</v>
      </c>
      <c r="M123" s="6">
        <f>worksheet!E123*worksheet!L123</f>
        <v>68.75</v>
      </c>
      <c r="N123" t="str">
        <f t="shared" si="2"/>
        <v>Excelsa</v>
      </c>
      <c r="O123" t="str">
        <f t="shared" si="3"/>
        <v>Medium</v>
      </c>
      <c r="P123" t="str">
        <f>_xlfn.XLOOKUP(worksheet[[#This Row],[Customer ID]],customers!$A$1:$A$1001,customers!$I$1:$I$1001,0)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
        <v>1177</v>
      </c>
      <c r="H124" s="2" t="str">
        <f>_xlfn.XLOOKUP(C124,customers!$A$1:$A$1001,customers!$G$1:$G$1001,0)</f>
        <v>United States</v>
      </c>
      <c r="I124" t="str">
        <f>_xlfn.XLOOKUP(D124,products!$A$1:$A$49,products!$B$1:$B$49,0)</f>
        <v>Ara</v>
      </c>
      <c r="J124" t="str">
        <f>_xlfn.XLOOKUP(worksheet!D124,products!$A$1:$A$49,products!$C$1:$C$49,0)</f>
        <v>D</v>
      </c>
      <c r="K124" s="5">
        <f>_xlfn.XLOOKUP(worksheet!D124,products!$A$1:$A$49,products!$D$1:$D$49,0)</f>
        <v>0.5</v>
      </c>
      <c r="L124" s="6">
        <f>_xlfn.XLOOKUP(worksheet!D124,products!$A$1:$A$49,products!$E$1:$E$49,0)</f>
        <v>5.97</v>
      </c>
      <c r="M124" s="6">
        <f>worksheet!E124*worksheet!L124</f>
        <v>23.88</v>
      </c>
      <c r="N124" t="str">
        <f t="shared" si="2"/>
        <v>Arabica</v>
      </c>
      <c r="O124" t="str">
        <f t="shared" si="3"/>
        <v>Dark</v>
      </c>
      <c r="P124" t="str">
        <f>_xlfn.XLOOKUP(worksheet[[#This Row],[Customer ID]],customers!$A$1:$A$1001,customers!$I$1:$I$1001,0)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
        <v>1183</v>
      </c>
      <c r="H125" s="2" t="str">
        <f>_xlfn.XLOOKUP(C125,customers!$A$1:$A$1001,customers!$G$1:$G$1001,0)</f>
        <v>United States</v>
      </c>
      <c r="I125" t="str">
        <f>_xlfn.XLOOKUP(D125,products!$A$1:$A$49,products!$B$1:$B$49,0)</f>
        <v>Lib</v>
      </c>
      <c r="J125" t="str">
        <f>_xlfn.XLOOKUP(worksheet!D125,products!$A$1:$A$49,products!$C$1:$C$49,0)</f>
        <v>L</v>
      </c>
      <c r="K125" s="5">
        <f>_xlfn.XLOOKUP(worksheet!D125,products!$A$1:$A$49,products!$D$1:$D$49,0)</f>
        <v>2.5</v>
      </c>
      <c r="L125" s="6">
        <f>_xlfn.XLOOKUP(worksheet!D125,products!$A$1:$A$49,products!$E$1:$E$49,0)</f>
        <v>36.454999999999998</v>
      </c>
      <c r="M125" s="6">
        <f>worksheet!E125*worksheet!L125</f>
        <v>145.82</v>
      </c>
      <c r="N125" t="str">
        <f t="shared" si="2"/>
        <v>Liberica</v>
      </c>
      <c r="O125" t="str">
        <f t="shared" si="3"/>
        <v>Light</v>
      </c>
      <c r="P125" t="str">
        <f>_xlfn.XLOOKUP(worksheet[[#This Row],[Customer ID]],customers!$A$1:$A$1001,customers!$I$1:$I$1001,0)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
        <v>1189</v>
      </c>
      <c r="H126" s="2" t="str">
        <f>_xlfn.XLOOKUP(C126,customers!$A$1:$A$1001,customers!$G$1:$G$1001,0)</f>
        <v>United States</v>
      </c>
      <c r="I126" t="str">
        <f>_xlfn.XLOOKUP(D126,products!$A$1:$A$49,products!$B$1:$B$49,0)</f>
        <v>Lib</v>
      </c>
      <c r="J126" t="str">
        <f>_xlfn.XLOOKUP(worksheet!D126,products!$A$1:$A$49,products!$C$1:$C$49,0)</f>
        <v>M</v>
      </c>
      <c r="K126" s="5">
        <f>_xlfn.XLOOKUP(worksheet!D126,products!$A$1:$A$49,products!$D$1:$D$49,0)</f>
        <v>0.2</v>
      </c>
      <c r="L126" s="6">
        <f>_xlfn.XLOOKUP(worksheet!D126,products!$A$1:$A$49,products!$E$1:$E$49,0)</f>
        <v>4.3650000000000002</v>
      </c>
      <c r="M126" s="6">
        <f>worksheet!E126*worksheet!L126</f>
        <v>21.825000000000003</v>
      </c>
      <c r="N126" t="str">
        <f t="shared" si="2"/>
        <v>Liberica</v>
      </c>
      <c r="O126" t="str">
        <f t="shared" si="3"/>
        <v>Medium</v>
      </c>
      <c r="P126" t="str">
        <f>_xlfn.XLOOKUP(worksheet[[#This Row],[Customer ID]],customers!$A$1:$A$1001,customers!$I$1:$I$1001,0)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
        <v>1195</v>
      </c>
      <c r="H127" s="2" t="str">
        <f>_xlfn.XLOOKUP(C127,customers!$A$1:$A$1001,customers!$G$1:$G$1001,0)</f>
        <v>Ireland</v>
      </c>
      <c r="I127" t="str">
        <f>_xlfn.XLOOKUP(D127,products!$A$1:$A$49,products!$B$1:$B$49,0)</f>
        <v>Lib</v>
      </c>
      <c r="J127" t="str">
        <f>_xlfn.XLOOKUP(worksheet!D127,products!$A$1:$A$49,products!$C$1:$C$49,0)</f>
        <v>M</v>
      </c>
      <c r="K127" s="5">
        <f>_xlfn.XLOOKUP(worksheet!D127,products!$A$1:$A$49,products!$D$1:$D$49,0)</f>
        <v>0.5</v>
      </c>
      <c r="L127" s="6">
        <f>_xlfn.XLOOKUP(worksheet!D127,products!$A$1:$A$49,products!$E$1:$E$49,0)</f>
        <v>8.73</v>
      </c>
      <c r="M127" s="6">
        <f>worksheet!E127*worksheet!L127</f>
        <v>26.19</v>
      </c>
      <c r="N127" t="str">
        <f t="shared" si="2"/>
        <v>Liberica</v>
      </c>
      <c r="O127" t="str">
        <f t="shared" si="3"/>
        <v>Medium</v>
      </c>
      <c r="P127" t="str">
        <f>_xlfn.XLOOKUP(worksheet[[#This Row],[Customer ID]],customers!$A$1:$A$1001,customers!$I$1:$I$1001,0)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
        <v>1201</v>
      </c>
      <c r="H128" s="2" t="str">
        <f>_xlfn.XLOOKUP(C128,customers!$A$1:$A$1001,customers!$G$1:$G$1001,0)</f>
        <v>United States</v>
      </c>
      <c r="I128" t="str">
        <f>_xlfn.XLOOKUP(D128,products!$A$1:$A$49,products!$B$1:$B$49,0)</f>
        <v>Ara</v>
      </c>
      <c r="J128" t="str">
        <f>_xlfn.XLOOKUP(worksheet!D128,products!$A$1:$A$49,products!$C$1:$C$49,0)</f>
        <v>M</v>
      </c>
      <c r="K128" s="5">
        <f>_xlfn.XLOOKUP(worksheet!D128,products!$A$1:$A$49,products!$D$1:$D$49,0)</f>
        <v>1</v>
      </c>
      <c r="L128" s="6">
        <f>_xlfn.XLOOKUP(worksheet!D128,products!$A$1:$A$49,products!$E$1:$E$49,0)</f>
        <v>11.25</v>
      </c>
      <c r="M128" s="6">
        <f>worksheet!E128*worksheet!L128</f>
        <v>11.25</v>
      </c>
      <c r="N128" t="str">
        <f t="shared" si="2"/>
        <v>Arabica</v>
      </c>
      <c r="O128" t="str">
        <f t="shared" si="3"/>
        <v>Medium</v>
      </c>
      <c r="P128" t="str">
        <f>_xlfn.XLOOKUP(worksheet[[#This Row],[Customer ID]],customers!$A$1:$A$1001,customers!$I$1:$I$1001,0)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
        <v>1207</v>
      </c>
      <c r="H129" s="2" t="str">
        <f>_xlfn.XLOOKUP(C129,customers!$A$1:$A$1001,customers!$G$1:$G$1001,0)</f>
        <v>Ireland</v>
      </c>
      <c r="I129" t="str">
        <f>_xlfn.XLOOKUP(D129,products!$A$1:$A$49,products!$B$1:$B$49,0)</f>
        <v>Lib</v>
      </c>
      <c r="J129" t="str">
        <f>_xlfn.XLOOKUP(worksheet!D129,products!$A$1:$A$49,products!$C$1:$C$49,0)</f>
        <v>D</v>
      </c>
      <c r="K129" s="5">
        <f>_xlfn.XLOOKUP(worksheet!D129,products!$A$1:$A$49,products!$D$1:$D$49,0)</f>
        <v>1</v>
      </c>
      <c r="L129" s="6">
        <f>_xlfn.XLOOKUP(worksheet!D129,products!$A$1:$A$49,products!$E$1:$E$49,0)</f>
        <v>12.95</v>
      </c>
      <c r="M129" s="6">
        <f>worksheet!E129*worksheet!L129</f>
        <v>77.699999999999989</v>
      </c>
      <c r="N129" t="str">
        <f t="shared" si="2"/>
        <v>Liberica</v>
      </c>
      <c r="O129" t="str">
        <f t="shared" si="3"/>
        <v>Dark</v>
      </c>
      <c r="P129" t="str">
        <f>_xlfn.XLOOKUP(worksheet[[#This Row],[Customer ID]],customers!$A$1:$A$1001,customers!$I$1:$I$1001,0)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
        <v>1213</v>
      </c>
      <c r="H130" s="2" t="str">
        <f>_xlfn.XLOOKUP(C130,customers!$A$1:$A$1001,customers!$G$1:$G$1001,0)</f>
        <v>United States</v>
      </c>
      <c r="I130" t="str">
        <f>_xlfn.XLOOKUP(D130,products!$A$1:$A$49,products!$B$1:$B$49,0)</f>
        <v>Ara</v>
      </c>
      <c r="J130" t="str">
        <f>_xlfn.XLOOKUP(worksheet!D130,products!$A$1:$A$49,products!$C$1:$C$49,0)</f>
        <v>M</v>
      </c>
      <c r="K130" s="5">
        <f>_xlfn.XLOOKUP(worksheet!D130,products!$A$1:$A$49,products!$D$1:$D$49,0)</f>
        <v>0.5</v>
      </c>
      <c r="L130" s="6">
        <f>_xlfn.XLOOKUP(worksheet!D130,products!$A$1:$A$49,products!$E$1:$E$49,0)</f>
        <v>6.75</v>
      </c>
      <c r="M130" s="6">
        <f>worksheet!E130*worksheet!L130</f>
        <v>6.75</v>
      </c>
      <c r="N130" t="str">
        <f t="shared" si="2"/>
        <v>Arabica</v>
      </c>
      <c r="O130" t="str">
        <f t="shared" si="3"/>
        <v>Medium</v>
      </c>
      <c r="P130" t="str">
        <f>_xlfn.XLOOKUP(worksheet[[#This Row],[Customer ID]],customers!$A$1:$A$1001,customers!$I$1:$I$1001,0)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
        <v>1219</v>
      </c>
      <c r="H131" s="2" t="str">
        <f>_xlfn.XLOOKUP(C131,customers!$A$1:$A$1001,customers!$G$1:$G$1001,0)</f>
        <v>United States</v>
      </c>
      <c r="I131" t="str">
        <f>_xlfn.XLOOKUP(D131,products!$A$1:$A$49,products!$B$1:$B$49,0)</f>
        <v>Exc</v>
      </c>
      <c r="J131" t="str">
        <f>_xlfn.XLOOKUP(worksheet!D131,products!$A$1:$A$49,products!$C$1:$C$49,0)</f>
        <v>D</v>
      </c>
      <c r="K131" s="5">
        <f>_xlfn.XLOOKUP(worksheet!D131,products!$A$1:$A$49,products!$D$1:$D$49,0)</f>
        <v>1</v>
      </c>
      <c r="L131" s="6">
        <f>_xlfn.XLOOKUP(worksheet!D131,products!$A$1:$A$49,products!$E$1:$E$49,0)</f>
        <v>12.15</v>
      </c>
      <c r="M131" s="6">
        <f>worksheet!E131*worksheet!L131</f>
        <v>12.15</v>
      </c>
      <c r="N131" t="str">
        <f t="shared" ref="N131:N194" si="4">IF(I131="Rob","Robusta",IF(I131="Exc","Excelsa",IF(I131="Ara","Arabica",IF(I131="Lib","Liberica",""))))</f>
        <v>Excelsa</v>
      </c>
      <c r="O131" t="str">
        <f t="shared" ref="O131:O194" si="5">IF(J131="M","Medium",IF(J131="L","Light",IF(J131="D","Dark","")))</f>
        <v>Dark</v>
      </c>
      <c r="P131" t="str">
        <f>_xlfn.XLOOKUP(worksheet[[#This Row],[Customer ID]],customers!$A$1:$A$1001,customers!$I$1:$I$1001,0)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
        <v>6222</v>
      </c>
      <c r="H132" s="2" t="str">
        <f>_xlfn.XLOOKUP(C132,customers!$A$1:$A$1001,customers!$G$1:$G$1001,0)</f>
        <v>Ireland</v>
      </c>
      <c r="I132" t="str">
        <f>_xlfn.XLOOKUP(D132,products!$A$1:$A$49,products!$B$1:$B$49,0)</f>
        <v>Ara</v>
      </c>
      <c r="J132" t="str">
        <f>_xlfn.XLOOKUP(worksheet!D132,products!$A$1:$A$49,products!$C$1:$C$49,0)</f>
        <v>L</v>
      </c>
      <c r="K132" s="5">
        <f>_xlfn.XLOOKUP(worksheet!D132,products!$A$1:$A$49,products!$D$1:$D$49,0)</f>
        <v>2.5</v>
      </c>
      <c r="L132" s="6">
        <f>_xlfn.XLOOKUP(worksheet!D132,products!$A$1:$A$49,products!$E$1:$E$49,0)</f>
        <v>29.784999999999997</v>
      </c>
      <c r="M132" s="6">
        <f>worksheet!E132*worksheet!L132</f>
        <v>148.92499999999998</v>
      </c>
      <c r="N132" t="str">
        <f t="shared" si="4"/>
        <v>Arabica</v>
      </c>
      <c r="O132" t="str">
        <f t="shared" si="5"/>
        <v>Light</v>
      </c>
      <c r="P132" t="str">
        <f>_xlfn.XLOOKUP(worksheet[[#This Row],[Customer ID]],customers!$A$1:$A$1001,customers!$I$1:$I$1001,0)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
        <v>1230</v>
      </c>
      <c r="H133" s="2" t="str">
        <f>_xlfn.XLOOKUP(C133,customers!$A$1:$A$1001,customers!$G$1:$G$1001,0)</f>
        <v>United States</v>
      </c>
      <c r="I133" t="str">
        <f>_xlfn.XLOOKUP(D133,products!$A$1:$A$49,products!$B$1:$B$49,0)</f>
        <v>Exc</v>
      </c>
      <c r="J133" t="str">
        <f>_xlfn.XLOOKUP(worksheet!D133,products!$A$1:$A$49,products!$C$1:$C$49,0)</f>
        <v>D</v>
      </c>
      <c r="K133" s="5">
        <f>_xlfn.XLOOKUP(worksheet!D133,products!$A$1:$A$49,products!$D$1:$D$49,0)</f>
        <v>0.5</v>
      </c>
      <c r="L133" s="6">
        <f>_xlfn.XLOOKUP(worksheet!D133,products!$A$1:$A$49,products!$E$1:$E$49,0)</f>
        <v>7.29</v>
      </c>
      <c r="M133" s="6">
        <f>worksheet!E133*worksheet!L133</f>
        <v>14.58</v>
      </c>
      <c r="N133" t="str">
        <f t="shared" si="4"/>
        <v>Excelsa</v>
      </c>
      <c r="O133" t="str">
        <f t="shared" si="5"/>
        <v>Dark</v>
      </c>
      <c r="P133" t="str">
        <f>_xlfn.XLOOKUP(worksheet[[#This Row],[Customer ID]],customers!$A$1:$A$1001,customers!$I$1:$I$1001,0)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
        <v>1236</v>
      </c>
      <c r="H134" s="2" t="str">
        <f>_xlfn.XLOOKUP(C134,customers!$A$1:$A$1001,customers!$G$1:$G$1001,0)</f>
        <v>United States</v>
      </c>
      <c r="I134" t="str">
        <f>_xlfn.XLOOKUP(D134,products!$A$1:$A$49,products!$B$1:$B$49,0)</f>
        <v>Ara</v>
      </c>
      <c r="J134" t="str">
        <f>_xlfn.XLOOKUP(worksheet!D134,products!$A$1:$A$49,products!$C$1:$C$49,0)</f>
        <v>L</v>
      </c>
      <c r="K134" s="5">
        <f>_xlfn.XLOOKUP(worksheet!D134,products!$A$1:$A$49,products!$D$1:$D$49,0)</f>
        <v>2.5</v>
      </c>
      <c r="L134" s="6">
        <f>_xlfn.XLOOKUP(worksheet!D134,products!$A$1:$A$49,products!$E$1:$E$49,0)</f>
        <v>29.784999999999997</v>
      </c>
      <c r="M134" s="6">
        <f>worksheet!E134*worksheet!L134</f>
        <v>148.92499999999998</v>
      </c>
      <c r="N134" t="str">
        <f t="shared" si="4"/>
        <v>Arabica</v>
      </c>
      <c r="O134" t="str">
        <f t="shared" si="5"/>
        <v>Light</v>
      </c>
      <c r="P134" t="str">
        <f>_xlfn.XLOOKUP(worksheet[[#This Row],[Customer ID]],customers!$A$1:$A$1001,customers!$I$1:$I$1001,0)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
        <v>1242</v>
      </c>
      <c r="H135" s="2" t="str">
        <f>_xlfn.XLOOKUP(C135,customers!$A$1:$A$1001,customers!$G$1:$G$1001,0)</f>
        <v>United States</v>
      </c>
      <c r="I135" t="str">
        <f>_xlfn.XLOOKUP(D135,products!$A$1:$A$49,products!$B$1:$B$49,0)</f>
        <v>Lib</v>
      </c>
      <c r="J135" t="str">
        <f>_xlfn.XLOOKUP(worksheet!D135,products!$A$1:$A$49,products!$C$1:$C$49,0)</f>
        <v>D</v>
      </c>
      <c r="K135" s="5">
        <f>_xlfn.XLOOKUP(worksheet!D135,products!$A$1:$A$49,products!$D$1:$D$49,0)</f>
        <v>1</v>
      </c>
      <c r="L135" s="6">
        <f>_xlfn.XLOOKUP(worksheet!D135,products!$A$1:$A$49,products!$E$1:$E$49,0)</f>
        <v>12.95</v>
      </c>
      <c r="M135" s="6">
        <f>worksheet!E135*worksheet!L135</f>
        <v>12.95</v>
      </c>
      <c r="N135" t="str">
        <f t="shared" si="4"/>
        <v>Liberica</v>
      </c>
      <c r="O135" t="str">
        <f t="shared" si="5"/>
        <v>Dark</v>
      </c>
      <c r="P135" t="str">
        <f>_xlfn.XLOOKUP(worksheet[[#This Row],[Customer ID]],customers!$A$1:$A$1001,customers!$I$1:$I$1001,0)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
        <v>6222</v>
      </c>
      <c r="H136" s="2" t="str">
        <f>_xlfn.XLOOKUP(C136,customers!$A$1:$A$1001,customers!$G$1:$G$1001,0)</f>
        <v>United States</v>
      </c>
      <c r="I136" t="str">
        <f>_xlfn.XLOOKUP(D136,products!$A$1:$A$49,products!$B$1:$B$49,0)</f>
        <v>Exc</v>
      </c>
      <c r="J136" t="str">
        <f>_xlfn.XLOOKUP(worksheet!D136,products!$A$1:$A$49,products!$C$1:$C$49,0)</f>
        <v>M</v>
      </c>
      <c r="K136" s="5">
        <f>_xlfn.XLOOKUP(worksheet!D136,products!$A$1:$A$49,products!$D$1:$D$49,0)</f>
        <v>2.5</v>
      </c>
      <c r="L136" s="6">
        <f>_xlfn.XLOOKUP(worksheet!D136,products!$A$1:$A$49,products!$E$1:$E$49,0)</f>
        <v>31.624999999999996</v>
      </c>
      <c r="M136" s="6">
        <f>worksheet!E136*worksheet!L136</f>
        <v>94.874999999999986</v>
      </c>
      <c r="N136" t="str">
        <f t="shared" si="4"/>
        <v>Excelsa</v>
      </c>
      <c r="O136" t="str">
        <f t="shared" si="5"/>
        <v>Medium</v>
      </c>
      <c r="P136" t="str">
        <f>_xlfn.XLOOKUP(worksheet[[#This Row],[Customer ID]],customers!$A$1:$A$1001,customers!$I$1:$I$1001,0)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
        <v>978</v>
      </c>
      <c r="H137" s="2" t="str">
        <f>_xlfn.XLOOKUP(C137,customers!$A$1:$A$1001,customers!$G$1:$G$1001,0)</f>
        <v>United States</v>
      </c>
      <c r="I137" t="str">
        <f>_xlfn.XLOOKUP(D137,products!$A$1:$A$49,products!$B$1:$B$49,0)</f>
        <v>Ara</v>
      </c>
      <c r="J137" t="str">
        <f>_xlfn.XLOOKUP(worksheet!D137,products!$A$1:$A$49,products!$C$1:$C$49,0)</f>
        <v>L</v>
      </c>
      <c r="K137" s="5">
        <f>_xlfn.XLOOKUP(worksheet!D137,products!$A$1:$A$49,products!$D$1:$D$49,0)</f>
        <v>0.5</v>
      </c>
      <c r="L137" s="6">
        <f>_xlfn.XLOOKUP(worksheet!D137,products!$A$1:$A$49,products!$E$1:$E$49,0)</f>
        <v>7.77</v>
      </c>
      <c r="M137" s="6">
        <f>worksheet!E137*worksheet!L137</f>
        <v>38.849999999999994</v>
      </c>
      <c r="N137" t="str">
        <f t="shared" si="4"/>
        <v>Arabica</v>
      </c>
      <c r="O137" t="str">
        <f t="shared" si="5"/>
        <v>Light</v>
      </c>
      <c r="P137" t="str">
        <f>_xlfn.XLOOKUP(worksheet[[#This Row],[Customer ID]],customers!$A$1:$A$1001,customers!$I$1:$I$1001,0)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
        <v>1258</v>
      </c>
      <c r="H138" s="2" t="str">
        <f>_xlfn.XLOOKUP(C138,customers!$A$1:$A$1001,customers!$G$1:$G$1001,0)</f>
        <v>United States</v>
      </c>
      <c r="I138" t="str">
        <f>_xlfn.XLOOKUP(D138,products!$A$1:$A$49,products!$B$1:$B$49,0)</f>
        <v>Ara</v>
      </c>
      <c r="J138" t="str">
        <f>_xlfn.XLOOKUP(worksheet!D138,products!$A$1:$A$49,products!$C$1:$C$49,0)</f>
        <v>D</v>
      </c>
      <c r="K138" s="5">
        <f>_xlfn.XLOOKUP(worksheet!D138,products!$A$1:$A$49,products!$D$1:$D$49,0)</f>
        <v>0.2</v>
      </c>
      <c r="L138" s="6">
        <f>_xlfn.XLOOKUP(worksheet!D138,products!$A$1:$A$49,products!$E$1:$E$49,0)</f>
        <v>2.9849999999999999</v>
      </c>
      <c r="M138" s="6">
        <f>worksheet!E138*worksheet!L138</f>
        <v>11.94</v>
      </c>
      <c r="N138" t="str">
        <f t="shared" si="4"/>
        <v>Arabica</v>
      </c>
      <c r="O138" t="str">
        <f t="shared" si="5"/>
        <v>Dark</v>
      </c>
      <c r="P138" t="str">
        <f>_xlfn.XLOOKUP(worksheet[[#This Row],[Customer ID]],customers!$A$1:$A$1001,customers!$I$1:$I$1001,0)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
        <v>6222</v>
      </c>
      <c r="H139" s="2" t="str">
        <f>_xlfn.XLOOKUP(C139,customers!$A$1:$A$1001,customers!$G$1:$G$1001,0)</f>
        <v>Ireland</v>
      </c>
      <c r="I139" t="str">
        <f>_xlfn.XLOOKUP(D139,products!$A$1:$A$49,products!$B$1:$B$49,0)</f>
        <v>Exc</v>
      </c>
      <c r="J139" t="str">
        <f>_xlfn.XLOOKUP(worksheet!D139,products!$A$1:$A$49,products!$C$1:$C$49,0)</f>
        <v>L</v>
      </c>
      <c r="K139" s="5">
        <f>_xlfn.XLOOKUP(worksheet!D139,products!$A$1:$A$49,products!$D$1:$D$49,0)</f>
        <v>2.5</v>
      </c>
      <c r="L139" s="6">
        <f>_xlfn.XLOOKUP(worksheet!D139,products!$A$1:$A$49,products!$E$1:$E$49,0)</f>
        <v>34.154999999999994</v>
      </c>
      <c r="M139" s="6">
        <f>worksheet!E139*worksheet!L139</f>
        <v>102.46499999999997</v>
      </c>
      <c r="N139" t="str">
        <f t="shared" si="4"/>
        <v>Excelsa</v>
      </c>
      <c r="O139" t="str">
        <f t="shared" si="5"/>
        <v>Light</v>
      </c>
      <c r="P139" t="str">
        <f>_xlfn.XLOOKUP(worksheet[[#This Row],[Customer ID]],customers!$A$1:$A$1001,customers!$I$1:$I$1001,0)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
        <v>6222</v>
      </c>
      <c r="H140" s="2" t="str">
        <f>_xlfn.XLOOKUP(C140,customers!$A$1:$A$1001,customers!$G$1:$G$1001,0)</f>
        <v>United States</v>
      </c>
      <c r="I140" t="str">
        <f>_xlfn.XLOOKUP(D140,products!$A$1:$A$49,products!$B$1:$B$49,0)</f>
        <v>Exc</v>
      </c>
      <c r="J140" t="str">
        <f>_xlfn.XLOOKUP(worksheet!D140,products!$A$1:$A$49,products!$C$1:$C$49,0)</f>
        <v>D</v>
      </c>
      <c r="K140" s="5">
        <f>_xlfn.XLOOKUP(worksheet!D140,products!$A$1:$A$49,products!$D$1:$D$49,0)</f>
        <v>1</v>
      </c>
      <c r="L140" s="6">
        <f>_xlfn.XLOOKUP(worksheet!D140,products!$A$1:$A$49,products!$E$1:$E$49,0)</f>
        <v>12.15</v>
      </c>
      <c r="M140" s="6">
        <f>worksheet!E140*worksheet!L140</f>
        <v>48.6</v>
      </c>
      <c r="N140" t="str">
        <f t="shared" si="4"/>
        <v>Excelsa</v>
      </c>
      <c r="O140" t="str">
        <f t="shared" si="5"/>
        <v>Dark</v>
      </c>
      <c r="P140" t="str">
        <f>_xlfn.XLOOKUP(worksheet[[#This Row],[Customer ID]],customers!$A$1:$A$1001,customers!$I$1:$I$1001,0)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
        <v>6222</v>
      </c>
      <c r="H141" s="2" t="str">
        <f>_xlfn.XLOOKUP(C141,customers!$A$1:$A$1001,customers!$G$1:$G$1001,0)</f>
        <v>United States</v>
      </c>
      <c r="I141" t="str">
        <f>_xlfn.XLOOKUP(D141,products!$A$1:$A$49,products!$B$1:$B$49,0)</f>
        <v>Lib</v>
      </c>
      <c r="J141" t="str">
        <f>_xlfn.XLOOKUP(worksheet!D141,products!$A$1:$A$49,products!$C$1:$C$49,0)</f>
        <v>D</v>
      </c>
      <c r="K141" s="5">
        <f>_xlfn.XLOOKUP(worksheet!D141,products!$A$1:$A$49,products!$D$1:$D$49,0)</f>
        <v>1</v>
      </c>
      <c r="L141" s="6">
        <f>_xlfn.XLOOKUP(worksheet!D141,products!$A$1:$A$49,products!$E$1:$E$49,0)</f>
        <v>12.95</v>
      </c>
      <c r="M141" s="6">
        <f>worksheet!E141*worksheet!L141</f>
        <v>77.699999999999989</v>
      </c>
      <c r="N141" t="str">
        <f t="shared" si="4"/>
        <v>Liberica</v>
      </c>
      <c r="O141" t="str">
        <f t="shared" si="5"/>
        <v>Dark</v>
      </c>
      <c r="P141" t="str">
        <f>_xlfn.XLOOKUP(worksheet[[#This Row],[Customer ID]],customers!$A$1:$A$1001,customers!$I$1:$I$1001,0)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
        <v>1279</v>
      </c>
      <c r="H142" s="2" t="str">
        <f>_xlfn.XLOOKUP(C142,customers!$A$1:$A$1001,customers!$G$1:$G$1001,0)</f>
        <v>Ireland</v>
      </c>
      <c r="I142" t="str">
        <f>_xlfn.XLOOKUP(D142,products!$A$1:$A$49,products!$B$1:$B$49,0)</f>
        <v>Lib</v>
      </c>
      <c r="J142" t="str">
        <f>_xlfn.XLOOKUP(worksheet!D142,products!$A$1:$A$49,products!$C$1:$C$49,0)</f>
        <v>D</v>
      </c>
      <c r="K142" s="5">
        <f>_xlfn.XLOOKUP(worksheet!D142,products!$A$1:$A$49,products!$D$1:$D$49,0)</f>
        <v>2.5</v>
      </c>
      <c r="L142" s="6">
        <f>_xlfn.XLOOKUP(worksheet!D142,products!$A$1:$A$49,products!$E$1:$E$49,0)</f>
        <v>29.784999999999997</v>
      </c>
      <c r="M142" s="6">
        <f>worksheet!E142*worksheet!L142</f>
        <v>29.784999999999997</v>
      </c>
      <c r="N142" t="str">
        <f t="shared" si="4"/>
        <v>Liberica</v>
      </c>
      <c r="O142" t="str">
        <f t="shared" si="5"/>
        <v>Dark</v>
      </c>
      <c r="P142" t="str">
        <f>_xlfn.XLOOKUP(worksheet[[#This Row],[Customer ID]],customers!$A$1:$A$1001,customers!$I$1:$I$1001,0)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
        <v>1286</v>
      </c>
      <c r="H143" s="2" t="str">
        <f>_xlfn.XLOOKUP(C143,customers!$A$1:$A$1001,customers!$G$1:$G$1001,0)</f>
        <v>United States</v>
      </c>
      <c r="I143" t="str">
        <f>_xlfn.XLOOKUP(D143,products!$A$1:$A$49,products!$B$1:$B$49,0)</f>
        <v>Ara</v>
      </c>
      <c r="J143" t="str">
        <f>_xlfn.XLOOKUP(worksheet!D143,products!$A$1:$A$49,products!$C$1:$C$49,0)</f>
        <v>L</v>
      </c>
      <c r="K143" s="5">
        <f>_xlfn.XLOOKUP(worksheet!D143,products!$A$1:$A$49,products!$D$1:$D$49,0)</f>
        <v>0.2</v>
      </c>
      <c r="L143" s="6">
        <f>_xlfn.XLOOKUP(worksheet!D143,products!$A$1:$A$49,products!$E$1:$E$49,0)</f>
        <v>3.8849999999999998</v>
      </c>
      <c r="M143" s="6">
        <f>worksheet!E143*worksheet!L143</f>
        <v>15.54</v>
      </c>
      <c r="N143" t="str">
        <f t="shared" si="4"/>
        <v>Arabica</v>
      </c>
      <c r="O143" t="str">
        <f t="shared" si="5"/>
        <v>Light</v>
      </c>
      <c r="P143" t="str">
        <f>_xlfn.XLOOKUP(worksheet[[#This Row],[Customer ID]],customers!$A$1:$A$1001,customers!$I$1:$I$1001,0)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
        <v>6222</v>
      </c>
      <c r="H144" s="2" t="str">
        <f>_xlfn.XLOOKUP(C144,customers!$A$1:$A$1001,customers!$G$1:$G$1001,0)</f>
        <v>Ireland</v>
      </c>
      <c r="I144" t="str">
        <f>_xlfn.XLOOKUP(D144,products!$A$1:$A$49,products!$B$1:$B$49,0)</f>
        <v>Exc</v>
      </c>
      <c r="J144" t="str">
        <f>_xlfn.XLOOKUP(worksheet!D144,products!$A$1:$A$49,products!$C$1:$C$49,0)</f>
        <v>L</v>
      </c>
      <c r="K144" s="5">
        <f>_xlfn.XLOOKUP(worksheet!D144,products!$A$1:$A$49,products!$D$1:$D$49,0)</f>
        <v>2.5</v>
      </c>
      <c r="L144" s="6">
        <f>_xlfn.XLOOKUP(worksheet!D144,products!$A$1:$A$49,products!$E$1:$E$49,0)</f>
        <v>34.154999999999994</v>
      </c>
      <c r="M144" s="6">
        <f>worksheet!E144*worksheet!L144</f>
        <v>136.61999999999998</v>
      </c>
      <c r="N144" t="str">
        <f t="shared" si="4"/>
        <v>Excelsa</v>
      </c>
      <c r="O144" t="str">
        <f t="shared" si="5"/>
        <v>Light</v>
      </c>
      <c r="P144" t="str">
        <f>_xlfn.XLOOKUP(worksheet[[#This Row],[Customer ID]],customers!$A$1:$A$1001,customers!$I$1:$I$1001,0)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
        <v>1296</v>
      </c>
      <c r="H145" s="2" t="str">
        <f>_xlfn.XLOOKUP(C145,customers!$A$1:$A$1001,customers!$G$1:$G$1001,0)</f>
        <v>United States</v>
      </c>
      <c r="I145" t="str">
        <f>_xlfn.XLOOKUP(D145,products!$A$1:$A$49,products!$B$1:$B$49,0)</f>
        <v>Lib</v>
      </c>
      <c r="J145" t="str">
        <f>_xlfn.XLOOKUP(worksheet!D145,products!$A$1:$A$49,products!$C$1:$C$49,0)</f>
        <v>M</v>
      </c>
      <c r="K145" s="5">
        <f>_xlfn.XLOOKUP(worksheet!D145,products!$A$1:$A$49,products!$D$1:$D$49,0)</f>
        <v>0.5</v>
      </c>
      <c r="L145" s="6">
        <f>_xlfn.XLOOKUP(worksheet!D145,products!$A$1:$A$49,products!$E$1:$E$49,0)</f>
        <v>8.73</v>
      </c>
      <c r="M145" s="6">
        <f>worksheet!E145*worksheet!L145</f>
        <v>17.46</v>
      </c>
      <c r="N145" t="str">
        <f t="shared" si="4"/>
        <v>Liberica</v>
      </c>
      <c r="O145" t="str">
        <f t="shared" si="5"/>
        <v>Medium</v>
      </c>
      <c r="P145" t="str">
        <f>_xlfn.XLOOKUP(worksheet[[#This Row],[Customer ID]],customers!$A$1:$A$1001,customers!$I$1:$I$1001,0)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
        <v>1302</v>
      </c>
      <c r="H146" s="2" t="str">
        <f>_xlfn.XLOOKUP(C146,customers!$A$1:$A$1001,customers!$G$1:$G$1001,0)</f>
        <v>United States</v>
      </c>
      <c r="I146" t="str">
        <f>_xlfn.XLOOKUP(D146,products!$A$1:$A$49,products!$B$1:$B$49,0)</f>
        <v>Exc</v>
      </c>
      <c r="J146" t="str">
        <f>_xlfn.XLOOKUP(worksheet!D146,products!$A$1:$A$49,products!$C$1:$C$49,0)</f>
        <v>L</v>
      </c>
      <c r="K146" s="5">
        <f>_xlfn.XLOOKUP(worksheet!D146,products!$A$1:$A$49,products!$D$1:$D$49,0)</f>
        <v>2.5</v>
      </c>
      <c r="L146" s="6">
        <f>_xlfn.XLOOKUP(worksheet!D146,products!$A$1:$A$49,products!$E$1:$E$49,0)</f>
        <v>34.154999999999994</v>
      </c>
      <c r="M146" s="6">
        <f>worksheet!E146*worksheet!L146</f>
        <v>68.309999999999988</v>
      </c>
      <c r="N146" t="str">
        <f t="shared" si="4"/>
        <v>Excelsa</v>
      </c>
      <c r="O146" t="str">
        <f t="shared" si="5"/>
        <v>Light</v>
      </c>
      <c r="P146" t="str">
        <f>_xlfn.XLOOKUP(worksheet[[#This Row],[Customer ID]],customers!$A$1:$A$1001,customers!$I$1:$I$1001,0)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
        <v>1308</v>
      </c>
      <c r="H147" s="2" t="str">
        <f>_xlfn.XLOOKUP(C147,customers!$A$1:$A$1001,customers!$G$1:$G$1001,0)</f>
        <v>United States</v>
      </c>
      <c r="I147" t="str">
        <f>_xlfn.XLOOKUP(D147,products!$A$1:$A$49,products!$B$1:$B$49,0)</f>
        <v>Lib</v>
      </c>
      <c r="J147" t="str">
        <f>_xlfn.XLOOKUP(worksheet!D147,products!$A$1:$A$49,products!$C$1:$C$49,0)</f>
        <v>M</v>
      </c>
      <c r="K147" s="5">
        <f>_xlfn.XLOOKUP(worksheet!D147,products!$A$1:$A$49,products!$D$1:$D$49,0)</f>
        <v>0.2</v>
      </c>
      <c r="L147" s="6">
        <f>_xlfn.XLOOKUP(worksheet!D147,products!$A$1:$A$49,products!$E$1:$E$49,0)</f>
        <v>4.3650000000000002</v>
      </c>
      <c r="M147" s="6">
        <f>worksheet!E147*worksheet!L147</f>
        <v>17.46</v>
      </c>
      <c r="N147" t="str">
        <f t="shared" si="4"/>
        <v>Liberica</v>
      </c>
      <c r="O147" t="str">
        <f t="shared" si="5"/>
        <v>Medium</v>
      </c>
      <c r="P147" t="str">
        <f>_xlfn.XLOOKUP(worksheet[[#This Row],[Customer ID]],customers!$A$1:$A$1001,customers!$I$1:$I$1001,0)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
        <v>1314</v>
      </c>
      <c r="H148" s="2" t="str">
        <f>_xlfn.XLOOKUP(C148,customers!$A$1:$A$1001,customers!$G$1:$G$1001,0)</f>
        <v>United States</v>
      </c>
      <c r="I148" t="str">
        <f>_xlfn.XLOOKUP(D148,products!$A$1:$A$49,products!$B$1:$B$49,0)</f>
        <v>Lib</v>
      </c>
      <c r="J148" t="str">
        <f>_xlfn.XLOOKUP(worksheet!D148,products!$A$1:$A$49,products!$C$1:$C$49,0)</f>
        <v>M</v>
      </c>
      <c r="K148" s="5">
        <f>_xlfn.XLOOKUP(worksheet!D148,products!$A$1:$A$49,products!$D$1:$D$49,0)</f>
        <v>1</v>
      </c>
      <c r="L148" s="6">
        <f>_xlfn.XLOOKUP(worksheet!D148,products!$A$1:$A$49,products!$E$1:$E$49,0)</f>
        <v>14.55</v>
      </c>
      <c r="M148" s="6">
        <f>worksheet!E148*worksheet!L148</f>
        <v>43.650000000000006</v>
      </c>
      <c r="N148" t="str">
        <f t="shared" si="4"/>
        <v>Liberica</v>
      </c>
      <c r="O148" t="str">
        <f t="shared" si="5"/>
        <v>Medium</v>
      </c>
      <c r="P148" t="str">
        <f>_xlfn.XLOOKUP(worksheet[[#This Row],[Customer ID]],customers!$A$1:$A$1001,customers!$I$1:$I$1001,0)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
        <v>1314</v>
      </c>
      <c r="H149" s="2" t="str">
        <f>_xlfn.XLOOKUP(C149,customers!$A$1:$A$1001,customers!$G$1:$G$1001,0)</f>
        <v>United States</v>
      </c>
      <c r="I149" t="str">
        <f>_xlfn.XLOOKUP(D149,products!$A$1:$A$49,products!$B$1:$B$49,0)</f>
        <v>Exc</v>
      </c>
      <c r="J149" t="str">
        <f>_xlfn.XLOOKUP(worksheet!D149,products!$A$1:$A$49,products!$C$1:$C$49,0)</f>
        <v>M</v>
      </c>
      <c r="K149" s="5">
        <f>_xlfn.XLOOKUP(worksheet!D149,products!$A$1:$A$49,products!$D$1:$D$49,0)</f>
        <v>1</v>
      </c>
      <c r="L149" s="6">
        <f>_xlfn.XLOOKUP(worksheet!D149,products!$A$1:$A$49,products!$E$1:$E$49,0)</f>
        <v>13.75</v>
      </c>
      <c r="M149" s="6">
        <f>worksheet!E149*worksheet!L149</f>
        <v>27.5</v>
      </c>
      <c r="N149" t="str">
        <f t="shared" si="4"/>
        <v>Excelsa</v>
      </c>
      <c r="O149" t="str">
        <f t="shared" si="5"/>
        <v>Medium</v>
      </c>
      <c r="P149" t="str">
        <f>_xlfn.XLOOKUP(worksheet[[#This Row],[Customer ID]],customers!$A$1:$A$1001,customers!$I$1:$I$1001,0)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
        <v>1325</v>
      </c>
      <c r="H150" s="2" t="str">
        <f>_xlfn.XLOOKUP(C150,customers!$A$1:$A$1001,customers!$G$1:$G$1001,0)</f>
        <v>United States</v>
      </c>
      <c r="I150" t="str">
        <f>_xlfn.XLOOKUP(D150,products!$A$1:$A$49,products!$B$1:$B$49,0)</f>
        <v>Exc</v>
      </c>
      <c r="J150" t="str">
        <f>_xlfn.XLOOKUP(worksheet!D150,products!$A$1:$A$49,products!$C$1:$C$49,0)</f>
        <v>D</v>
      </c>
      <c r="K150" s="5">
        <f>_xlfn.XLOOKUP(worksheet!D150,products!$A$1:$A$49,products!$D$1:$D$49,0)</f>
        <v>0.2</v>
      </c>
      <c r="L150" s="6">
        <f>_xlfn.XLOOKUP(worksheet!D150,products!$A$1:$A$49,products!$E$1:$E$49,0)</f>
        <v>3.645</v>
      </c>
      <c r="M150" s="6">
        <f>worksheet!E150*worksheet!L150</f>
        <v>18.225000000000001</v>
      </c>
      <c r="N150" t="str">
        <f t="shared" si="4"/>
        <v>Excelsa</v>
      </c>
      <c r="O150" t="str">
        <f t="shared" si="5"/>
        <v>Dark</v>
      </c>
      <c r="P150" t="str">
        <f>_xlfn.XLOOKUP(worksheet[[#This Row],[Customer ID]],customers!$A$1:$A$1001,customers!$I$1:$I$1001,0)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
        <v>6222</v>
      </c>
      <c r="H151" s="2" t="str">
        <f>_xlfn.XLOOKUP(C151,customers!$A$1:$A$1001,customers!$G$1:$G$1001,0)</f>
        <v>United States</v>
      </c>
      <c r="I151" t="str">
        <f>_xlfn.XLOOKUP(D151,products!$A$1:$A$49,products!$B$1:$B$49,0)</f>
        <v>Ara</v>
      </c>
      <c r="J151" t="str">
        <f>_xlfn.XLOOKUP(worksheet!D151,products!$A$1:$A$49,products!$C$1:$C$49,0)</f>
        <v>M</v>
      </c>
      <c r="K151" s="5">
        <f>_xlfn.XLOOKUP(worksheet!D151,products!$A$1:$A$49,products!$D$1:$D$49,0)</f>
        <v>2.5</v>
      </c>
      <c r="L151" s="6">
        <f>_xlfn.XLOOKUP(worksheet!D151,products!$A$1:$A$49,products!$E$1:$E$49,0)</f>
        <v>25.874999999999996</v>
      </c>
      <c r="M151" s="6">
        <f>worksheet!E151*worksheet!L151</f>
        <v>51.749999999999993</v>
      </c>
      <c r="N151" t="str">
        <f t="shared" si="4"/>
        <v>Arabica</v>
      </c>
      <c r="O151" t="str">
        <f t="shared" si="5"/>
        <v>Medium</v>
      </c>
      <c r="P151" t="str">
        <f>_xlfn.XLOOKUP(worksheet[[#This Row],[Customer ID]],customers!$A$1:$A$1001,customers!$I$1:$I$1001,0)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
        <v>1336</v>
      </c>
      <c r="H152" s="2" t="str">
        <f>_xlfn.XLOOKUP(C152,customers!$A$1:$A$1001,customers!$G$1:$G$1001,0)</f>
        <v>United States</v>
      </c>
      <c r="I152" t="str">
        <f>_xlfn.XLOOKUP(D152,products!$A$1:$A$49,products!$B$1:$B$49,0)</f>
        <v>Lib</v>
      </c>
      <c r="J152" t="str">
        <f>_xlfn.XLOOKUP(worksheet!D152,products!$A$1:$A$49,products!$C$1:$C$49,0)</f>
        <v>D</v>
      </c>
      <c r="K152" s="5">
        <f>_xlfn.XLOOKUP(worksheet!D152,products!$A$1:$A$49,products!$D$1:$D$49,0)</f>
        <v>1</v>
      </c>
      <c r="L152" s="6">
        <f>_xlfn.XLOOKUP(worksheet!D152,products!$A$1:$A$49,products!$E$1:$E$49,0)</f>
        <v>12.95</v>
      </c>
      <c r="M152" s="6">
        <f>worksheet!E152*worksheet!L152</f>
        <v>12.95</v>
      </c>
      <c r="N152" t="str">
        <f t="shared" si="4"/>
        <v>Liberica</v>
      </c>
      <c r="O152" t="str">
        <f t="shared" si="5"/>
        <v>Dark</v>
      </c>
      <c r="P152" t="str">
        <f>_xlfn.XLOOKUP(worksheet[[#This Row],[Customer ID]],customers!$A$1:$A$1001,customers!$I$1:$I$1001,0)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
        <v>6222</v>
      </c>
      <c r="H153" s="2" t="str">
        <f>_xlfn.XLOOKUP(C153,customers!$A$1:$A$1001,customers!$G$1:$G$1001,0)</f>
        <v>United States</v>
      </c>
      <c r="I153" t="str">
        <f>_xlfn.XLOOKUP(D153,products!$A$1:$A$49,products!$B$1:$B$49,0)</f>
        <v>Ara</v>
      </c>
      <c r="J153" t="str">
        <f>_xlfn.XLOOKUP(worksheet!D153,products!$A$1:$A$49,products!$C$1:$C$49,0)</f>
        <v>M</v>
      </c>
      <c r="K153" s="5">
        <f>_xlfn.XLOOKUP(worksheet!D153,products!$A$1:$A$49,products!$D$1:$D$49,0)</f>
        <v>1</v>
      </c>
      <c r="L153" s="6">
        <f>_xlfn.XLOOKUP(worksheet!D153,products!$A$1:$A$49,products!$E$1:$E$49,0)</f>
        <v>11.25</v>
      </c>
      <c r="M153" s="6">
        <f>worksheet!E153*worksheet!L153</f>
        <v>33.75</v>
      </c>
      <c r="N153" t="str">
        <f t="shared" si="4"/>
        <v>Arabica</v>
      </c>
      <c r="O153" t="str">
        <f t="shared" si="5"/>
        <v>Medium</v>
      </c>
      <c r="P153" t="str">
        <f>_xlfn.XLOOKUP(worksheet[[#This Row],[Customer ID]],customers!$A$1:$A$1001,customers!$I$1:$I$1001,0)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
        <v>1347</v>
      </c>
      <c r="H154" s="2" t="str">
        <f>_xlfn.XLOOKUP(C154,customers!$A$1:$A$1001,customers!$G$1:$G$1001,0)</f>
        <v>United States</v>
      </c>
      <c r="I154" t="str">
        <f>_xlfn.XLOOKUP(D154,products!$A$1:$A$49,products!$B$1:$B$49,0)</f>
        <v>Rob</v>
      </c>
      <c r="J154" t="str">
        <f>_xlfn.XLOOKUP(worksheet!D154,products!$A$1:$A$49,products!$C$1:$C$49,0)</f>
        <v>M</v>
      </c>
      <c r="K154" s="5">
        <f>_xlfn.XLOOKUP(worksheet!D154,products!$A$1:$A$49,products!$D$1:$D$49,0)</f>
        <v>2.5</v>
      </c>
      <c r="L154" s="6">
        <f>_xlfn.XLOOKUP(worksheet!D154,products!$A$1:$A$49,products!$E$1:$E$49,0)</f>
        <v>22.884999999999998</v>
      </c>
      <c r="M154" s="6">
        <f>worksheet!E154*worksheet!L154</f>
        <v>68.655000000000001</v>
      </c>
      <c r="N154" t="str">
        <f t="shared" si="4"/>
        <v>Robusta</v>
      </c>
      <c r="O154" t="str">
        <f t="shared" si="5"/>
        <v>Medium</v>
      </c>
      <c r="P154" t="str">
        <f>_xlfn.XLOOKUP(worksheet[[#This Row],[Customer ID]],customers!$A$1:$A$1001,customers!$I$1:$I$1001,0)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
        <v>6222</v>
      </c>
      <c r="H155" s="2" t="str">
        <f>_xlfn.XLOOKUP(C155,customers!$A$1:$A$1001,customers!$G$1:$G$1001,0)</f>
        <v>United States</v>
      </c>
      <c r="I155" t="str">
        <f>_xlfn.XLOOKUP(D155,products!$A$1:$A$49,products!$B$1:$B$49,0)</f>
        <v>Rob</v>
      </c>
      <c r="J155" t="str">
        <f>_xlfn.XLOOKUP(worksheet!D155,products!$A$1:$A$49,products!$C$1:$C$49,0)</f>
        <v>D</v>
      </c>
      <c r="K155" s="5">
        <f>_xlfn.XLOOKUP(worksheet!D155,products!$A$1:$A$49,products!$D$1:$D$49,0)</f>
        <v>0.2</v>
      </c>
      <c r="L155" s="6">
        <f>_xlfn.XLOOKUP(worksheet!D155,products!$A$1:$A$49,products!$E$1:$E$49,0)</f>
        <v>2.6849999999999996</v>
      </c>
      <c r="M155" s="6">
        <f>worksheet!E155*worksheet!L155</f>
        <v>2.6849999999999996</v>
      </c>
      <c r="N155" t="str">
        <f t="shared" si="4"/>
        <v>Robusta</v>
      </c>
      <c r="O155" t="str">
        <f t="shared" si="5"/>
        <v>Dark</v>
      </c>
      <c r="P155" t="str">
        <f>_xlfn.XLOOKUP(worksheet[[#This Row],[Customer ID]],customers!$A$1:$A$1001,customers!$I$1:$I$1001,0)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
        <v>1358</v>
      </c>
      <c r="H156" s="2" t="str">
        <f>_xlfn.XLOOKUP(C156,customers!$A$1:$A$1001,customers!$G$1:$G$1001,0)</f>
        <v>United States</v>
      </c>
      <c r="I156" t="str">
        <f>_xlfn.XLOOKUP(D156,products!$A$1:$A$49,products!$B$1:$B$49,0)</f>
        <v>Ara</v>
      </c>
      <c r="J156" t="str">
        <f>_xlfn.XLOOKUP(worksheet!D156,products!$A$1:$A$49,products!$C$1:$C$49,0)</f>
        <v>D</v>
      </c>
      <c r="K156" s="5">
        <f>_xlfn.XLOOKUP(worksheet!D156,products!$A$1:$A$49,products!$D$1:$D$49,0)</f>
        <v>2.5</v>
      </c>
      <c r="L156" s="6">
        <f>_xlfn.XLOOKUP(worksheet!D156,products!$A$1:$A$49,products!$E$1:$E$49,0)</f>
        <v>22.884999999999998</v>
      </c>
      <c r="M156" s="6">
        <f>worksheet!E156*worksheet!L156</f>
        <v>114.42499999999998</v>
      </c>
      <c r="N156" t="str">
        <f t="shared" si="4"/>
        <v>Arabica</v>
      </c>
      <c r="O156" t="str">
        <f t="shared" si="5"/>
        <v>Dark</v>
      </c>
      <c r="P156" t="str">
        <f>_xlfn.XLOOKUP(worksheet[[#This Row],[Customer ID]],customers!$A$1:$A$1001,customers!$I$1:$I$1001,0)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
        <v>1364</v>
      </c>
      <c r="H157" s="2" t="str">
        <f>_xlfn.XLOOKUP(C157,customers!$A$1:$A$1001,customers!$G$1:$G$1001,0)</f>
        <v>United States</v>
      </c>
      <c r="I157" t="str">
        <f>_xlfn.XLOOKUP(D157,products!$A$1:$A$49,products!$B$1:$B$49,0)</f>
        <v>Ara</v>
      </c>
      <c r="J157" t="str">
        <f>_xlfn.XLOOKUP(worksheet!D157,products!$A$1:$A$49,products!$C$1:$C$49,0)</f>
        <v>M</v>
      </c>
      <c r="K157" s="5">
        <f>_xlfn.XLOOKUP(worksheet!D157,products!$A$1:$A$49,products!$D$1:$D$49,0)</f>
        <v>2.5</v>
      </c>
      <c r="L157" s="6">
        <f>_xlfn.XLOOKUP(worksheet!D157,products!$A$1:$A$49,products!$E$1:$E$49,0)</f>
        <v>25.874999999999996</v>
      </c>
      <c r="M157" s="6">
        <f>worksheet!E157*worksheet!L157</f>
        <v>155.24999999999997</v>
      </c>
      <c r="N157" t="str">
        <f t="shared" si="4"/>
        <v>Arabica</v>
      </c>
      <c r="O157" t="str">
        <f t="shared" si="5"/>
        <v>Medium</v>
      </c>
      <c r="P157" t="str">
        <f>_xlfn.XLOOKUP(worksheet[[#This Row],[Customer ID]],customers!$A$1:$A$1001,customers!$I$1:$I$1001,0)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
        <v>1370</v>
      </c>
      <c r="H158" s="2" t="str">
        <f>_xlfn.XLOOKUP(C158,customers!$A$1:$A$1001,customers!$G$1:$G$1001,0)</f>
        <v>United States</v>
      </c>
      <c r="I158" t="str">
        <f>_xlfn.XLOOKUP(D158,products!$A$1:$A$49,products!$B$1:$B$49,0)</f>
        <v>Ara</v>
      </c>
      <c r="J158" t="str">
        <f>_xlfn.XLOOKUP(worksheet!D158,products!$A$1:$A$49,products!$C$1:$C$49,0)</f>
        <v>M</v>
      </c>
      <c r="K158" s="5">
        <f>_xlfn.XLOOKUP(worksheet!D158,products!$A$1:$A$49,products!$D$1:$D$49,0)</f>
        <v>2.5</v>
      </c>
      <c r="L158" s="6">
        <f>_xlfn.XLOOKUP(worksheet!D158,products!$A$1:$A$49,products!$E$1:$E$49,0)</f>
        <v>25.874999999999996</v>
      </c>
      <c r="M158" s="6">
        <f>worksheet!E158*worksheet!L158</f>
        <v>77.624999999999986</v>
      </c>
      <c r="N158" t="str">
        <f t="shared" si="4"/>
        <v>Arabica</v>
      </c>
      <c r="O158" t="str">
        <f t="shared" si="5"/>
        <v>Medium</v>
      </c>
      <c r="P158" t="str">
        <f>_xlfn.XLOOKUP(worksheet[[#This Row],[Customer ID]],customers!$A$1:$A$1001,customers!$I$1:$I$1001,0)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
        <v>1376</v>
      </c>
      <c r="H159" s="2" t="str">
        <f>_xlfn.XLOOKUP(C159,customers!$A$1:$A$1001,customers!$G$1:$G$1001,0)</f>
        <v>Ireland</v>
      </c>
      <c r="I159" t="str">
        <f>_xlfn.XLOOKUP(D159,products!$A$1:$A$49,products!$B$1:$B$49,0)</f>
        <v>Rob</v>
      </c>
      <c r="J159" t="str">
        <f>_xlfn.XLOOKUP(worksheet!D159,products!$A$1:$A$49,products!$C$1:$C$49,0)</f>
        <v>D</v>
      </c>
      <c r="K159" s="5">
        <f>_xlfn.XLOOKUP(worksheet!D159,products!$A$1:$A$49,products!$D$1:$D$49,0)</f>
        <v>2.5</v>
      </c>
      <c r="L159" s="6">
        <f>_xlfn.XLOOKUP(worksheet!D159,products!$A$1:$A$49,products!$E$1:$E$49,0)</f>
        <v>20.584999999999997</v>
      </c>
      <c r="M159" s="6">
        <f>worksheet!E159*worksheet!L159</f>
        <v>61.754999999999995</v>
      </c>
      <c r="N159" t="str">
        <f t="shared" si="4"/>
        <v>Robusta</v>
      </c>
      <c r="O159" t="str">
        <f t="shared" si="5"/>
        <v>Dark</v>
      </c>
      <c r="P159" t="str">
        <f>_xlfn.XLOOKUP(worksheet[[#This Row],[Customer ID]],customers!$A$1:$A$1001,customers!$I$1:$I$1001,0)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
        <v>6222</v>
      </c>
      <c r="H160" s="2" t="str">
        <f>_xlfn.XLOOKUP(C160,customers!$A$1:$A$1001,customers!$G$1:$G$1001,0)</f>
        <v>United States</v>
      </c>
      <c r="I160" t="str">
        <f>_xlfn.XLOOKUP(D160,products!$A$1:$A$49,products!$B$1:$B$49,0)</f>
        <v>Rob</v>
      </c>
      <c r="J160" t="str">
        <f>_xlfn.XLOOKUP(worksheet!D160,products!$A$1:$A$49,products!$C$1:$C$49,0)</f>
        <v>D</v>
      </c>
      <c r="K160" s="5">
        <f>_xlfn.XLOOKUP(worksheet!D160,products!$A$1:$A$49,products!$D$1:$D$49,0)</f>
        <v>2.5</v>
      </c>
      <c r="L160" s="6">
        <f>_xlfn.XLOOKUP(worksheet!D160,products!$A$1:$A$49,products!$E$1:$E$49,0)</f>
        <v>20.584999999999997</v>
      </c>
      <c r="M160" s="6">
        <f>worksheet!E160*worksheet!L160</f>
        <v>123.50999999999999</v>
      </c>
      <c r="N160" t="str">
        <f t="shared" si="4"/>
        <v>Robusta</v>
      </c>
      <c r="O160" t="str">
        <f t="shared" si="5"/>
        <v>Dark</v>
      </c>
      <c r="P160" t="str">
        <f>_xlfn.XLOOKUP(worksheet[[#This Row],[Customer ID]],customers!$A$1:$A$1001,customers!$I$1:$I$1001,0)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
        <v>6222</v>
      </c>
      <c r="H161" s="2" t="str">
        <f>_xlfn.XLOOKUP(C161,customers!$A$1:$A$1001,customers!$G$1:$G$1001,0)</f>
        <v>United States</v>
      </c>
      <c r="I161" t="str">
        <f>_xlfn.XLOOKUP(D161,products!$A$1:$A$49,products!$B$1:$B$49,0)</f>
        <v>Lib</v>
      </c>
      <c r="J161" t="str">
        <f>_xlfn.XLOOKUP(worksheet!D161,products!$A$1:$A$49,products!$C$1:$C$49,0)</f>
        <v>L</v>
      </c>
      <c r="K161" s="5">
        <f>_xlfn.XLOOKUP(worksheet!D161,products!$A$1:$A$49,products!$D$1:$D$49,0)</f>
        <v>2.5</v>
      </c>
      <c r="L161" s="6">
        <f>_xlfn.XLOOKUP(worksheet!D161,products!$A$1:$A$49,products!$E$1:$E$49,0)</f>
        <v>36.454999999999998</v>
      </c>
      <c r="M161" s="6">
        <f>worksheet!E161*worksheet!L161</f>
        <v>218.73</v>
      </c>
      <c r="N161" t="str">
        <f t="shared" si="4"/>
        <v>Liberica</v>
      </c>
      <c r="O161" t="str">
        <f t="shared" si="5"/>
        <v>Light</v>
      </c>
      <c r="P161" t="str">
        <f>_xlfn.XLOOKUP(worksheet[[#This Row],[Customer ID]],customers!$A$1:$A$1001,customers!$I$1:$I$1001,0)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
        <v>1392</v>
      </c>
      <c r="H162" s="2" t="str">
        <f>_xlfn.XLOOKUP(C162,customers!$A$1:$A$1001,customers!$G$1:$G$1001,0)</f>
        <v>United States</v>
      </c>
      <c r="I162" t="str">
        <f>_xlfn.XLOOKUP(D162,products!$A$1:$A$49,products!$B$1:$B$49,0)</f>
        <v>Exc</v>
      </c>
      <c r="J162" t="str">
        <f>_xlfn.XLOOKUP(worksheet!D162,products!$A$1:$A$49,products!$C$1:$C$49,0)</f>
        <v>M</v>
      </c>
      <c r="K162" s="5">
        <f>_xlfn.XLOOKUP(worksheet!D162,products!$A$1:$A$49,products!$D$1:$D$49,0)</f>
        <v>0.5</v>
      </c>
      <c r="L162" s="6">
        <f>_xlfn.XLOOKUP(worksheet!D162,products!$A$1:$A$49,products!$E$1:$E$49,0)</f>
        <v>8.25</v>
      </c>
      <c r="M162" s="6">
        <f>worksheet!E162*worksheet!L162</f>
        <v>33</v>
      </c>
      <c r="N162" t="str">
        <f t="shared" si="4"/>
        <v>Excelsa</v>
      </c>
      <c r="O162" t="str">
        <f t="shared" si="5"/>
        <v>Medium</v>
      </c>
      <c r="P162" t="str">
        <f>_xlfn.XLOOKUP(worksheet[[#This Row],[Customer ID]],customers!$A$1:$A$1001,customers!$I$1:$I$1001,0)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
        <v>1398</v>
      </c>
      <c r="H163" s="2" t="str">
        <f>_xlfn.XLOOKUP(C163,customers!$A$1:$A$1001,customers!$G$1:$G$1001,0)</f>
        <v>United States</v>
      </c>
      <c r="I163" t="str">
        <f>_xlfn.XLOOKUP(D163,products!$A$1:$A$49,products!$B$1:$B$49,0)</f>
        <v>Ara</v>
      </c>
      <c r="J163" t="str">
        <f>_xlfn.XLOOKUP(worksheet!D163,products!$A$1:$A$49,products!$C$1:$C$49,0)</f>
        <v>L</v>
      </c>
      <c r="K163" s="5">
        <f>_xlfn.XLOOKUP(worksheet!D163,products!$A$1:$A$49,products!$D$1:$D$49,0)</f>
        <v>0.5</v>
      </c>
      <c r="L163" s="6">
        <f>_xlfn.XLOOKUP(worksheet!D163,products!$A$1:$A$49,products!$E$1:$E$49,0)</f>
        <v>7.77</v>
      </c>
      <c r="M163" s="6">
        <f>worksheet!E163*worksheet!L163</f>
        <v>23.31</v>
      </c>
      <c r="N163" t="str">
        <f t="shared" si="4"/>
        <v>Arabica</v>
      </c>
      <c r="O163" t="str">
        <f t="shared" si="5"/>
        <v>Light</v>
      </c>
      <c r="P163" t="str">
        <f>_xlfn.XLOOKUP(worksheet[[#This Row],[Customer ID]],customers!$A$1:$A$1001,customers!$I$1:$I$1001,0)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
        <v>1404</v>
      </c>
      <c r="H164" s="2" t="str">
        <f>_xlfn.XLOOKUP(C164,customers!$A$1:$A$1001,customers!$G$1:$G$1001,0)</f>
        <v>United States</v>
      </c>
      <c r="I164" t="str">
        <f>_xlfn.XLOOKUP(D164,products!$A$1:$A$49,products!$B$1:$B$49,0)</f>
        <v>Exc</v>
      </c>
      <c r="J164" t="str">
        <f>_xlfn.XLOOKUP(worksheet!D164,products!$A$1:$A$49,products!$C$1:$C$49,0)</f>
        <v>D</v>
      </c>
      <c r="K164" s="5">
        <f>_xlfn.XLOOKUP(worksheet!D164,products!$A$1:$A$49,products!$D$1:$D$49,0)</f>
        <v>0.5</v>
      </c>
      <c r="L164" s="6">
        <f>_xlfn.XLOOKUP(worksheet!D164,products!$A$1:$A$49,products!$E$1:$E$49,0)</f>
        <v>7.29</v>
      </c>
      <c r="M164" s="6">
        <f>worksheet!E164*worksheet!L164</f>
        <v>21.87</v>
      </c>
      <c r="N164" t="str">
        <f t="shared" si="4"/>
        <v>Excelsa</v>
      </c>
      <c r="O164" t="str">
        <f t="shared" si="5"/>
        <v>Dark</v>
      </c>
      <c r="P164" t="str">
        <f>_xlfn.XLOOKUP(worksheet[[#This Row],[Customer ID]],customers!$A$1:$A$1001,customers!$I$1:$I$1001,0)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
        <v>1410</v>
      </c>
      <c r="H165" s="2" t="str">
        <f>_xlfn.XLOOKUP(C165,customers!$A$1:$A$1001,customers!$G$1:$G$1001,0)</f>
        <v>United States</v>
      </c>
      <c r="I165" t="str">
        <f>_xlfn.XLOOKUP(D165,products!$A$1:$A$49,products!$B$1:$B$49,0)</f>
        <v>Rob</v>
      </c>
      <c r="J165" t="str">
        <f>_xlfn.XLOOKUP(worksheet!D165,products!$A$1:$A$49,products!$C$1:$C$49,0)</f>
        <v>D</v>
      </c>
      <c r="K165" s="5">
        <f>_xlfn.XLOOKUP(worksheet!D165,products!$A$1:$A$49,products!$D$1:$D$49,0)</f>
        <v>0.2</v>
      </c>
      <c r="L165" s="6">
        <f>_xlfn.XLOOKUP(worksheet!D165,products!$A$1:$A$49,products!$E$1:$E$49,0)</f>
        <v>2.6849999999999996</v>
      </c>
      <c r="M165" s="6">
        <f>worksheet!E165*worksheet!L165</f>
        <v>16.11</v>
      </c>
      <c r="N165" t="str">
        <f t="shared" si="4"/>
        <v>Robusta</v>
      </c>
      <c r="O165" t="str">
        <f t="shared" si="5"/>
        <v>Dark</v>
      </c>
      <c r="P165" t="str">
        <f>_xlfn.XLOOKUP(worksheet[[#This Row],[Customer ID]],customers!$A$1:$A$1001,customers!$I$1:$I$1001,0)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
        <v>1416</v>
      </c>
      <c r="H166" s="2" t="str">
        <f>_xlfn.XLOOKUP(C166,customers!$A$1:$A$1001,customers!$G$1:$G$1001,0)</f>
        <v>Ireland</v>
      </c>
      <c r="I166" t="str">
        <f>_xlfn.XLOOKUP(D166,products!$A$1:$A$49,products!$B$1:$B$49,0)</f>
        <v>Exc</v>
      </c>
      <c r="J166" t="str">
        <f>_xlfn.XLOOKUP(worksheet!D166,products!$A$1:$A$49,products!$C$1:$C$49,0)</f>
        <v>D</v>
      </c>
      <c r="K166" s="5">
        <f>_xlfn.XLOOKUP(worksheet!D166,products!$A$1:$A$49,products!$D$1:$D$49,0)</f>
        <v>0.5</v>
      </c>
      <c r="L166" s="6">
        <f>_xlfn.XLOOKUP(worksheet!D166,products!$A$1:$A$49,products!$E$1:$E$49,0)</f>
        <v>7.29</v>
      </c>
      <c r="M166" s="6">
        <f>worksheet!E166*worksheet!L166</f>
        <v>29.16</v>
      </c>
      <c r="N166" t="str">
        <f t="shared" si="4"/>
        <v>Excelsa</v>
      </c>
      <c r="O166" t="str">
        <f t="shared" si="5"/>
        <v>Dark</v>
      </c>
      <c r="P166" t="str">
        <f>_xlfn.XLOOKUP(worksheet[[#This Row],[Customer ID]],customers!$A$1:$A$1001,customers!$I$1:$I$1001,0)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
        <v>6222</v>
      </c>
      <c r="H167" s="2" t="str">
        <f>_xlfn.XLOOKUP(C167,customers!$A$1:$A$1001,customers!$G$1:$G$1001,0)</f>
        <v>United States</v>
      </c>
      <c r="I167" t="str">
        <f>_xlfn.XLOOKUP(D167,products!$A$1:$A$49,products!$B$1:$B$49,0)</f>
        <v>Rob</v>
      </c>
      <c r="J167" t="str">
        <f>_xlfn.XLOOKUP(worksheet!D167,products!$A$1:$A$49,products!$C$1:$C$49,0)</f>
        <v>D</v>
      </c>
      <c r="K167" s="5">
        <f>_xlfn.XLOOKUP(worksheet!D167,products!$A$1:$A$49,products!$D$1:$D$49,0)</f>
        <v>1</v>
      </c>
      <c r="L167" s="6">
        <f>_xlfn.XLOOKUP(worksheet!D167,products!$A$1:$A$49,products!$E$1:$E$49,0)</f>
        <v>8.9499999999999993</v>
      </c>
      <c r="M167" s="6">
        <f>worksheet!E167*worksheet!L167</f>
        <v>53.699999999999996</v>
      </c>
      <c r="N167" t="str">
        <f t="shared" si="4"/>
        <v>Robusta</v>
      </c>
      <c r="O167" t="str">
        <f t="shared" si="5"/>
        <v>Dark</v>
      </c>
      <c r="P167" t="str">
        <f>_xlfn.XLOOKUP(worksheet[[#This Row],[Customer ID]],customers!$A$1:$A$1001,customers!$I$1:$I$1001,0)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
        <v>6222</v>
      </c>
      <c r="H168" s="2" t="str">
        <f>_xlfn.XLOOKUP(C168,customers!$A$1:$A$1001,customers!$G$1:$G$1001,0)</f>
        <v>United States</v>
      </c>
      <c r="I168" t="str">
        <f>_xlfn.XLOOKUP(D168,products!$A$1:$A$49,products!$B$1:$B$49,0)</f>
        <v>Rob</v>
      </c>
      <c r="J168" t="str">
        <f>_xlfn.XLOOKUP(worksheet!D168,products!$A$1:$A$49,products!$C$1:$C$49,0)</f>
        <v>D</v>
      </c>
      <c r="K168" s="5">
        <f>_xlfn.XLOOKUP(worksheet!D168,products!$A$1:$A$49,products!$D$1:$D$49,0)</f>
        <v>0.5</v>
      </c>
      <c r="L168" s="6">
        <f>_xlfn.XLOOKUP(worksheet!D168,products!$A$1:$A$49,products!$E$1:$E$49,0)</f>
        <v>5.3699999999999992</v>
      </c>
      <c r="M168" s="6">
        <f>worksheet!E168*worksheet!L168</f>
        <v>26.849999999999994</v>
      </c>
      <c r="N168" t="str">
        <f t="shared" si="4"/>
        <v>Robusta</v>
      </c>
      <c r="O168" t="str">
        <f t="shared" si="5"/>
        <v>Dark</v>
      </c>
      <c r="P168" t="str">
        <f>_xlfn.XLOOKUP(worksheet[[#This Row],[Customer ID]],customers!$A$1:$A$1001,customers!$I$1:$I$1001,0)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
        <v>1433</v>
      </c>
      <c r="H169" s="2" t="str">
        <f>_xlfn.XLOOKUP(C169,customers!$A$1:$A$1001,customers!$G$1:$G$1001,0)</f>
        <v>United States</v>
      </c>
      <c r="I169" t="str">
        <f>_xlfn.XLOOKUP(D169,products!$A$1:$A$49,products!$B$1:$B$49,0)</f>
        <v>Exc</v>
      </c>
      <c r="J169" t="str">
        <f>_xlfn.XLOOKUP(worksheet!D169,products!$A$1:$A$49,products!$C$1:$C$49,0)</f>
        <v>M</v>
      </c>
      <c r="K169" s="5">
        <f>_xlfn.XLOOKUP(worksheet!D169,products!$A$1:$A$49,products!$D$1:$D$49,0)</f>
        <v>0.5</v>
      </c>
      <c r="L169" s="6">
        <f>_xlfn.XLOOKUP(worksheet!D169,products!$A$1:$A$49,products!$E$1:$E$49,0)</f>
        <v>8.25</v>
      </c>
      <c r="M169" s="6">
        <f>worksheet!E169*worksheet!L169</f>
        <v>41.25</v>
      </c>
      <c r="N169" t="str">
        <f t="shared" si="4"/>
        <v>Excelsa</v>
      </c>
      <c r="O169" t="str">
        <f t="shared" si="5"/>
        <v>Medium</v>
      </c>
      <c r="P169" t="str">
        <f>_xlfn.XLOOKUP(worksheet[[#This Row],[Customer ID]],customers!$A$1:$A$1001,customers!$I$1:$I$1001,0)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
        <v>6222</v>
      </c>
      <c r="H170" s="2" t="str">
        <f>_xlfn.XLOOKUP(C170,customers!$A$1:$A$1001,customers!$G$1:$G$1001,0)</f>
        <v>Ireland</v>
      </c>
      <c r="I170" t="str">
        <f>_xlfn.XLOOKUP(D170,products!$A$1:$A$49,products!$B$1:$B$49,0)</f>
        <v>Ara</v>
      </c>
      <c r="J170" t="str">
        <f>_xlfn.XLOOKUP(worksheet!D170,products!$A$1:$A$49,products!$C$1:$C$49,0)</f>
        <v>M</v>
      </c>
      <c r="K170" s="5">
        <f>_xlfn.XLOOKUP(worksheet!D170,products!$A$1:$A$49,products!$D$1:$D$49,0)</f>
        <v>0.5</v>
      </c>
      <c r="L170" s="6">
        <f>_xlfn.XLOOKUP(worksheet!D170,products!$A$1:$A$49,products!$E$1:$E$49,0)</f>
        <v>6.75</v>
      </c>
      <c r="M170" s="6">
        <f>worksheet!E170*worksheet!L170</f>
        <v>40.5</v>
      </c>
      <c r="N170" t="str">
        <f t="shared" si="4"/>
        <v>Arabica</v>
      </c>
      <c r="O170" t="str">
        <f t="shared" si="5"/>
        <v>Medium</v>
      </c>
      <c r="P170" t="str">
        <f>_xlfn.XLOOKUP(worksheet[[#This Row],[Customer ID]],customers!$A$1:$A$1001,customers!$I$1:$I$1001,0)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
        <v>1444</v>
      </c>
      <c r="H171" s="2" t="str">
        <f>_xlfn.XLOOKUP(C171,customers!$A$1:$A$1001,customers!$G$1:$G$1001,0)</f>
        <v>Ireland</v>
      </c>
      <c r="I171" t="str">
        <f>_xlfn.XLOOKUP(D171,products!$A$1:$A$49,products!$B$1:$B$49,0)</f>
        <v>Rob</v>
      </c>
      <c r="J171" t="str">
        <f>_xlfn.XLOOKUP(worksheet!D171,products!$A$1:$A$49,products!$C$1:$C$49,0)</f>
        <v>D</v>
      </c>
      <c r="K171" s="5">
        <f>_xlfn.XLOOKUP(worksheet!D171,products!$A$1:$A$49,products!$D$1:$D$49,0)</f>
        <v>1</v>
      </c>
      <c r="L171" s="6">
        <f>_xlfn.XLOOKUP(worksheet!D171,products!$A$1:$A$49,products!$E$1:$E$49,0)</f>
        <v>8.9499999999999993</v>
      </c>
      <c r="M171" s="6">
        <f>worksheet!E171*worksheet!L171</f>
        <v>17.899999999999999</v>
      </c>
      <c r="N171" t="str">
        <f t="shared" si="4"/>
        <v>Robusta</v>
      </c>
      <c r="O171" t="str">
        <f t="shared" si="5"/>
        <v>Dark</v>
      </c>
      <c r="P171" t="str">
        <f>_xlfn.XLOOKUP(worksheet[[#This Row],[Customer ID]],customers!$A$1:$A$1001,customers!$I$1:$I$1001,0)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
        <v>1451</v>
      </c>
      <c r="H172" s="2" t="str">
        <f>_xlfn.XLOOKUP(C172,customers!$A$1:$A$1001,customers!$G$1:$G$1001,0)</f>
        <v>United Kingdom</v>
      </c>
      <c r="I172" t="str">
        <f>_xlfn.XLOOKUP(D172,products!$A$1:$A$49,products!$B$1:$B$49,0)</f>
        <v>Exc</v>
      </c>
      <c r="J172" t="str">
        <f>_xlfn.XLOOKUP(worksheet!D172,products!$A$1:$A$49,products!$C$1:$C$49,0)</f>
        <v>L</v>
      </c>
      <c r="K172" s="5">
        <f>_xlfn.XLOOKUP(worksheet!D172,products!$A$1:$A$49,products!$D$1:$D$49,0)</f>
        <v>2.5</v>
      </c>
      <c r="L172" s="6">
        <f>_xlfn.XLOOKUP(worksheet!D172,products!$A$1:$A$49,products!$E$1:$E$49,0)</f>
        <v>34.154999999999994</v>
      </c>
      <c r="M172" s="6">
        <f>worksheet!E172*worksheet!L172</f>
        <v>68.309999999999988</v>
      </c>
      <c r="N172" t="str">
        <f t="shared" si="4"/>
        <v>Excelsa</v>
      </c>
      <c r="O172" t="str">
        <f t="shared" si="5"/>
        <v>Light</v>
      </c>
      <c r="P172" t="str">
        <f>_xlfn.XLOOKUP(worksheet[[#This Row],[Customer ID]],customers!$A$1:$A$1001,customers!$I$1:$I$1001,0)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
        <v>1456</v>
      </c>
      <c r="H173" s="2" t="str">
        <f>_xlfn.XLOOKUP(C173,customers!$A$1:$A$1001,customers!$G$1:$G$1001,0)</f>
        <v>United States</v>
      </c>
      <c r="I173" t="str">
        <f>_xlfn.XLOOKUP(D173,products!$A$1:$A$49,products!$B$1:$B$49,0)</f>
        <v>Exc</v>
      </c>
      <c r="J173" t="str">
        <f>_xlfn.XLOOKUP(worksheet!D173,products!$A$1:$A$49,products!$C$1:$C$49,0)</f>
        <v>M</v>
      </c>
      <c r="K173" s="5">
        <f>_xlfn.XLOOKUP(worksheet!D173,products!$A$1:$A$49,products!$D$1:$D$49,0)</f>
        <v>2.5</v>
      </c>
      <c r="L173" s="6">
        <f>_xlfn.XLOOKUP(worksheet!D173,products!$A$1:$A$49,products!$E$1:$E$49,0)</f>
        <v>31.624999999999996</v>
      </c>
      <c r="M173" s="6">
        <f>worksheet!E173*worksheet!L173</f>
        <v>63.249999999999993</v>
      </c>
      <c r="N173" t="str">
        <f t="shared" si="4"/>
        <v>Excelsa</v>
      </c>
      <c r="O173" t="str">
        <f t="shared" si="5"/>
        <v>Medium</v>
      </c>
      <c r="P173" t="str">
        <f>_xlfn.XLOOKUP(worksheet[[#This Row],[Customer ID]],customers!$A$1:$A$1001,customers!$I$1:$I$1001,0)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
        <v>1462</v>
      </c>
      <c r="H174" s="2" t="str">
        <f>_xlfn.XLOOKUP(C174,customers!$A$1:$A$1001,customers!$G$1:$G$1001,0)</f>
        <v>Ireland</v>
      </c>
      <c r="I174" t="str">
        <f>_xlfn.XLOOKUP(D174,products!$A$1:$A$49,products!$B$1:$B$49,0)</f>
        <v>Exc</v>
      </c>
      <c r="J174" t="str">
        <f>_xlfn.XLOOKUP(worksheet!D174,products!$A$1:$A$49,products!$C$1:$C$49,0)</f>
        <v>D</v>
      </c>
      <c r="K174" s="5">
        <f>_xlfn.XLOOKUP(worksheet!D174,products!$A$1:$A$49,products!$D$1:$D$49,0)</f>
        <v>0.5</v>
      </c>
      <c r="L174" s="6">
        <f>_xlfn.XLOOKUP(worksheet!D174,products!$A$1:$A$49,products!$E$1:$E$49,0)</f>
        <v>7.29</v>
      </c>
      <c r="M174" s="6">
        <f>worksheet!E174*worksheet!L174</f>
        <v>21.87</v>
      </c>
      <c r="N174" t="str">
        <f t="shared" si="4"/>
        <v>Excelsa</v>
      </c>
      <c r="O174" t="str">
        <f t="shared" si="5"/>
        <v>Dark</v>
      </c>
      <c r="P174" t="str">
        <f>_xlfn.XLOOKUP(worksheet[[#This Row],[Customer ID]],customers!$A$1:$A$1001,customers!$I$1:$I$1001,0)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
        <v>1467</v>
      </c>
      <c r="H175" s="2" t="str">
        <f>_xlfn.XLOOKUP(C175,customers!$A$1:$A$1001,customers!$G$1:$G$1001,0)</f>
        <v>United States</v>
      </c>
      <c r="I175" t="str">
        <f>_xlfn.XLOOKUP(D175,products!$A$1:$A$49,products!$B$1:$B$49,0)</f>
        <v>Rob</v>
      </c>
      <c r="J175" t="str">
        <f>_xlfn.XLOOKUP(worksheet!D175,products!$A$1:$A$49,products!$C$1:$C$49,0)</f>
        <v>M</v>
      </c>
      <c r="K175" s="5">
        <f>_xlfn.XLOOKUP(worksheet!D175,products!$A$1:$A$49,products!$D$1:$D$49,0)</f>
        <v>2.5</v>
      </c>
      <c r="L175" s="6">
        <f>_xlfn.XLOOKUP(worksheet!D175,products!$A$1:$A$49,products!$E$1:$E$49,0)</f>
        <v>22.884999999999998</v>
      </c>
      <c r="M175" s="6">
        <f>worksheet!E175*worksheet!L175</f>
        <v>91.539999999999992</v>
      </c>
      <c r="N175" t="str">
        <f t="shared" si="4"/>
        <v>Robusta</v>
      </c>
      <c r="O175" t="str">
        <f t="shared" si="5"/>
        <v>Medium</v>
      </c>
      <c r="P175" t="str">
        <f>_xlfn.XLOOKUP(worksheet[[#This Row],[Customer ID]],customers!$A$1:$A$1001,customers!$I$1:$I$1001,0)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
        <v>6222</v>
      </c>
      <c r="H176" s="2" t="str">
        <f>_xlfn.XLOOKUP(C176,customers!$A$1:$A$1001,customers!$G$1:$G$1001,0)</f>
        <v>United States</v>
      </c>
      <c r="I176" t="str">
        <f>_xlfn.XLOOKUP(D176,products!$A$1:$A$49,products!$B$1:$B$49,0)</f>
        <v>Exc</v>
      </c>
      <c r="J176" t="str">
        <f>_xlfn.XLOOKUP(worksheet!D176,products!$A$1:$A$49,products!$C$1:$C$49,0)</f>
        <v>L</v>
      </c>
      <c r="K176" s="5">
        <f>_xlfn.XLOOKUP(worksheet!D176,products!$A$1:$A$49,products!$D$1:$D$49,0)</f>
        <v>2.5</v>
      </c>
      <c r="L176" s="6">
        <f>_xlfn.XLOOKUP(worksheet!D176,products!$A$1:$A$49,products!$E$1:$E$49,0)</f>
        <v>34.154999999999994</v>
      </c>
      <c r="M176" s="6">
        <f>worksheet!E176*worksheet!L176</f>
        <v>204.92999999999995</v>
      </c>
      <c r="N176" t="str">
        <f t="shared" si="4"/>
        <v>Excelsa</v>
      </c>
      <c r="O176" t="str">
        <f t="shared" si="5"/>
        <v>Light</v>
      </c>
      <c r="P176" t="str">
        <f>_xlfn.XLOOKUP(worksheet[[#This Row],[Customer ID]],customers!$A$1:$A$1001,customers!$I$1:$I$1001,0)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
        <v>1478</v>
      </c>
      <c r="H177" s="2" t="str">
        <f>_xlfn.XLOOKUP(C177,customers!$A$1:$A$1001,customers!$G$1:$G$1001,0)</f>
        <v>United States</v>
      </c>
      <c r="I177" t="str">
        <f>_xlfn.XLOOKUP(D177,products!$A$1:$A$49,products!$B$1:$B$49,0)</f>
        <v>Exc</v>
      </c>
      <c r="J177" t="str">
        <f>_xlfn.XLOOKUP(worksheet!D177,products!$A$1:$A$49,products!$C$1:$C$49,0)</f>
        <v>M</v>
      </c>
      <c r="K177" s="5">
        <f>_xlfn.XLOOKUP(worksheet!D177,products!$A$1:$A$49,products!$D$1:$D$49,0)</f>
        <v>2.5</v>
      </c>
      <c r="L177" s="6">
        <f>_xlfn.XLOOKUP(worksheet!D177,products!$A$1:$A$49,products!$E$1:$E$49,0)</f>
        <v>31.624999999999996</v>
      </c>
      <c r="M177" s="6">
        <f>worksheet!E177*worksheet!L177</f>
        <v>63.249999999999993</v>
      </c>
      <c r="N177" t="str">
        <f t="shared" si="4"/>
        <v>Excelsa</v>
      </c>
      <c r="O177" t="str">
        <f t="shared" si="5"/>
        <v>Medium</v>
      </c>
      <c r="P177" t="str">
        <f>_xlfn.XLOOKUP(worksheet[[#This Row],[Customer ID]],customers!$A$1:$A$1001,customers!$I$1:$I$1001,0)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
        <v>1484</v>
      </c>
      <c r="H178" s="2" t="str">
        <f>_xlfn.XLOOKUP(C178,customers!$A$1:$A$1001,customers!$G$1:$G$1001,0)</f>
        <v>United States</v>
      </c>
      <c r="I178" t="str">
        <f>_xlfn.XLOOKUP(D178,products!$A$1:$A$49,products!$B$1:$B$49,0)</f>
        <v>Exc</v>
      </c>
      <c r="J178" t="str">
        <f>_xlfn.XLOOKUP(worksheet!D178,products!$A$1:$A$49,products!$C$1:$C$49,0)</f>
        <v>L</v>
      </c>
      <c r="K178" s="5">
        <f>_xlfn.XLOOKUP(worksheet!D178,products!$A$1:$A$49,products!$D$1:$D$49,0)</f>
        <v>2.5</v>
      </c>
      <c r="L178" s="6">
        <f>_xlfn.XLOOKUP(worksheet!D178,products!$A$1:$A$49,products!$E$1:$E$49,0)</f>
        <v>34.154999999999994</v>
      </c>
      <c r="M178" s="6">
        <f>worksheet!E178*worksheet!L178</f>
        <v>34.154999999999994</v>
      </c>
      <c r="N178" t="str">
        <f t="shared" si="4"/>
        <v>Excelsa</v>
      </c>
      <c r="O178" t="str">
        <f t="shared" si="5"/>
        <v>Light</v>
      </c>
      <c r="P178" t="str">
        <f>_xlfn.XLOOKUP(worksheet[[#This Row],[Customer ID]],customers!$A$1:$A$1001,customers!$I$1:$I$1001,0)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
        <v>1490</v>
      </c>
      <c r="H179" s="2" t="str">
        <f>_xlfn.XLOOKUP(C179,customers!$A$1:$A$1001,customers!$G$1:$G$1001,0)</f>
        <v>United States</v>
      </c>
      <c r="I179" t="str">
        <f>_xlfn.XLOOKUP(D179,products!$A$1:$A$49,products!$B$1:$B$49,0)</f>
        <v>Rob</v>
      </c>
      <c r="J179" t="str">
        <f>_xlfn.XLOOKUP(worksheet!D179,products!$A$1:$A$49,products!$C$1:$C$49,0)</f>
        <v>L</v>
      </c>
      <c r="K179" s="5">
        <f>_xlfn.XLOOKUP(worksheet!D179,products!$A$1:$A$49,products!$D$1:$D$49,0)</f>
        <v>2.5</v>
      </c>
      <c r="L179" s="6">
        <f>_xlfn.XLOOKUP(worksheet!D179,products!$A$1:$A$49,products!$E$1:$E$49,0)</f>
        <v>27.484999999999996</v>
      </c>
      <c r="M179" s="6">
        <f>worksheet!E179*worksheet!L179</f>
        <v>109.93999999999998</v>
      </c>
      <c r="N179" t="str">
        <f t="shared" si="4"/>
        <v>Robusta</v>
      </c>
      <c r="O179" t="str">
        <f t="shared" si="5"/>
        <v>Light</v>
      </c>
      <c r="P179" t="str">
        <f>_xlfn.XLOOKUP(worksheet[[#This Row],[Customer ID]],customers!$A$1:$A$1001,customers!$I$1:$I$1001,0)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
        <v>1495</v>
      </c>
      <c r="H180" s="2" t="str">
        <f>_xlfn.XLOOKUP(C180,customers!$A$1:$A$1001,customers!$G$1:$G$1001,0)</f>
        <v>United States</v>
      </c>
      <c r="I180" t="str">
        <f>_xlfn.XLOOKUP(D180,products!$A$1:$A$49,products!$B$1:$B$49,0)</f>
        <v>Ara</v>
      </c>
      <c r="J180" t="str">
        <f>_xlfn.XLOOKUP(worksheet!D180,products!$A$1:$A$49,products!$C$1:$C$49,0)</f>
        <v>L</v>
      </c>
      <c r="K180" s="5">
        <f>_xlfn.XLOOKUP(worksheet!D180,products!$A$1:$A$49,products!$D$1:$D$49,0)</f>
        <v>1</v>
      </c>
      <c r="L180" s="6">
        <f>_xlfn.XLOOKUP(worksheet!D180,products!$A$1:$A$49,products!$E$1:$E$49,0)</f>
        <v>12.95</v>
      </c>
      <c r="M180" s="6">
        <f>worksheet!E180*worksheet!L180</f>
        <v>25.9</v>
      </c>
      <c r="N180" t="str">
        <f t="shared" si="4"/>
        <v>Arabica</v>
      </c>
      <c r="O180" t="str">
        <f t="shared" si="5"/>
        <v>Light</v>
      </c>
      <c r="P180" t="str">
        <f>_xlfn.XLOOKUP(worksheet[[#This Row],[Customer ID]],customers!$A$1:$A$1001,customers!$I$1:$I$1001,0)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
        <v>6222</v>
      </c>
      <c r="H181" s="2" t="str">
        <f>_xlfn.XLOOKUP(C181,customers!$A$1:$A$1001,customers!$G$1:$G$1001,0)</f>
        <v>Ireland</v>
      </c>
      <c r="I181" t="str">
        <f>_xlfn.XLOOKUP(D181,products!$A$1:$A$49,products!$B$1:$B$49,0)</f>
        <v>Ara</v>
      </c>
      <c r="J181" t="str">
        <f>_xlfn.XLOOKUP(worksheet!D181,products!$A$1:$A$49,products!$C$1:$C$49,0)</f>
        <v>D</v>
      </c>
      <c r="K181" s="5">
        <f>_xlfn.XLOOKUP(worksheet!D181,products!$A$1:$A$49,products!$D$1:$D$49,0)</f>
        <v>0.2</v>
      </c>
      <c r="L181" s="6">
        <f>_xlfn.XLOOKUP(worksheet!D181,products!$A$1:$A$49,products!$E$1:$E$49,0)</f>
        <v>2.9849999999999999</v>
      </c>
      <c r="M181" s="6">
        <f>worksheet!E181*worksheet!L181</f>
        <v>2.9849999999999999</v>
      </c>
      <c r="N181" t="str">
        <f t="shared" si="4"/>
        <v>Arabica</v>
      </c>
      <c r="O181" t="str">
        <f t="shared" si="5"/>
        <v>Dark</v>
      </c>
      <c r="P181" t="str">
        <f>_xlfn.XLOOKUP(worksheet[[#This Row],[Customer ID]],customers!$A$1:$A$1001,customers!$I$1:$I$1001,0)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
        <v>1506</v>
      </c>
      <c r="H182" s="2" t="str">
        <f>_xlfn.XLOOKUP(C182,customers!$A$1:$A$1001,customers!$G$1:$G$1001,0)</f>
        <v>United States</v>
      </c>
      <c r="I182" t="str">
        <f>_xlfn.XLOOKUP(D182,products!$A$1:$A$49,products!$B$1:$B$49,0)</f>
        <v>Exc</v>
      </c>
      <c r="J182" t="str">
        <f>_xlfn.XLOOKUP(worksheet!D182,products!$A$1:$A$49,products!$C$1:$C$49,0)</f>
        <v>L</v>
      </c>
      <c r="K182" s="5">
        <f>_xlfn.XLOOKUP(worksheet!D182,products!$A$1:$A$49,products!$D$1:$D$49,0)</f>
        <v>0.2</v>
      </c>
      <c r="L182" s="6">
        <f>_xlfn.XLOOKUP(worksheet!D182,products!$A$1:$A$49,products!$E$1:$E$49,0)</f>
        <v>4.4550000000000001</v>
      </c>
      <c r="M182" s="6">
        <f>worksheet!E182*worksheet!L182</f>
        <v>22.274999999999999</v>
      </c>
      <c r="N182" t="str">
        <f t="shared" si="4"/>
        <v>Excelsa</v>
      </c>
      <c r="O182" t="str">
        <f t="shared" si="5"/>
        <v>Light</v>
      </c>
      <c r="P182" t="str">
        <f>_xlfn.XLOOKUP(worksheet[[#This Row],[Customer ID]],customers!$A$1:$A$1001,customers!$I$1:$I$1001,0)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
        <v>1506</v>
      </c>
      <c r="H183" s="2" t="str">
        <f>_xlfn.XLOOKUP(C183,customers!$A$1:$A$1001,customers!$G$1:$G$1001,0)</f>
        <v>United States</v>
      </c>
      <c r="I183" t="str">
        <f>_xlfn.XLOOKUP(D183,products!$A$1:$A$49,products!$B$1:$B$49,0)</f>
        <v>Ara</v>
      </c>
      <c r="J183" t="str">
        <f>_xlfn.XLOOKUP(worksheet!D183,products!$A$1:$A$49,products!$C$1:$C$49,0)</f>
        <v>D</v>
      </c>
      <c r="K183" s="5">
        <f>_xlfn.XLOOKUP(worksheet!D183,products!$A$1:$A$49,products!$D$1:$D$49,0)</f>
        <v>0.5</v>
      </c>
      <c r="L183" s="6">
        <f>_xlfn.XLOOKUP(worksheet!D183,products!$A$1:$A$49,products!$E$1:$E$49,0)</f>
        <v>5.97</v>
      </c>
      <c r="M183" s="6">
        <f>worksheet!E183*worksheet!L183</f>
        <v>29.849999999999998</v>
      </c>
      <c r="N183" t="str">
        <f t="shared" si="4"/>
        <v>Arabica</v>
      </c>
      <c r="O183" t="str">
        <f t="shared" si="5"/>
        <v>Dark</v>
      </c>
      <c r="P183" t="str">
        <f>_xlfn.XLOOKUP(worksheet[[#This Row],[Customer ID]],customers!$A$1:$A$1001,customers!$I$1:$I$1001,0)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
        <v>1517</v>
      </c>
      <c r="H184" s="2" t="str">
        <f>_xlfn.XLOOKUP(C184,customers!$A$1:$A$1001,customers!$G$1:$G$1001,0)</f>
        <v>United States</v>
      </c>
      <c r="I184" t="str">
        <f>_xlfn.XLOOKUP(D184,products!$A$1:$A$49,products!$B$1:$B$49,0)</f>
        <v>Rob</v>
      </c>
      <c r="J184" t="str">
        <f>_xlfn.XLOOKUP(worksheet!D184,products!$A$1:$A$49,products!$C$1:$C$49,0)</f>
        <v>D</v>
      </c>
      <c r="K184" s="5">
        <f>_xlfn.XLOOKUP(worksheet!D184,products!$A$1:$A$49,products!$D$1:$D$49,0)</f>
        <v>0.5</v>
      </c>
      <c r="L184" s="6">
        <f>_xlfn.XLOOKUP(worksheet!D184,products!$A$1:$A$49,products!$E$1:$E$49,0)</f>
        <v>5.3699999999999992</v>
      </c>
      <c r="M184" s="6">
        <f>worksheet!E184*worksheet!L184</f>
        <v>32.22</v>
      </c>
      <c r="N184" t="str">
        <f t="shared" si="4"/>
        <v>Robusta</v>
      </c>
      <c r="O184" t="str">
        <f t="shared" si="5"/>
        <v>Dark</v>
      </c>
      <c r="P184" t="str">
        <f>_xlfn.XLOOKUP(worksheet[[#This Row],[Customer ID]],customers!$A$1:$A$1001,customers!$I$1:$I$1001,0)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
        <v>1523</v>
      </c>
      <c r="H185" s="2" t="str">
        <f>_xlfn.XLOOKUP(C185,customers!$A$1:$A$1001,customers!$G$1:$G$1001,0)</f>
        <v>United States</v>
      </c>
      <c r="I185" t="str">
        <f>_xlfn.XLOOKUP(D185,products!$A$1:$A$49,products!$B$1:$B$49,0)</f>
        <v>Exc</v>
      </c>
      <c r="J185" t="str">
        <f>_xlfn.XLOOKUP(worksheet!D185,products!$A$1:$A$49,products!$C$1:$C$49,0)</f>
        <v>M</v>
      </c>
      <c r="K185" s="5">
        <f>_xlfn.XLOOKUP(worksheet!D185,products!$A$1:$A$49,products!$D$1:$D$49,0)</f>
        <v>0.2</v>
      </c>
      <c r="L185" s="6">
        <f>_xlfn.XLOOKUP(worksheet!D185,products!$A$1:$A$49,products!$E$1:$E$49,0)</f>
        <v>4.125</v>
      </c>
      <c r="M185" s="6">
        <f>worksheet!E185*worksheet!L185</f>
        <v>8.25</v>
      </c>
      <c r="N185" t="str">
        <f t="shared" si="4"/>
        <v>Excelsa</v>
      </c>
      <c r="O185" t="str">
        <f t="shared" si="5"/>
        <v>Medium</v>
      </c>
      <c r="P185" t="str">
        <f>_xlfn.XLOOKUP(worksheet[[#This Row],[Customer ID]],customers!$A$1:$A$1001,customers!$I$1:$I$1001,0)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
        <v>1529</v>
      </c>
      <c r="H186" s="2" t="str">
        <f>_xlfn.XLOOKUP(C186,customers!$A$1:$A$1001,customers!$G$1:$G$1001,0)</f>
        <v>United States</v>
      </c>
      <c r="I186" t="str">
        <f>_xlfn.XLOOKUP(D186,products!$A$1:$A$49,products!$B$1:$B$49,0)</f>
        <v>Ara</v>
      </c>
      <c r="J186" t="str">
        <f>_xlfn.XLOOKUP(worksheet!D186,products!$A$1:$A$49,products!$C$1:$C$49,0)</f>
        <v>L</v>
      </c>
      <c r="K186" s="5">
        <f>_xlfn.XLOOKUP(worksheet!D186,products!$A$1:$A$49,products!$D$1:$D$49,0)</f>
        <v>0.5</v>
      </c>
      <c r="L186" s="6">
        <f>_xlfn.XLOOKUP(worksheet!D186,products!$A$1:$A$49,products!$E$1:$E$49,0)</f>
        <v>7.77</v>
      </c>
      <c r="M186" s="6">
        <f>worksheet!E186*worksheet!L186</f>
        <v>31.08</v>
      </c>
      <c r="N186" t="str">
        <f t="shared" si="4"/>
        <v>Arabica</v>
      </c>
      <c r="O186" t="str">
        <f t="shared" si="5"/>
        <v>Light</v>
      </c>
      <c r="P186" t="str">
        <f>_xlfn.XLOOKUP(worksheet[[#This Row],[Customer ID]],customers!$A$1:$A$1001,customers!$I$1:$I$1001,0)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
        <v>1535</v>
      </c>
      <c r="H187" s="2" t="str">
        <f>_xlfn.XLOOKUP(C187,customers!$A$1:$A$1001,customers!$G$1:$G$1001,0)</f>
        <v>United States</v>
      </c>
      <c r="I187" t="str">
        <f>_xlfn.XLOOKUP(D187,products!$A$1:$A$49,products!$B$1:$B$49,0)</f>
        <v>Exc</v>
      </c>
      <c r="J187" t="str">
        <f>_xlfn.XLOOKUP(worksheet!D187,products!$A$1:$A$49,products!$C$1:$C$49,0)</f>
        <v>D</v>
      </c>
      <c r="K187" s="5">
        <f>_xlfn.XLOOKUP(worksheet!D187,products!$A$1:$A$49,products!$D$1:$D$49,0)</f>
        <v>0.5</v>
      </c>
      <c r="L187" s="6">
        <f>_xlfn.XLOOKUP(worksheet!D187,products!$A$1:$A$49,products!$E$1:$E$49,0)</f>
        <v>7.29</v>
      </c>
      <c r="M187" s="6">
        <f>worksheet!E187*worksheet!L187</f>
        <v>36.450000000000003</v>
      </c>
      <c r="N187" t="str">
        <f t="shared" si="4"/>
        <v>Excelsa</v>
      </c>
      <c r="O187" t="str">
        <f t="shared" si="5"/>
        <v>Dark</v>
      </c>
      <c r="P187" t="str">
        <f>_xlfn.XLOOKUP(worksheet[[#This Row],[Customer ID]],customers!$A$1:$A$1001,customers!$I$1:$I$1001,0)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
        <v>1541</v>
      </c>
      <c r="H188" s="2" t="str">
        <f>_xlfn.XLOOKUP(C188,customers!$A$1:$A$1001,customers!$G$1:$G$1001,0)</f>
        <v>United States</v>
      </c>
      <c r="I188" t="str">
        <f>_xlfn.XLOOKUP(D188,products!$A$1:$A$49,products!$B$1:$B$49,0)</f>
        <v>Rob</v>
      </c>
      <c r="J188" t="str">
        <f>_xlfn.XLOOKUP(worksheet!D188,products!$A$1:$A$49,products!$C$1:$C$49,0)</f>
        <v>M</v>
      </c>
      <c r="K188" s="5">
        <f>_xlfn.XLOOKUP(worksheet!D188,products!$A$1:$A$49,products!$D$1:$D$49,0)</f>
        <v>2.5</v>
      </c>
      <c r="L188" s="6">
        <f>_xlfn.XLOOKUP(worksheet!D188,products!$A$1:$A$49,products!$E$1:$E$49,0)</f>
        <v>22.884999999999998</v>
      </c>
      <c r="M188" s="6">
        <f>worksheet!E188*worksheet!L188</f>
        <v>68.655000000000001</v>
      </c>
      <c r="N188" t="str">
        <f t="shared" si="4"/>
        <v>Robusta</v>
      </c>
      <c r="O188" t="str">
        <f t="shared" si="5"/>
        <v>Medium</v>
      </c>
      <c r="P188" t="str">
        <f>_xlfn.XLOOKUP(worksheet[[#This Row],[Customer ID]],customers!$A$1:$A$1001,customers!$I$1:$I$1001,0)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
        <v>1547</v>
      </c>
      <c r="H189" s="2" t="str">
        <f>_xlfn.XLOOKUP(C189,customers!$A$1:$A$1001,customers!$G$1:$G$1001,0)</f>
        <v>United States</v>
      </c>
      <c r="I189" t="str">
        <f>_xlfn.XLOOKUP(D189,products!$A$1:$A$49,products!$B$1:$B$49,0)</f>
        <v>Lib</v>
      </c>
      <c r="J189" t="str">
        <f>_xlfn.XLOOKUP(worksheet!D189,products!$A$1:$A$49,products!$C$1:$C$49,0)</f>
        <v>M</v>
      </c>
      <c r="K189" s="5">
        <f>_xlfn.XLOOKUP(worksheet!D189,products!$A$1:$A$49,products!$D$1:$D$49,0)</f>
        <v>0.5</v>
      </c>
      <c r="L189" s="6">
        <f>_xlfn.XLOOKUP(worksheet!D189,products!$A$1:$A$49,products!$E$1:$E$49,0)</f>
        <v>8.73</v>
      </c>
      <c r="M189" s="6">
        <f>worksheet!E189*worksheet!L189</f>
        <v>43.650000000000006</v>
      </c>
      <c r="N189" t="str">
        <f t="shared" si="4"/>
        <v>Liberica</v>
      </c>
      <c r="O189" t="str">
        <f t="shared" si="5"/>
        <v>Medium</v>
      </c>
      <c r="P189" t="str">
        <f>_xlfn.XLOOKUP(worksheet[[#This Row],[Customer ID]],customers!$A$1:$A$1001,customers!$I$1:$I$1001,0)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
        <v>1552</v>
      </c>
      <c r="H190" s="2" t="str">
        <f>_xlfn.XLOOKUP(C190,customers!$A$1:$A$1001,customers!$G$1:$G$1001,0)</f>
        <v>United States</v>
      </c>
      <c r="I190" t="str">
        <f>_xlfn.XLOOKUP(D190,products!$A$1:$A$49,products!$B$1:$B$49,0)</f>
        <v>Exc</v>
      </c>
      <c r="J190" t="str">
        <f>_xlfn.XLOOKUP(worksheet!D190,products!$A$1:$A$49,products!$C$1:$C$49,0)</f>
        <v>L</v>
      </c>
      <c r="K190" s="5">
        <f>_xlfn.XLOOKUP(worksheet!D190,products!$A$1:$A$49,products!$D$1:$D$49,0)</f>
        <v>0.2</v>
      </c>
      <c r="L190" s="6">
        <f>_xlfn.XLOOKUP(worksheet!D190,products!$A$1:$A$49,products!$E$1:$E$49,0)</f>
        <v>4.4550000000000001</v>
      </c>
      <c r="M190" s="6">
        <f>worksheet!E190*worksheet!L190</f>
        <v>4.4550000000000001</v>
      </c>
      <c r="N190" t="str">
        <f t="shared" si="4"/>
        <v>Excelsa</v>
      </c>
      <c r="O190" t="str">
        <f t="shared" si="5"/>
        <v>Light</v>
      </c>
      <c r="P190" t="str">
        <f>_xlfn.XLOOKUP(worksheet[[#This Row],[Customer ID]],customers!$A$1:$A$1001,customers!$I$1:$I$1001,0)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
        <v>1558</v>
      </c>
      <c r="H191" s="2" t="str">
        <f>_xlfn.XLOOKUP(C191,customers!$A$1:$A$1001,customers!$G$1:$G$1001,0)</f>
        <v>United States</v>
      </c>
      <c r="I191" t="str">
        <f>_xlfn.XLOOKUP(D191,products!$A$1:$A$49,products!$B$1:$B$49,0)</f>
        <v>Lib</v>
      </c>
      <c r="J191" t="str">
        <f>_xlfn.XLOOKUP(worksheet!D191,products!$A$1:$A$49,products!$C$1:$C$49,0)</f>
        <v>M</v>
      </c>
      <c r="K191" s="5">
        <f>_xlfn.XLOOKUP(worksheet!D191,products!$A$1:$A$49,products!$D$1:$D$49,0)</f>
        <v>1</v>
      </c>
      <c r="L191" s="6">
        <f>_xlfn.XLOOKUP(worksheet!D191,products!$A$1:$A$49,products!$E$1:$E$49,0)</f>
        <v>14.55</v>
      </c>
      <c r="M191" s="6">
        <f>worksheet!E191*worksheet!L191</f>
        <v>43.650000000000006</v>
      </c>
      <c r="N191" t="str">
        <f t="shared" si="4"/>
        <v>Liberica</v>
      </c>
      <c r="O191" t="str">
        <f t="shared" si="5"/>
        <v>Medium</v>
      </c>
      <c r="P191" t="str">
        <f>_xlfn.XLOOKUP(worksheet[[#This Row],[Customer ID]],customers!$A$1:$A$1001,customers!$I$1:$I$1001,0)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
        <v>1564</v>
      </c>
      <c r="H192" s="2" t="str">
        <f>_xlfn.XLOOKUP(C192,customers!$A$1:$A$1001,customers!$G$1:$G$1001,0)</f>
        <v>United States</v>
      </c>
      <c r="I192" t="str">
        <f>_xlfn.XLOOKUP(D192,products!$A$1:$A$49,products!$B$1:$B$49,0)</f>
        <v>Lib</v>
      </c>
      <c r="J192" t="str">
        <f>_xlfn.XLOOKUP(worksheet!D192,products!$A$1:$A$49,products!$C$1:$C$49,0)</f>
        <v>M</v>
      </c>
      <c r="K192" s="5">
        <f>_xlfn.XLOOKUP(worksheet!D192,products!$A$1:$A$49,products!$D$1:$D$49,0)</f>
        <v>2.5</v>
      </c>
      <c r="L192" s="6">
        <f>_xlfn.XLOOKUP(worksheet!D192,products!$A$1:$A$49,products!$E$1:$E$49,0)</f>
        <v>33.464999999999996</v>
      </c>
      <c r="M192" s="6">
        <f>worksheet!E192*worksheet!L192</f>
        <v>33.464999999999996</v>
      </c>
      <c r="N192" t="str">
        <f t="shared" si="4"/>
        <v>Liberica</v>
      </c>
      <c r="O192" t="str">
        <f t="shared" si="5"/>
        <v>Medium</v>
      </c>
      <c r="P192" t="str">
        <f>_xlfn.XLOOKUP(worksheet[[#This Row],[Customer ID]],customers!$A$1:$A$1001,customers!$I$1:$I$1001,0)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
        <v>1570</v>
      </c>
      <c r="H193" s="2" t="str">
        <f>_xlfn.XLOOKUP(C193,customers!$A$1:$A$1001,customers!$G$1:$G$1001,0)</f>
        <v>United States</v>
      </c>
      <c r="I193" t="str">
        <f>_xlfn.XLOOKUP(D193,products!$A$1:$A$49,products!$B$1:$B$49,0)</f>
        <v>Lib</v>
      </c>
      <c r="J193" t="str">
        <f>_xlfn.XLOOKUP(worksheet!D193,products!$A$1:$A$49,products!$C$1:$C$49,0)</f>
        <v>D</v>
      </c>
      <c r="K193" s="5">
        <f>_xlfn.XLOOKUP(worksheet!D193,products!$A$1:$A$49,products!$D$1:$D$49,0)</f>
        <v>0.2</v>
      </c>
      <c r="L193" s="6">
        <f>_xlfn.XLOOKUP(worksheet!D193,products!$A$1:$A$49,products!$E$1:$E$49,0)</f>
        <v>3.8849999999999998</v>
      </c>
      <c r="M193" s="6">
        <f>worksheet!E193*worksheet!L193</f>
        <v>19.424999999999997</v>
      </c>
      <c r="N193" t="str">
        <f t="shared" si="4"/>
        <v>Liberica</v>
      </c>
      <c r="O193" t="str">
        <f t="shared" si="5"/>
        <v>Dark</v>
      </c>
      <c r="P193" t="str">
        <f>_xlfn.XLOOKUP(worksheet[[#This Row],[Customer ID]],customers!$A$1:$A$1001,customers!$I$1:$I$1001,0)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
        <v>1576</v>
      </c>
      <c r="H194" s="2" t="str">
        <f>_xlfn.XLOOKUP(C194,customers!$A$1:$A$1001,customers!$G$1:$G$1001,0)</f>
        <v>Ireland</v>
      </c>
      <c r="I194" t="str">
        <f>_xlfn.XLOOKUP(D194,products!$A$1:$A$49,products!$B$1:$B$49,0)</f>
        <v>Exc</v>
      </c>
      <c r="J194" t="str">
        <f>_xlfn.XLOOKUP(worksheet!D194,products!$A$1:$A$49,products!$C$1:$C$49,0)</f>
        <v>D</v>
      </c>
      <c r="K194" s="5">
        <f>_xlfn.XLOOKUP(worksheet!D194,products!$A$1:$A$49,products!$D$1:$D$49,0)</f>
        <v>1</v>
      </c>
      <c r="L194" s="6">
        <f>_xlfn.XLOOKUP(worksheet!D194,products!$A$1:$A$49,products!$E$1:$E$49,0)</f>
        <v>12.15</v>
      </c>
      <c r="M194" s="6">
        <f>worksheet!E194*worksheet!L194</f>
        <v>72.900000000000006</v>
      </c>
      <c r="N194" t="str">
        <f t="shared" si="4"/>
        <v>Excelsa</v>
      </c>
      <c r="O194" t="str">
        <f t="shared" si="5"/>
        <v>Dark</v>
      </c>
      <c r="P194" t="str">
        <f>_xlfn.XLOOKUP(worksheet[[#This Row],[Customer ID]],customers!$A$1:$A$1001,customers!$I$1:$I$1001,0)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
        <v>6222</v>
      </c>
      <c r="H195" s="2" t="str">
        <f>_xlfn.XLOOKUP(C195,customers!$A$1:$A$1001,customers!$G$1:$G$1001,0)</f>
        <v>United States</v>
      </c>
      <c r="I195" t="str">
        <f>_xlfn.XLOOKUP(D195,products!$A$1:$A$49,products!$B$1:$B$49,0)</f>
        <v>Exc</v>
      </c>
      <c r="J195" t="str">
        <f>_xlfn.XLOOKUP(worksheet!D195,products!$A$1:$A$49,products!$C$1:$C$49,0)</f>
        <v>L</v>
      </c>
      <c r="K195" s="5">
        <f>_xlfn.XLOOKUP(worksheet!D195,products!$A$1:$A$49,products!$D$1:$D$49,0)</f>
        <v>1</v>
      </c>
      <c r="L195" s="6">
        <f>_xlfn.XLOOKUP(worksheet!D195,products!$A$1:$A$49,products!$E$1:$E$49,0)</f>
        <v>14.85</v>
      </c>
      <c r="M195" s="6">
        <f>worksheet!E195*worksheet!L195</f>
        <v>44.55</v>
      </c>
      <c r="N195" t="str">
        <f t="shared" ref="N195:N258" si="6">IF(I195="Rob","Robusta",IF(I195="Exc","Excelsa",IF(I195="Ara","Arabica",IF(I195="Lib","Liberica",""))))</f>
        <v>Excelsa</v>
      </c>
      <c r="O195" t="str">
        <f t="shared" ref="O195:O258" si="7">IF(J195="M","Medium",IF(J195="L","Light",IF(J195="D","Dark","")))</f>
        <v>Light</v>
      </c>
      <c r="P195" t="str">
        <f>_xlfn.XLOOKUP(worksheet[[#This Row],[Customer ID]],customers!$A$1:$A$1001,customers!$I$1:$I$1001,0)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
        <v>1587</v>
      </c>
      <c r="H196" s="2" t="str">
        <f>_xlfn.XLOOKUP(C196,customers!$A$1:$A$1001,customers!$G$1:$G$1001,0)</f>
        <v>United States</v>
      </c>
      <c r="I196" t="str">
        <f>_xlfn.XLOOKUP(D196,products!$A$1:$A$49,products!$B$1:$B$49,0)</f>
        <v>Exc</v>
      </c>
      <c r="J196" t="str">
        <f>_xlfn.XLOOKUP(worksheet!D196,products!$A$1:$A$49,products!$C$1:$C$49,0)</f>
        <v>D</v>
      </c>
      <c r="K196" s="5">
        <f>_xlfn.XLOOKUP(worksheet!D196,products!$A$1:$A$49,products!$D$1:$D$49,0)</f>
        <v>0.5</v>
      </c>
      <c r="L196" s="6">
        <f>_xlfn.XLOOKUP(worksheet!D196,products!$A$1:$A$49,products!$E$1:$E$49,0)</f>
        <v>7.29</v>
      </c>
      <c r="M196" s="6">
        <f>worksheet!E196*worksheet!L196</f>
        <v>36.450000000000003</v>
      </c>
      <c r="N196" t="str">
        <f t="shared" si="6"/>
        <v>Excelsa</v>
      </c>
      <c r="O196" t="str">
        <f t="shared" si="7"/>
        <v>Dark</v>
      </c>
      <c r="P196" t="str">
        <f>_xlfn.XLOOKUP(worksheet[[#This Row],[Customer ID]],customers!$A$1:$A$1001,customers!$I$1:$I$1001,0)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
        <v>1593</v>
      </c>
      <c r="H197" s="2" t="str">
        <f>_xlfn.XLOOKUP(C197,customers!$A$1:$A$1001,customers!$G$1:$G$1001,0)</f>
        <v>United States</v>
      </c>
      <c r="I197" t="str">
        <f>_xlfn.XLOOKUP(D197,products!$A$1:$A$49,products!$B$1:$B$49,0)</f>
        <v>Ara</v>
      </c>
      <c r="J197" t="str">
        <f>_xlfn.XLOOKUP(worksheet!D197,products!$A$1:$A$49,products!$C$1:$C$49,0)</f>
        <v>L</v>
      </c>
      <c r="K197" s="5">
        <f>_xlfn.XLOOKUP(worksheet!D197,products!$A$1:$A$49,products!$D$1:$D$49,0)</f>
        <v>1</v>
      </c>
      <c r="L197" s="6">
        <f>_xlfn.XLOOKUP(worksheet!D197,products!$A$1:$A$49,products!$E$1:$E$49,0)</f>
        <v>12.95</v>
      </c>
      <c r="M197" s="6">
        <f>worksheet!E197*worksheet!L197</f>
        <v>38.849999999999994</v>
      </c>
      <c r="N197" t="str">
        <f t="shared" si="6"/>
        <v>Arabica</v>
      </c>
      <c r="O197" t="str">
        <f t="shared" si="7"/>
        <v>Light</v>
      </c>
      <c r="P197" t="str">
        <f>_xlfn.XLOOKUP(worksheet[[#This Row],[Customer ID]],customers!$A$1:$A$1001,customers!$I$1:$I$1001,0)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
        <v>1599</v>
      </c>
      <c r="H198" s="2" t="str">
        <f>_xlfn.XLOOKUP(C198,customers!$A$1:$A$1001,customers!$G$1:$G$1001,0)</f>
        <v>United States</v>
      </c>
      <c r="I198" t="str">
        <f>_xlfn.XLOOKUP(D198,products!$A$1:$A$49,products!$B$1:$B$49,0)</f>
        <v>Exc</v>
      </c>
      <c r="J198" t="str">
        <f>_xlfn.XLOOKUP(worksheet!D198,products!$A$1:$A$49,products!$C$1:$C$49,0)</f>
        <v>L</v>
      </c>
      <c r="K198" s="5">
        <f>_xlfn.XLOOKUP(worksheet!D198,products!$A$1:$A$49,products!$D$1:$D$49,0)</f>
        <v>0.5</v>
      </c>
      <c r="L198" s="6">
        <f>_xlfn.XLOOKUP(worksheet!D198,products!$A$1:$A$49,products!$E$1:$E$49,0)</f>
        <v>8.91</v>
      </c>
      <c r="M198" s="6">
        <f>worksheet!E198*worksheet!L198</f>
        <v>53.46</v>
      </c>
      <c r="N198" t="str">
        <f t="shared" si="6"/>
        <v>Excelsa</v>
      </c>
      <c r="O198" t="str">
        <f t="shared" si="7"/>
        <v>Light</v>
      </c>
      <c r="P198" t="str">
        <f>_xlfn.XLOOKUP(worksheet[[#This Row],[Customer ID]],customers!$A$1:$A$1001,customers!$I$1:$I$1001,0)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
        <v>1599</v>
      </c>
      <c r="H199" s="2" t="str">
        <f>_xlfn.XLOOKUP(C199,customers!$A$1:$A$1001,customers!$G$1:$G$1001,0)</f>
        <v>United States</v>
      </c>
      <c r="I199" t="str">
        <f>_xlfn.XLOOKUP(D199,products!$A$1:$A$49,products!$B$1:$B$49,0)</f>
        <v>Lib</v>
      </c>
      <c r="J199" t="str">
        <f>_xlfn.XLOOKUP(worksheet!D199,products!$A$1:$A$49,products!$C$1:$C$49,0)</f>
        <v>D</v>
      </c>
      <c r="K199" s="5">
        <f>_xlfn.XLOOKUP(worksheet!D199,products!$A$1:$A$49,products!$D$1:$D$49,0)</f>
        <v>2.5</v>
      </c>
      <c r="L199" s="6">
        <f>_xlfn.XLOOKUP(worksheet!D199,products!$A$1:$A$49,products!$E$1:$E$49,0)</f>
        <v>29.784999999999997</v>
      </c>
      <c r="M199" s="6">
        <f>worksheet!E199*worksheet!L199</f>
        <v>59.569999999999993</v>
      </c>
      <c r="N199" t="str">
        <f t="shared" si="6"/>
        <v>Liberica</v>
      </c>
      <c r="O199" t="str">
        <f t="shared" si="7"/>
        <v>Dark</v>
      </c>
      <c r="P199" t="str">
        <f>_xlfn.XLOOKUP(worksheet[[#This Row],[Customer ID]],customers!$A$1:$A$1001,customers!$I$1:$I$1001,0)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
        <v>1599</v>
      </c>
      <c r="H200" s="2" t="str">
        <f>_xlfn.XLOOKUP(C200,customers!$A$1:$A$1001,customers!$G$1:$G$1001,0)</f>
        <v>United States</v>
      </c>
      <c r="I200" t="str">
        <f>_xlfn.XLOOKUP(D200,products!$A$1:$A$49,products!$B$1:$B$49,0)</f>
        <v>Lib</v>
      </c>
      <c r="J200" t="str">
        <f>_xlfn.XLOOKUP(worksheet!D200,products!$A$1:$A$49,products!$C$1:$C$49,0)</f>
        <v>D</v>
      </c>
      <c r="K200" s="5">
        <f>_xlfn.XLOOKUP(worksheet!D200,products!$A$1:$A$49,products!$D$1:$D$49,0)</f>
        <v>2.5</v>
      </c>
      <c r="L200" s="6">
        <f>_xlfn.XLOOKUP(worksheet!D200,products!$A$1:$A$49,products!$E$1:$E$49,0)</f>
        <v>29.784999999999997</v>
      </c>
      <c r="M200" s="6">
        <f>worksheet!E200*worksheet!L200</f>
        <v>89.35499999999999</v>
      </c>
      <c r="N200" t="str">
        <f t="shared" si="6"/>
        <v>Liberica</v>
      </c>
      <c r="O200" t="str">
        <f t="shared" si="7"/>
        <v>Dark</v>
      </c>
      <c r="P200" t="str">
        <f>_xlfn.XLOOKUP(worksheet[[#This Row],[Customer ID]],customers!$A$1:$A$1001,customers!$I$1:$I$1001,0)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
        <v>1599</v>
      </c>
      <c r="H201" s="2" t="str">
        <f>_xlfn.XLOOKUP(C201,customers!$A$1:$A$1001,customers!$G$1:$G$1001,0)</f>
        <v>United States</v>
      </c>
      <c r="I201" t="str">
        <f>_xlfn.XLOOKUP(D201,products!$A$1:$A$49,products!$B$1:$B$49,0)</f>
        <v>Lib</v>
      </c>
      <c r="J201" t="str">
        <f>_xlfn.XLOOKUP(worksheet!D201,products!$A$1:$A$49,products!$C$1:$C$49,0)</f>
        <v>L</v>
      </c>
      <c r="K201" s="5">
        <f>_xlfn.XLOOKUP(worksheet!D201,products!$A$1:$A$49,products!$D$1:$D$49,0)</f>
        <v>0.5</v>
      </c>
      <c r="L201" s="6">
        <f>_xlfn.XLOOKUP(worksheet!D201,products!$A$1:$A$49,products!$E$1:$E$49,0)</f>
        <v>9.51</v>
      </c>
      <c r="M201" s="6">
        <f>worksheet!E201*worksheet!L201</f>
        <v>38.04</v>
      </c>
      <c r="N201" t="str">
        <f t="shared" si="6"/>
        <v>Liberica</v>
      </c>
      <c r="O201" t="str">
        <f t="shared" si="7"/>
        <v>Light</v>
      </c>
      <c r="P201" t="str">
        <f>_xlfn.XLOOKUP(worksheet[[#This Row],[Customer ID]],customers!$A$1:$A$1001,customers!$I$1:$I$1001,0)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
        <v>1599</v>
      </c>
      <c r="H202" s="2" t="str">
        <f>_xlfn.XLOOKUP(C202,customers!$A$1:$A$1001,customers!$G$1:$G$1001,0)</f>
        <v>United States</v>
      </c>
      <c r="I202" t="str">
        <f>_xlfn.XLOOKUP(D202,products!$A$1:$A$49,products!$B$1:$B$49,0)</f>
        <v>Exc</v>
      </c>
      <c r="J202" t="str">
        <f>_xlfn.XLOOKUP(worksheet!D202,products!$A$1:$A$49,products!$C$1:$C$49,0)</f>
        <v>M</v>
      </c>
      <c r="K202" s="5">
        <f>_xlfn.XLOOKUP(worksheet!D202,products!$A$1:$A$49,products!$D$1:$D$49,0)</f>
        <v>1</v>
      </c>
      <c r="L202" s="6">
        <f>_xlfn.XLOOKUP(worksheet!D202,products!$A$1:$A$49,products!$E$1:$E$49,0)</f>
        <v>13.75</v>
      </c>
      <c r="M202" s="6">
        <f>worksheet!E202*worksheet!L202</f>
        <v>41.25</v>
      </c>
      <c r="N202" t="str">
        <f t="shared" si="6"/>
        <v>Excelsa</v>
      </c>
      <c r="O202" t="str">
        <f t="shared" si="7"/>
        <v>Medium</v>
      </c>
      <c r="P202" t="str">
        <f>_xlfn.XLOOKUP(worksheet[[#This Row],[Customer ID]],customers!$A$1:$A$1001,customers!$I$1:$I$1001,0)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
        <v>6222</v>
      </c>
      <c r="H203" s="2" t="str">
        <f>_xlfn.XLOOKUP(C203,customers!$A$1:$A$1001,customers!$G$1:$G$1001,0)</f>
        <v>United States</v>
      </c>
      <c r="I203" t="str">
        <f>_xlfn.XLOOKUP(D203,products!$A$1:$A$49,products!$B$1:$B$49,0)</f>
        <v>Lib</v>
      </c>
      <c r="J203" t="str">
        <f>_xlfn.XLOOKUP(worksheet!D203,products!$A$1:$A$49,products!$C$1:$C$49,0)</f>
        <v>L</v>
      </c>
      <c r="K203" s="5">
        <f>_xlfn.XLOOKUP(worksheet!D203,products!$A$1:$A$49,products!$D$1:$D$49,0)</f>
        <v>0.5</v>
      </c>
      <c r="L203" s="6">
        <f>_xlfn.XLOOKUP(worksheet!D203,products!$A$1:$A$49,products!$E$1:$E$49,0)</f>
        <v>9.51</v>
      </c>
      <c r="M203" s="6">
        <f>worksheet!E203*worksheet!L203</f>
        <v>57.06</v>
      </c>
      <c r="N203" t="str">
        <f t="shared" si="6"/>
        <v>Liberica</v>
      </c>
      <c r="O203" t="str">
        <f t="shared" si="7"/>
        <v>Light</v>
      </c>
      <c r="P203" t="str">
        <f>_xlfn.XLOOKUP(worksheet[[#This Row],[Customer ID]],customers!$A$1:$A$1001,customers!$I$1:$I$1001,0)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
        <v>1629</v>
      </c>
      <c r="H204" s="2" t="str">
        <f>_xlfn.XLOOKUP(C204,customers!$A$1:$A$1001,customers!$G$1:$G$1001,0)</f>
        <v>United States</v>
      </c>
      <c r="I204" t="str">
        <f>_xlfn.XLOOKUP(D204,products!$A$1:$A$49,products!$B$1:$B$49,0)</f>
        <v>Lib</v>
      </c>
      <c r="J204" t="str">
        <f>_xlfn.XLOOKUP(worksheet!D204,products!$A$1:$A$49,products!$C$1:$C$49,0)</f>
        <v>D</v>
      </c>
      <c r="K204" s="5">
        <f>_xlfn.XLOOKUP(worksheet!D204,products!$A$1:$A$49,products!$D$1:$D$49,0)</f>
        <v>2.5</v>
      </c>
      <c r="L204" s="6">
        <f>_xlfn.XLOOKUP(worksheet!D204,products!$A$1:$A$49,products!$E$1:$E$49,0)</f>
        <v>29.784999999999997</v>
      </c>
      <c r="M204" s="6">
        <f>worksheet!E204*worksheet!L204</f>
        <v>178.70999999999998</v>
      </c>
      <c r="N204" t="str">
        <f t="shared" si="6"/>
        <v>Liberica</v>
      </c>
      <c r="O204" t="str">
        <f t="shared" si="7"/>
        <v>Dark</v>
      </c>
      <c r="P204" t="str">
        <f>_xlfn.XLOOKUP(worksheet[[#This Row],[Customer ID]],customers!$A$1:$A$1001,customers!$I$1:$I$1001,0)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
        <v>1635</v>
      </c>
      <c r="H205" s="2" t="str">
        <f>_xlfn.XLOOKUP(C205,customers!$A$1:$A$1001,customers!$G$1:$G$1001,0)</f>
        <v>United States</v>
      </c>
      <c r="I205" t="str">
        <f>_xlfn.XLOOKUP(D205,products!$A$1:$A$49,products!$B$1:$B$49,0)</f>
        <v>Lib</v>
      </c>
      <c r="J205" t="str">
        <f>_xlfn.XLOOKUP(worksheet!D205,products!$A$1:$A$49,products!$C$1:$C$49,0)</f>
        <v>L</v>
      </c>
      <c r="K205" s="5">
        <f>_xlfn.XLOOKUP(worksheet!D205,products!$A$1:$A$49,products!$D$1:$D$49,0)</f>
        <v>0.2</v>
      </c>
      <c r="L205" s="6">
        <f>_xlfn.XLOOKUP(worksheet!D205,products!$A$1:$A$49,products!$E$1:$E$49,0)</f>
        <v>4.7549999999999999</v>
      </c>
      <c r="M205" s="6">
        <f>worksheet!E205*worksheet!L205</f>
        <v>4.7549999999999999</v>
      </c>
      <c r="N205" t="str">
        <f t="shared" si="6"/>
        <v>Liberica</v>
      </c>
      <c r="O205" t="str">
        <f t="shared" si="7"/>
        <v>Light</v>
      </c>
      <c r="P205" t="str">
        <f>_xlfn.XLOOKUP(worksheet[[#This Row],[Customer ID]],customers!$A$1:$A$1001,customers!$I$1:$I$1001,0)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
        <v>6222</v>
      </c>
      <c r="H206" s="2" t="str">
        <f>_xlfn.XLOOKUP(C206,customers!$A$1:$A$1001,customers!$G$1:$G$1001,0)</f>
        <v>United States</v>
      </c>
      <c r="I206" t="str">
        <f>_xlfn.XLOOKUP(D206,products!$A$1:$A$49,products!$B$1:$B$49,0)</f>
        <v>Exc</v>
      </c>
      <c r="J206" t="str">
        <f>_xlfn.XLOOKUP(worksheet!D206,products!$A$1:$A$49,products!$C$1:$C$49,0)</f>
        <v>M</v>
      </c>
      <c r="K206" s="5">
        <f>_xlfn.XLOOKUP(worksheet!D206,products!$A$1:$A$49,products!$D$1:$D$49,0)</f>
        <v>1</v>
      </c>
      <c r="L206" s="6">
        <f>_xlfn.XLOOKUP(worksheet!D206,products!$A$1:$A$49,products!$E$1:$E$49,0)</f>
        <v>13.75</v>
      </c>
      <c r="M206" s="6">
        <f>worksheet!E206*worksheet!L206</f>
        <v>82.5</v>
      </c>
      <c r="N206" t="str">
        <f t="shared" si="6"/>
        <v>Excelsa</v>
      </c>
      <c r="O206" t="str">
        <f t="shared" si="7"/>
        <v>Medium</v>
      </c>
      <c r="P206" t="str">
        <f>_xlfn.XLOOKUP(worksheet[[#This Row],[Customer ID]],customers!$A$1:$A$1001,customers!$I$1:$I$1001,0)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
        <v>6222</v>
      </c>
      <c r="H207" s="2" t="str">
        <f>_xlfn.XLOOKUP(C207,customers!$A$1:$A$1001,customers!$G$1:$G$1001,0)</f>
        <v>United States</v>
      </c>
      <c r="I207" t="str">
        <f>_xlfn.XLOOKUP(D207,products!$A$1:$A$49,products!$B$1:$B$49,0)</f>
        <v>Rob</v>
      </c>
      <c r="J207" t="str">
        <f>_xlfn.XLOOKUP(worksheet!D207,products!$A$1:$A$49,products!$C$1:$C$49,0)</f>
        <v>D</v>
      </c>
      <c r="K207" s="5">
        <f>_xlfn.XLOOKUP(worksheet!D207,products!$A$1:$A$49,products!$D$1:$D$49,0)</f>
        <v>0.2</v>
      </c>
      <c r="L207" s="6">
        <f>_xlfn.XLOOKUP(worksheet!D207,products!$A$1:$A$49,products!$E$1:$E$49,0)</f>
        <v>2.6849999999999996</v>
      </c>
      <c r="M207" s="6">
        <f>worksheet!E207*worksheet!L207</f>
        <v>8.0549999999999997</v>
      </c>
      <c r="N207" t="str">
        <f t="shared" si="6"/>
        <v>Robusta</v>
      </c>
      <c r="O207" t="str">
        <f t="shared" si="7"/>
        <v>Dark</v>
      </c>
      <c r="P207" t="str">
        <f>_xlfn.XLOOKUP(worksheet[[#This Row],[Customer ID]],customers!$A$1:$A$1001,customers!$I$1:$I$1001,0)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
        <v>1651</v>
      </c>
      <c r="H208" s="2" t="str">
        <f>_xlfn.XLOOKUP(C208,customers!$A$1:$A$1001,customers!$G$1:$G$1001,0)</f>
        <v>United States</v>
      </c>
      <c r="I208" t="str">
        <f>_xlfn.XLOOKUP(D208,products!$A$1:$A$49,products!$B$1:$B$49,0)</f>
        <v>Ara</v>
      </c>
      <c r="J208" t="str">
        <f>_xlfn.XLOOKUP(worksheet!D208,products!$A$1:$A$49,products!$C$1:$C$49,0)</f>
        <v>M</v>
      </c>
      <c r="K208" s="5">
        <f>_xlfn.XLOOKUP(worksheet!D208,products!$A$1:$A$49,products!$D$1:$D$49,0)</f>
        <v>1</v>
      </c>
      <c r="L208" s="6">
        <f>_xlfn.XLOOKUP(worksheet!D208,products!$A$1:$A$49,products!$E$1:$E$49,0)</f>
        <v>11.25</v>
      </c>
      <c r="M208" s="6">
        <f>worksheet!E208*worksheet!L208</f>
        <v>22.5</v>
      </c>
      <c r="N208" t="str">
        <f t="shared" si="6"/>
        <v>Arabica</v>
      </c>
      <c r="O208" t="str">
        <f t="shared" si="7"/>
        <v>Medium</v>
      </c>
      <c r="P208" t="str">
        <f>_xlfn.XLOOKUP(worksheet[[#This Row],[Customer ID]],customers!$A$1:$A$1001,customers!$I$1:$I$1001,0)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
        <v>1656</v>
      </c>
      <c r="H209" s="2" t="str">
        <f>_xlfn.XLOOKUP(C209,customers!$A$1:$A$1001,customers!$G$1:$G$1001,0)</f>
        <v>United States</v>
      </c>
      <c r="I209" t="str">
        <f>_xlfn.XLOOKUP(D209,products!$A$1:$A$49,products!$B$1:$B$49,0)</f>
        <v>Ara</v>
      </c>
      <c r="J209" t="str">
        <f>_xlfn.XLOOKUP(worksheet!D209,products!$A$1:$A$49,products!$C$1:$C$49,0)</f>
        <v>M</v>
      </c>
      <c r="K209" s="5">
        <f>_xlfn.XLOOKUP(worksheet!D209,products!$A$1:$A$49,products!$D$1:$D$49,0)</f>
        <v>0.5</v>
      </c>
      <c r="L209" s="6">
        <f>_xlfn.XLOOKUP(worksheet!D209,products!$A$1:$A$49,products!$E$1:$E$49,0)</f>
        <v>6.75</v>
      </c>
      <c r="M209" s="6">
        <f>worksheet!E209*worksheet!L209</f>
        <v>40.5</v>
      </c>
      <c r="N209" t="str">
        <f t="shared" si="6"/>
        <v>Arabica</v>
      </c>
      <c r="O209" t="str">
        <f t="shared" si="7"/>
        <v>Medium</v>
      </c>
      <c r="P209" t="str">
        <f>_xlfn.XLOOKUP(worksheet[[#This Row],[Customer ID]],customers!$A$1:$A$1001,customers!$I$1:$I$1001,0)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
        <v>1662</v>
      </c>
      <c r="H210" s="2" t="str">
        <f>_xlfn.XLOOKUP(C210,customers!$A$1:$A$1001,customers!$G$1:$G$1001,0)</f>
        <v>Ireland</v>
      </c>
      <c r="I210" t="str">
        <f>_xlfn.XLOOKUP(D210,products!$A$1:$A$49,products!$B$1:$B$49,0)</f>
        <v>Exc</v>
      </c>
      <c r="J210" t="str">
        <f>_xlfn.XLOOKUP(worksheet!D210,products!$A$1:$A$49,products!$C$1:$C$49,0)</f>
        <v>D</v>
      </c>
      <c r="K210" s="5">
        <f>_xlfn.XLOOKUP(worksheet!D210,products!$A$1:$A$49,products!$D$1:$D$49,0)</f>
        <v>0.5</v>
      </c>
      <c r="L210" s="6">
        <f>_xlfn.XLOOKUP(worksheet!D210,products!$A$1:$A$49,products!$E$1:$E$49,0)</f>
        <v>7.29</v>
      </c>
      <c r="M210" s="6">
        <f>worksheet!E210*worksheet!L210</f>
        <v>29.16</v>
      </c>
      <c r="N210" t="str">
        <f t="shared" si="6"/>
        <v>Excelsa</v>
      </c>
      <c r="O210" t="str">
        <f t="shared" si="7"/>
        <v>Dark</v>
      </c>
      <c r="P210" t="str">
        <f>_xlfn.XLOOKUP(worksheet[[#This Row],[Customer ID]],customers!$A$1:$A$1001,customers!$I$1:$I$1001,0)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
        <v>1668</v>
      </c>
      <c r="H211" s="2" t="str">
        <f>_xlfn.XLOOKUP(C211,customers!$A$1:$A$1001,customers!$G$1:$G$1001,0)</f>
        <v>United Kingdom</v>
      </c>
      <c r="I211" t="str">
        <f>_xlfn.XLOOKUP(D211,products!$A$1:$A$49,products!$B$1:$B$49,0)</f>
        <v>Ara</v>
      </c>
      <c r="J211" t="str">
        <f>_xlfn.XLOOKUP(worksheet!D211,products!$A$1:$A$49,products!$C$1:$C$49,0)</f>
        <v>M</v>
      </c>
      <c r="K211" s="5">
        <f>_xlfn.XLOOKUP(worksheet!D211,products!$A$1:$A$49,products!$D$1:$D$49,0)</f>
        <v>0.5</v>
      </c>
      <c r="L211" s="6">
        <f>_xlfn.XLOOKUP(worksheet!D211,products!$A$1:$A$49,products!$E$1:$E$49,0)</f>
        <v>6.75</v>
      </c>
      <c r="M211" s="6">
        <f>worksheet!E211*worksheet!L211</f>
        <v>6.75</v>
      </c>
      <c r="N211" t="str">
        <f t="shared" si="6"/>
        <v>Arabica</v>
      </c>
      <c r="O211" t="str">
        <f t="shared" si="7"/>
        <v>Medium</v>
      </c>
      <c r="P211" t="str">
        <f>_xlfn.XLOOKUP(worksheet[[#This Row],[Customer ID]],customers!$A$1:$A$1001,customers!$I$1:$I$1001,0)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
        <v>1674</v>
      </c>
      <c r="H212" s="2" t="str">
        <f>_xlfn.XLOOKUP(C212,customers!$A$1:$A$1001,customers!$G$1:$G$1001,0)</f>
        <v>United States</v>
      </c>
      <c r="I212" t="str">
        <f>_xlfn.XLOOKUP(D212,products!$A$1:$A$49,products!$B$1:$B$49,0)</f>
        <v>Lib</v>
      </c>
      <c r="J212" t="str">
        <f>_xlfn.XLOOKUP(worksheet!D212,products!$A$1:$A$49,products!$C$1:$C$49,0)</f>
        <v>D</v>
      </c>
      <c r="K212" s="5">
        <f>_xlfn.XLOOKUP(worksheet!D212,products!$A$1:$A$49,products!$D$1:$D$49,0)</f>
        <v>1</v>
      </c>
      <c r="L212" s="6">
        <f>_xlfn.XLOOKUP(worksheet!D212,products!$A$1:$A$49,products!$E$1:$E$49,0)</f>
        <v>12.95</v>
      </c>
      <c r="M212" s="6">
        <f>worksheet!E212*worksheet!L212</f>
        <v>51.8</v>
      </c>
      <c r="N212" t="str">
        <f t="shared" si="6"/>
        <v>Liberica</v>
      </c>
      <c r="O212" t="str">
        <f t="shared" si="7"/>
        <v>Dark</v>
      </c>
      <c r="P212" t="str">
        <f>_xlfn.XLOOKUP(worksheet[[#This Row],[Customer ID]],customers!$A$1:$A$1001,customers!$I$1:$I$1001,0)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
        <v>1680</v>
      </c>
      <c r="H213" s="2" t="str">
        <f>_xlfn.XLOOKUP(C213,customers!$A$1:$A$1001,customers!$G$1:$G$1001,0)</f>
        <v>United States</v>
      </c>
      <c r="I213" t="str">
        <f>_xlfn.XLOOKUP(D213,products!$A$1:$A$49,products!$B$1:$B$49,0)</f>
        <v>Exc</v>
      </c>
      <c r="J213" t="str">
        <f>_xlfn.XLOOKUP(worksheet!D213,products!$A$1:$A$49,products!$C$1:$C$49,0)</f>
        <v>L</v>
      </c>
      <c r="K213" s="5">
        <f>_xlfn.XLOOKUP(worksheet!D213,products!$A$1:$A$49,products!$D$1:$D$49,0)</f>
        <v>0.5</v>
      </c>
      <c r="L213" s="6">
        <f>_xlfn.XLOOKUP(worksheet!D213,products!$A$1:$A$49,products!$E$1:$E$49,0)</f>
        <v>8.91</v>
      </c>
      <c r="M213" s="6">
        <f>worksheet!E213*worksheet!L213</f>
        <v>53.46</v>
      </c>
      <c r="N213" t="str">
        <f t="shared" si="6"/>
        <v>Excelsa</v>
      </c>
      <c r="O213" t="str">
        <f t="shared" si="7"/>
        <v>Light</v>
      </c>
      <c r="P213" t="str">
        <f>_xlfn.XLOOKUP(worksheet[[#This Row],[Customer ID]],customers!$A$1:$A$1001,customers!$I$1:$I$1001,0)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
        <v>1685</v>
      </c>
      <c r="H214" s="2" t="str">
        <f>_xlfn.XLOOKUP(C214,customers!$A$1:$A$1001,customers!$G$1:$G$1001,0)</f>
        <v>United States</v>
      </c>
      <c r="I214" t="str">
        <f>_xlfn.XLOOKUP(D214,products!$A$1:$A$49,products!$B$1:$B$49,0)</f>
        <v>Exc</v>
      </c>
      <c r="J214" t="str">
        <f>_xlfn.XLOOKUP(worksheet!D214,products!$A$1:$A$49,products!$C$1:$C$49,0)</f>
        <v>D</v>
      </c>
      <c r="K214" s="5">
        <f>_xlfn.XLOOKUP(worksheet!D214,products!$A$1:$A$49,products!$D$1:$D$49,0)</f>
        <v>0.2</v>
      </c>
      <c r="L214" s="6">
        <f>_xlfn.XLOOKUP(worksheet!D214,products!$A$1:$A$49,products!$E$1:$E$49,0)</f>
        <v>3.645</v>
      </c>
      <c r="M214" s="6">
        <f>worksheet!E214*worksheet!L214</f>
        <v>14.58</v>
      </c>
      <c r="N214" t="str">
        <f t="shared" si="6"/>
        <v>Excelsa</v>
      </c>
      <c r="O214" t="str">
        <f t="shared" si="7"/>
        <v>Dark</v>
      </c>
      <c r="P214" t="str">
        <f>_xlfn.XLOOKUP(worksheet[[#This Row],[Customer ID]],customers!$A$1:$A$1001,customers!$I$1:$I$1001,0)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
        <v>1691</v>
      </c>
      <c r="H215" s="2" t="str">
        <f>_xlfn.XLOOKUP(C215,customers!$A$1:$A$1001,customers!$G$1:$G$1001,0)</f>
        <v>United States</v>
      </c>
      <c r="I215" t="str">
        <f>_xlfn.XLOOKUP(D215,products!$A$1:$A$49,products!$B$1:$B$49,0)</f>
        <v>Rob</v>
      </c>
      <c r="J215" t="str">
        <f>_xlfn.XLOOKUP(worksheet!D215,products!$A$1:$A$49,products!$C$1:$C$49,0)</f>
        <v>D</v>
      </c>
      <c r="K215" s="5">
        <f>_xlfn.XLOOKUP(worksheet!D215,products!$A$1:$A$49,products!$D$1:$D$49,0)</f>
        <v>2.5</v>
      </c>
      <c r="L215" s="6">
        <f>_xlfn.XLOOKUP(worksheet!D215,products!$A$1:$A$49,products!$E$1:$E$49,0)</f>
        <v>20.584999999999997</v>
      </c>
      <c r="M215" s="6">
        <f>worksheet!E215*worksheet!L215</f>
        <v>20.584999999999997</v>
      </c>
      <c r="N215" t="str">
        <f t="shared" si="6"/>
        <v>Robusta</v>
      </c>
      <c r="O215" t="str">
        <f t="shared" si="7"/>
        <v>Dark</v>
      </c>
      <c r="P215" t="str">
        <f>_xlfn.XLOOKUP(worksheet[[#This Row],[Customer ID]],customers!$A$1:$A$1001,customers!$I$1:$I$1001,0)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
        <v>1697</v>
      </c>
      <c r="H216" s="2" t="str">
        <f>_xlfn.XLOOKUP(C216,customers!$A$1:$A$1001,customers!$G$1:$G$1001,0)</f>
        <v>Ireland</v>
      </c>
      <c r="I216" t="str">
        <f>_xlfn.XLOOKUP(D216,products!$A$1:$A$49,products!$B$1:$B$49,0)</f>
        <v>Lib</v>
      </c>
      <c r="J216" t="str">
        <f>_xlfn.XLOOKUP(worksheet!D216,products!$A$1:$A$49,products!$C$1:$C$49,0)</f>
        <v>L</v>
      </c>
      <c r="K216" s="5">
        <f>_xlfn.XLOOKUP(worksheet!D216,products!$A$1:$A$49,products!$D$1:$D$49,0)</f>
        <v>1</v>
      </c>
      <c r="L216" s="6">
        <f>_xlfn.XLOOKUP(worksheet!D216,products!$A$1:$A$49,products!$E$1:$E$49,0)</f>
        <v>15.85</v>
      </c>
      <c r="M216" s="6">
        <f>worksheet!E216*worksheet!L216</f>
        <v>31.7</v>
      </c>
      <c r="N216" t="str">
        <f t="shared" si="6"/>
        <v>Liberica</v>
      </c>
      <c r="O216" t="str">
        <f t="shared" si="7"/>
        <v>Light</v>
      </c>
      <c r="P216" t="str">
        <f>_xlfn.XLOOKUP(worksheet[[#This Row],[Customer ID]],customers!$A$1:$A$1001,customers!$I$1:$I$1001,0)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
        <v>1704</v>
      </c>
      <c r="H217" s="2" t="str">
        <f>_xlfn.XLOOKUP(C217,customers!$A$1:$A$1001,customers!$G$1:$G$1001,0)</f>
        <v>United States</v>
      </c>
      <c r="I217" t="str">
        <f>_xlfn.XLOOKUP(D217,products!$A$1:$A$49,products!$B$1:$B$49,0)</f>
        <v>Lib</v>
      </c>
      <c r="J217" t="str">
        <f>_xlfn.XLOOKUP(worksheet!D217,products!$A$1:$A$49,products!$C$1:$C$49,0)</f>
        <v>D</v>
      </c>
      <c r="K217" s="5">
        <f>_xlfn.XLOOKUP(worksheet!D217,products!$A$1:$A$49,products!$D$1:$D$49,0)</f>
        <v>0.2</v>
      </c>
      <c r="L217" s="6">
        <f>_xlfn.XLOOKUP(worksheet!D217,products!$A$1:$A$49,products!$E$1:$E$49,0)</f>
        <v>3.8849999999999998</v>
      </c>
      <c r="M217" s="6">
        <f>worksheet!E217*worksheet!L217</f>
        <v>23.31</v>
      </c>
      <c r="N217" t="str">
        <f t="shared" si="6"/>
        <v>Liberica</v>
      </c>
      <c r="O217" t="str">
        <f t="shared" si="7"/>
        <v>Dark</v>
      </c>
      <c r="P217" t="str">
        <f>_xlfn.XLOOKUP(worksheet[[#This Row],[Customer ID]],customers!$A$1:$A$1001,customers!$I$1:$I$1001,0)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
        <v>1710</v>
      </c>
      <c r="H218" s="2" t="str">
        <f>_xlfn.XLOOKUP(C218,customers!$A$1:$A$1001,customers!$G$1:$G$1001,0)</f>
        <v>United States</v>
      </c>
      <c r="I218" t="str">
        <f>_xlfn.XLOOKUP(D218,products!$A$1:$A$49,products!$B$1:$B$49,0)</f>
        <v>Lib</v>
      </c>
      <c r="J218" t="str">
        <f>_xlfn.XLOOKUP(worksheet!D218,products!$A$1:$A$49,products!$C$1:$C$49,0)</f>
        <v>M</v>
      </c>
      <c r="K218" s="5">
        <f>_xlfn.XLOOKUP(worksheet!D218,products!$A$1:$A$49,products!$D$1:$D$49,0)</f>
        <v>1</v>
      </c>
      <c r="L218" s="6">
        <f>_xlfn.XLOOKUP(worksheet!D218,products!$A$1:$A$49,products!$E$1:$E$49,0)</f>
        <v>14.55</v>
      </c>
      <c r="M218" s="6">
        <f>worksheet!E218*worksheet!L218</f>
        <v>58.2</v>
      </c>
      <c r="N218" t="str">
        <f t="shared" si="6"/>
        <v>Liberica</v>
      </c>
      <c r="O218" t="str">
        <f t="shared" si="7"/>
        <v>Medium</v>
      </c>
      <c r="P218" t="str">
        <f>_xlfn.XLOOKUP(worksheet[[#This Row],[Customer ID]],customers!$A$1:$A$1001,customers!$I$1:$I$1001,0)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
        <v>1716</v>
      </c>
      <c r="H219" s="2" t="str">
        <f>_xlfn.XLOOKUP(C219,customers!$A$1:$A$1001,customers!$G$1:$G$1001,0)</f>
        <v>United States</v>
      </c>
      <c r="I219" t="str">
        <f>_xlfn.XLOOKUP(D219,products!$A$1:$A$49,products!$B$1:$B$49,0)</f>
        <v>Exc</v>
      </c>
      <c r="J219" t="str">
        <f>_xlfn.XLOOKUP(worksheet!D219,products!$A$1:$A$49,products!$C$1:$C$49,0)</f>
        <v>L</v>
      </c>
      <c r="K219" s="5">
        <f>_xlfn.XLOOKUP(worksheet!D219,products!$A$1:$A$49,products!$D$1:$D$49,0)</f>
        <v>0.5</v>
      </c>
      <c r="L219" s="6">
        <f>_xlfn.XLOOKUP(worksheet!D219,products!$A$1:$A$49,products!$E$1:$E$49,0)</f>
        <v>8.91</v>
      </c>
      <c r="M219" s="6">
        <f>worksheet!E219*worksheet!L219</f>
        <v>35.64</v>
      </c>
      <c r="N219" t="str">
        <f t="shared" si="6"/>
        <v>Excelsa</v>
      </c>
      <c r="O219" t="str">
        <f t="shared" si="7"/>
        <v>Light</v>
      </c>
      <c r="P219" t="str">
        <f>_xlfn.XLOOKUP(worksheet[[#This Row],[Customer ID]],customers!$A$1:$A$1001,customers!$I$1:$I$1001,0)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
        <v>1722</v>
      </c>
      <c r="H220" s="2" t="str">
        <f>_xlfn.XLOOKUP(C220,customers!$A$1:$A$1001,customers!$G$1:$G$1001,0)</f>
        <v>Ireland</v>
      </c>
      <c r="I220" t="str">
        <f>_xlfn.XLOOKUP(D220,products!$A$1:$A$49,products!$B$1:$B$49,0)</f>
        <v>Ara</v>
      </c>
      <c r="J220" t="str">
        <f>_xlfn.XLOOKUP(worksheet!D220,products!$A$1:$A$49,products!$C$1:$C$49,0)</f>
        <v>M</v>
      </c>
      <c r="K220" s="5">
        <f>_xlfn.XLOOKUP(worksheet!D220,products!$A$1:$A$49,products!$D$1:$D$49,0)</f>
        <v>1</v>
      </c>
      <c r="L220" s="6">
        <f>_xlfn.XLOOKUP(worksheet!D220,products!$A$1:$A$49,products!$E$1:$E$49,0)</f>
        <v>11.25</v>
      </c>
      <c r="M220" s="6">
        <f>worksheet!E220*worksheet!L220</f>
        <v>56.25</v>
      </c>
      <c r="N220" t="str">
        <f t="shared" si="6"/>
        <v>Arabica</v>
      </c>
      <c r="O220" t="str">
        <f t="shared" si="7"/>
        <v>Medium</v>
      </c>
      <c r="P220" t="str">
        <f>_xlfn.XLOOKUP(worksheet[[#This Row],[Customer ID]],customers!$A$1:$A$1001,customers!$I$1:$I$1001,0)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
        <v>1728</v>
      </c>
      <c r="H221" s="2" t="str">
        <f>_xlfn.XLOOKUP(C221,customers!$A$1:$A$1001,customers!$G$1:$G$1001,0)</f>
        <v>United States</v>
      </c>
      <c r="I221" t="str">
        <f>_xlfn.XLOOKUP(D221,products!$A$1:$A$49,products!$B$1:$B$49,0)</f>
        <v>Rob</v>
      </c>
      <c r="J221" t="str">
        <f>_xlfn.XLOOKUP(worksheet!D221,products!$A$1:$A$49,products!$C$1:$C$49,0)</f>
        <v>L</v>
      </c>
      <c r="K221" s="5">
        <f>_xlfn.XLOOKUP(worksheet!D221,products!$A$1:$A$49,products!$D$1:$D$49,0)</f>
        <v>0.2</v>
      </c>
      <c r="L221" s="6">
        <f>_xlfn.XLOOKUP(worksheet!D221,products!$A$1:$A$49,products!$E$1:$E$49,0)</f>
        <v>3.5849999999999995</v>
      </c>
      <c r="M221" s="6">
        <f>worksheet!E221*worksheet!L221</f>
        <v>10.754999999999999</v>
      </c>
      <c r="N221" t="str">
        <f t="shared" si="6"/>
        <v>Robusta</v>
      </c>
      <c r="O221" t="str">
        <f t="shared" si="7"/>
        <v>Light</v>
      </c>
      <c r="P221" t="str">
        <f>_xlfn.XLOOKUP(worksheet[[#This Row],[Customer ID]],customers!$A$1:$A$1001,customers!$I$1:$I$1001,0)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
        <v>1728</v>
      </c>
      <c r="H222" s="2" t="str">
        <f>_xlfn.XLOOKUP(C222,customers!$A$1:$A$1001,customers!$G$1:$G$1001,0)</f>
        <v>United States</v>
      </c>
      <c r="I222" t="str">
        <f>_xlfn.XLOOKUP(D222,products!$A$1:$A$49,products!$B$1:$B$49,0)</f>
        <v>Rob</v>
      </c>
      <c r="J222" t="str">
        <f>_xlfn.XLOOKUP(worksheet!D222,products!$A$1:$A$49,products!$C$1:$C$49,0)</f>
        <v>M</v>
      </c>
      <c r="K222" s="5">
        <f>_xlfn.XLOOKUP(worksheet!D222,products!$A$1:$A$49,products!$D$1:$D$49,0)</f>
        <v>0.2</v>
      </c>
      <c r="L222" s="6">
        <f>_xlfn.XLOOKUP(worksheet!D222,products!$A$1:$A$49,products!$E$1:$E$49,0)</f>
        <v>2.9849999999999999</v>
      </c>
      <c r="M222" s="6">
        <f>worksheet!E222*worksheet!L222</f>
        <v>14.924999999999999</v>
      </c>
      <c r="N222" t="str">
        <f t="shared" si="6"/>
        <v>Robusta</v>
      </c>
      <c r="O222" t="str">
        <f t="shared" si="7"/>
        <v>Medium</v>
      </c>
      <c r="P222" t="str">
        <f>_xlfn.XLOOKUP(worksheet[[#This Row],[Customer ID]],customers!$A$1:$A$1001,customers!$I$1:$I$1001,0)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
        <v>1739</v>
      </c>
      <c r="H223" s="2" t="str">
        <f>_xlfn.XLOOKUP(C223,customers!$A$1:$A$1001,customers!$G$1:$G$1001,0)</f>
        <v>United States</v>
      </c>
      <c r="I223" t="str">
        <f>_xlfn.XLOOKUP(D223,products!$A$1:$A$49,products!$B$1:$B$49,0)</f>
        <v>Ara</v>
      </c>
      <c r="J223" t="str">
        <f>_xlfn.XLOOKUP(worksheet!D223,products!$A$1:$A$49,products!$C$1:$C$49,0)</f>
        <v>L</v>
      </c>
      <c r="K223" s="5">
        <f>_xlfn.XLOOKUP(worksheet!D223,products!$A$1:$A$49,products!$D$1:$D$49,0)</f>
        <v>1</v>
      </c>
      <c r="L223" s="6">
        <f>_xlfn.XLOOKUP(worksheet!D223,products!$A$1:$A$49,products!$E$1:$E$49,0)</f>
        <v>12.95</v>
      </c>
      <c r="M223" s="6">
        <f>worksheet!E223*worksheet!L223</f>
        <v>77.699999999999989</v>
      </c>
      <c r="N223" t="str">
        <f t="shared" si="6"/>
        <v>Arabica</v>
      </c>
      <c r="O223" t="str">
        <f t="shared" si="7"/>
        <v>Light</v>
      </c>
      <c r="P223" t="str">
        <f>_xlfn.XLOOKUP(worksheet[[#This Row],[Customer ID]],customers!$A$1:$A$1001,customers!$I$1:$I$1001,0)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
        <v>1745</v>
      </c>
      <c r="H224" s="2" t="str">
        <f>_xlfn.XLOOKUP(C224,customers!$A$1:$A$1001,customers!$G$1:$G$1001,0)</f>
        <v>United States</v>
      </c>
      <c r="I224" t="str">
        <f>_xlfn.XLOOKUP(D224,products!$A$1:$A$49,products!$B$1:$B$49,0)</f>
        <v>Lib</v>
      </c>
      <c r="J224" t="str">
        <f>_xlfn.XLOOKUP(worksheet!D224,products!$A$1:$A$49,products!$C$1:$C$49,0)</f>
        <v>D</v>
      </c>
      <c r="K224" s="5">
        <f>_xlfn.XLOOKUP(worksheet!D224,products!$A$1:$A$49,products!$D$1:$D$49,0)</f>
        <v>0.5</v>
      </c>
      <c r="L224" s="6">
        <f>_xlfn.XLOOKUP(worksheet!D224,products!$A$1:$A$49,products!$E$1:$E$49,0)</f>
        <v>7.77</v>
      </c>
      <c r="M224" s="6">
        <f>worksheet!E224*worksheet!L224</f>
        <v>23.31</v>
      </c>
      <c r="N224" t="str">
        <f t="shared" si="6"/>
        <v>Liberica</v>
      </c>
      <c r="O224" t="str">
        <f t="shared" si="7"/>
        <v>Dark</v>
      </c>
      <c r="P224" t="str">
        <f>_xlfn.XLOOKUP(worksheet[[#This Row],[Customer ID]],customers!$A$1:$A$1001,customers!$I$1:$I$1001,0)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
        <v>6222</v>
      </c>
      <c r="H225" s="2" t="str">
        <f>_xlfn.XLOOKUP(C225,customers!$A$1:$A$1001,customers!$G$1:$G$1001,0)</f>
        <v>United States</v>
      </c>
      <c r="I225" t="str">
        <f>_xlfn.XLOOKUP(D225,products!$A$1:$A$49,products!$B$1:$B$49,0)</f>
        <v>Exc</v>
      </c>
      <c r="J225" t="str">
        <f>_xlfn.XLOOKUP(worksheet!D225,products!$A$1:$A$49,products!$C$1:$C$49,0)</f>
        <v>L</v>
      </c>
      <c r="K225" s="5">
        <f>_xlfn.XLOOKUP(worksheet!D225,products!$A$1:$A$49,products!$D$1:$D$49,0)</f>
        <v>1</v>
      </c>
      <c r="L225" s="6">
        <f>_xlfn.XLOOKUP(worksheet!D225,products!$A$1:$A$49,products!$E$1:$E$49,0)</f>
        <v>14.85</v>
      </c>
      <c r="M225" s="6">
        <f>worksheet!E225*worksheet!L225</f>
        <v>59.4</v>
      </c>
      <c r="N225" t="str">
        <f t="shared" si="6"/>
        <v>Excelsa</v>
      </c>
      <c r="O225" t="str">
        <f t="shared" si="7"/>
        <v>Light</v>
      </c>
      <c r="P225" t="str">
        <f>_xlfn.XLOOKUP(worksheet[[#This Row],[Customer ID]],customers!$A$1:$A$1001,customers!$I$1:$I$1001,0)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
        <v>1756</v>
      </c>
      <c r="H226" s="2" t="str">
        <f>_xlfn.XLOOKUP(C226,customers!$A$1:$A$1001,customers!$G$1:$G$1001,0)</f>
        <v>United States</v>
      </c>
      <c r="I226" t="str">
        <f>_xlfn.XLOOKUP(D226,products!$A$1:$A$49,products!$B$1:$B$49,0)</f>
        <v>Lib</v>
      </c>
      <c r="J226" t="str">
        <f>_xlfn.XLOOKUP(worksheet!D226,products!$A$1:$A$49,products!$C$1:$C$49,0)</f>
        <v>D</v>
      </c>
      <c r="K226" s="5">
        <f>_xlfn.XLOOKUP(worksheet!D226,products!$A$1:$A$49,products!$D$1:$D$49,0)</f>
        <v>2.5</v>
      </c>
      <c r="L226" s="6">
        <f>_xlfn.XLOOKUP(worksheet!D226,products!$A$1:$A$49,products!$E$1:$E$49,0)</f>
        <v>29.784999999999997</v>
      </c>
      <c r="M226" s="6">
        <f>worksheet!E226*worksheet!L226</f>
        <v>119.13999999999999</v>
      </c>
      <c r="N226" t="str">
        <f t="shared" si="6"/>
        <v>Liberica</v>
      </c>
      <c r="O226" t="str">
        <f t="shared" si="7"/>
        <v>Dark</v>
      </c>
      <c r="P226" t="str">
        <f>_xlfn.XLOOKUP(worksheet[[#This Row],[Customer ID]],customers!$A$1:$A$1001,customers!$I$1:$I$1001,0)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
        <v>1762</v>
      </c>
      <c r="H227" s="2" t="str">
        <f>_xlfn.XLOOKUP(C227,customers!$A$1:$A$1001,customers!$G$1:$G$1001,0)</f>
        <v>Ireland</v>
      </c>
      <c r="I227" t="str">
        <f>_xlfn.XLOOKUP(D227,products!$A$1:$A$49,products!$B$1:$B$49,0)</f>
        <v>Rob</v>
      </c>
      <c r="J227" t="str">
        <f>_xlfn.XLOOKUP(worksheet!D227,products!$A$1:$A$49,products!$C$1:$C$49,0)</f>
        <v>L</v>
      </c>
      <c r="K227" s="5">
        <f>_xlfn.XLOOKUP(worksheet!D227,products!$A$1:$A$49,products!$D$1:$D$49,0)</f>
        <v>0.2</v>
      </c>
      <c r="L227" s="6">
        <f>_xlfn.XLOOKUP(worksheet!D227,products!$A$1:$A$49,products!$E$1:$E$49,0)</f>
        <v>3.5849999999999995</v>
      </c>
      <c r="M227" s="6">
        <f>worksheet!E227*worksheet!L227</f>
        <v>14.339999999999998</v>
      </c>
      <c r="N227" t="str">
        <f t="shared" si="6"/>
        <v>Robusta</v>
      </c>
      <c r="O227" t="str">
        <f t="shared" si="7"/>
        <v>Light</v>
      </c>
      <c r="P227" t="str">
        <f>_xlfn.XLOOKUP(worksheet[[#This Row],[Customer ID]],customers!$A$1:$A$1001,customers!$I$1:$I$1001,0)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
        <v>1768</v>
      </c>
      <c r="H228" s="2" t="str">
        <f>_xlfn.XLOOKUP(C228,customers!$A$1:$A$1001,customers!$G$1:$G$1001,0)</f>
        <v>United States</v>
      </c>
      <c r="I228" t="str">
        <f>_xlfn.XLOOKUP(D228,products!$A$1:$A$49,products!$B$1:$B$49,0)</f>
        <v>Ara</v>
      </c>
      <c r="J228" t="str">
        <f>_xlfn.XLOOKUP(worksheet!D228,products!$A$1:$A$49,products!$C$1:$C$49,0)</f>
        <v>M</v>
      </c>
      <c r="K228" s="5">
        <f>_xlfn.XLOOKUP(worksheet!D228,products!$A$1:$A$49,products!$D$1:$D$49,0)</f>
        <v>2.5</v>
      </c>
      <c r="L228" s="6">
        <f>_xlfn.XLOOKUP(worksheet!D228,products!$A$1:$A$49,products!$E$1:$E$49,0)</f>
        <v>25.874999999999996</v>
      </c>
      <c r="M228" s="6">
        <f>worksheet!E228*worksheet!L228</f>
        <v>129.37499999999997</v>
      </c>
      <c r="N228" t="str">
        <f t="shared" si="6"/>
        <v>Arabica</v>
      </c>
      <c r="O228" t="str">
        <f t="shared" si="7"/>
        <v>Medium</v>
      </c>
      <c r="P228" t="str">
        <f>_xlfn.XLOOKUP(worksheet[[#This Row],[Customer ID]],customers!$A$1:$A$1001,customers!$I$1:$I$1001,0)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
        <v>1774</v>
      </c>
      <c r="H229" s="2" t="str">
        <f>_xlfn.XLOOKUP(C229,customers!$A$1:$A$1001,customers!$G$1:$G$1001,0)</f>
        <v>United Kingdom</v>
      </c>
      <c r="I229" t="str">
        <f>_xlfn.XLOOKUP(D229,products!$A$1:$A$49,products!$B$1:$B$49,0)</f>
        <v>Rob</v>
      </c>
      <c r="J229" t="str">
        <f>_xlfn.XLOOKUP(worksheet!D229,products!$A$1:$A$49,products!$C$1:$C$49,0)</f>
        <v>D</v>
      </c>
      <c r="K229" s="5">
        <f>_xlfn.XLOOKUP(worksheet!D229,products!$A$1:$A$49,products!$D$1:$D$49,0)</f>
        <v>0.2</v>
      </c>
      <c r="L229" s="6">
        <f>_xlfn.XLOOKUP(worksheet!D229,products!$A$1:$A$49,products!$E$1:$E$49,0)</f>
        <v>2.6849999999999996</v>
      </c>
      <c r="M229" s="6">
        <f>worksheet!E229*worksheet!L229</f>
        <v>16.11</v>
      </c>
      <c r="N229" t="str">
        <f t="shared" si="6"/>
        <v>Robusta</v>
      </c>
      <c r="O229" t="str">
        <f t="shared" si="7"/>
        <v>Dark</v>
      </c>
      <c r="P229" t="str">
        <f>_xlfn.XLOOKUP(worksheet[[#This Row],[Customer ID]],customers!$A$1:$A$1001,customers!$I$1:$I$1001,0)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
        <v>1780</v>
      </c>
      <c r="H230" s="2" t="str">
        <f>_xlfn.XLOOKUP(C230,customers!$A$1:$A$1001,customers!$G$1:$G$1001,0)</f>
        <v>United States</v>
      </c>
      <c r="I230" t="str">
        <f>_xlfn.XLOOKUP(D230,products!$A$1:$A$49,products!$B$1:$B$49,0)</f>
        <v>Rob</v>
      </c>
      <c r="J230" t="str">
        <f>_xlfn.XLOOKUP(worksheet!D230,products!$A$1:$A$49,products!$C$1:$C$49,0)</f>
        <v>L</v>
      </c>
      <c r="K230" s="5">
        <f>_xlfn.XLOOKUP(worksheet!D230,products!$A$1:$A$49,products!$D$1:$D$49,0)</f>
        <v>0.2</v>
      </c>
      <c r="L230" s="6">
        <f>_xlfn.XLOOKUP(worksheet!D230,products!$A$1:$A$49,products!$E$1:$E$49,0)</f>
        <v>3.5849999999999995</v>
      </c>
      <c r="M230" s="6">
        <f>worksheet!E230*worksheet!L230</f>
        <v>17.924999999999997</v>
      </c>
      <c r="N230" t="str">
        <f t="shared" si="6"/>
        <v>Robusta</v>
      </c>
      <c r="O230" t="str">
        <f t="shared" si="7"/>
        <v>Light</v>
      </c>
      <c r="P230" t="str">
        <f>_xlfn.XLOOKUP(worksheet[[#This Row],[Customer ID]],customers!$A$1:$A$1001,customers!$I$1:$I$1001,0)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
        <v>1786</v>
      </c>
      <c r="H231" s="2" t="str">
        <f>_xlfn.XLOOKUP(C231,customers!$A$1:$A$1001,customers!$G$1:$G$1001,0)</f>
        <v>United States</v>
      </c>
      <c r="I231" t="str">
        <f>_xlfn.XLOOKUP(D231,products!$A$1:$A$49,products!$B$1:$B$49,0)</f>
        <v>Lib</v>
      </c>
      <c r="J231" t="str">
        <f>_xlfn.XLOOKUP(worksheet!D231,products!$A$1:$A$49,products!$C$1:$C$49,0)</f>
        <v>M</v>
      </c>
      <c r="K231" s="5">
        <f>_xlfn.XLOOKUP(worksheet!D231,products!$A$1:$A$49,products!$D$1:$D$49,0)</f>
        <v>0.2</v>
      </c>
      <c r="L231" s="6">
        <f>_xlfn.XLOOKUP(worksheet!D231,products!$A$1:$A$49,products!$E$1:$E$49,0)</f>
        <v>4.3650000000000002</v>
      </c>
      <c r="M231" s="6">
        <f>worksheet!E231*worksheet!L231</f>
        <v>8.73</v>
      </c>
      <c r="N231" t="str">
        <f t="shared" si="6"/>
        <v>Liberica</v>
      </c>
      <c r="O231" t="str">
        <f t="shared" si="7"/>
        <v>Medium</v>
      </c>
      <c r="P231" t="str">
        <f>_xlfn.XLOOKUP(worksheet[[#This Row],[Customer ID]],customers!$A$1:$A$1001,customers!$I$1:$I$1001,0)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
        <v>1792</v>
      </c>
      <c r="H232" s="2" t="str">
        <f>_xlfn.XLOOKUP(C232,customers!$A$1:$A$1001,customers!$G$1:$G$1001,0)</f>
        <v>United States</v>
      </c>
      <c r="I232" t="str">
        <f>_xlfn.XLOOKUP(D232,products!$A$1:$A$49,products!$B$1:$B$49,0)</f>
        <v>Ara</v>
      </c>
      <c r="J232" t="str">
        <f>_xlfn.XLOOKUP(worksheet!D232,products!$A$1:$A$49,products!$C$1:$C$49,0)</f>
        <v>M</v>
      </c>
      <c r="K232" s="5">
        <f>_xlfn.XLOOKUP(worksheet!D232,products!$A$1:$A$49,products!$D$1:$D$49,0)</f>
        <v>2.5</v>
      </c>
      <c r="L232" s="6">
        <f>_xlfn.XLOOKUP(worksheet!D232,products!$A$1:$A$49,products!$E$1:$E$49,0)</f>
        <v>25.874999999999996</v>
      </c>
      <c r="M232" s="6">
        <f>worksheet!E232*worksheet!L232</f>
        <v>51.749999999999993</v>
      </c>
      <c r="N232" t="str">
        <f t="shared" si="6"/>
        <v>Arabica</v>
      </c>
      <c r="O232" t="str">
        <f t="shared" si="7"/>
        <v>Medium</v>
      </c>
      <c r="P232" t="str">
        <f>_xlfn.XLOOKUP(worksheet[[#This Row],[Customer ID]],customers!$A$1:$A$1001,customers!$I$1:$I$1001,0)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
        <v>6222</v>
      </c>
      <c r="H233" s="2" t="str">
        <f>_xlfn.XLOOKUP(C233,customers!$A$1:$A$1001,customers!$G$1:$G$1001,0)</f>
        <v>United States</v>
      </c>
      <c r="I233" t="str">
        <f>_xlfn.XLOOKUP(D233,products!$A$1:$A$49,products!$B$1:$B$49,0)</f>
        <v>Lib</v>
      </c>
      <c r="J233" t="str">
        <f>_xlfn.XLOOKUP(worksheet!D233,products!$A$1:$A$49,products!$C$1:$C$49,0)</f>
        <v>M</v>
      </c>
      <c r="K233" s="5">
        <f>_xlfn.XLOOKUP(worksheet!D233,products!$A$1:$A$49,products!$D$1:$D$49,0)</f>
        <v>0.2</v>
      </c>
      <c r="L233" s="6">
        <f>_xlfn.XLOOKUP(worksheet!D233,products!$A$1:$A$49,products!$E$1:$E$49,0)</f>
        <v>4.3650000000000002</v>
      </c>
      <c r="M233" s="6">
        <f>worksheet!E233*worksheet!L233</f>
        <v>8.73</v>
      </c>
      <c r="N233" t="str">
        <f t="shared" si="6"/>
        <v>Liberica</v>
      </c>
      <c r="O233" t="str">
        <f t="shared" si="7"/>
        <v>Medium</v>
      </c>
      <c r="P233" t="str">
        <f>_xlfn.XLOOKUP(worksheet[[#This Row],[Customer ID]],customers!$A$1:$A$1001,customers!$I$1:$I$1001,0)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
        <v>1803</v>
      </c>
      <c r="H234" s="2" t="str">
        <f>_xlfn.XLOOKUP(C234,customers!$A$1:$A$1001,customers!$G$1:$G$1001,0)</f>
        <v>United Kingdom</v>
      </c>
      <c r="I234" t="str">
        <f>_xlfn.XLOOKUP(D234,products!$A$1:$A$49,products!$B$1:$B$49,0)</f>
        <v>Lib</v>
      </c>
      <c r="J234" t="str">
        <f>_xlfn.XLOOKUP(worksheet!D234,products!$A$1:$A$49,products!$C$1:$C$49,0)</f>
        <v>L</v>
      </c>
      <c r="K234" s="5">
        <f>_xlfn.XLOOKUP(worksheet!D234,products!$A$1:$A$49,products!$D$1:$D$49,0)</f>
        <v>0.2</v>
      </c>
      <c r="L234" s="6">
        <f>_xlfn.XLOOKUP(worksheet!D234,products!$A$1:$A$49,products!$E$1:$E$49,0)</f>
        <v>4.7549999999999999</v>
      </c>
      <c r="M234" s="6">
        <f>worksheet!E234*worksheet!L234</f>
        <v>23.774999999999999</v>
      </c>
      <c r="N234" t="str">
        <f t="shared" si="6"/>
        <v>Liberica</v>
      </c>
      <c r="O234" t="str">
        <f t="shared" si="7"/>
        <v>Light</v>
      </c>
      <c r="P234" t="str">
        <f>_xlfn.XLOOKUP(worksheet[[#This Row],[Customer ID]],customers!$A$1:$A$1001,customers!$I$1:$I$1001,0)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
        <v>1809</v>
      </c>
      <c r="H235" s="2" t="str">
        <f>_xlfn.XLOOKUP(C235,customers!$A$1:$A$1001,customers!$G$1:$G$1001,0)</f>
        <v>United States</v>
      </c>
      <c r="I235" t="str">
        <f>_xlfn.XLOOKUP(D235,products!$A$1:$A$49,products!$B$1:$B$49,0)</f>
        <v>Exc</v>
      </c>
      <c r="J235" t="str">
        <f>_xlfn.XLOOKUP(worksheet!D235,products!$A$1:$A$49,products!$C$1:$C$49,0)</f>
        <v>M</v>
      </c>
      <c r="K235" s="5">
        <f>_xlfn.XLOOKUP(worksheet!D235,products!$A$1:$A$49,products!$D$1:$D$49,0)</f>
        <v>0.2</v>
      </c>
      <c r="L235" s="6">
        <f>_xlfn.XLOOKUP(worksheet!D235,products!$A$1:$A$49,products!$E$1:$E$49,0)</f>
        <v>4.125</v>
      </c>
      <c r="M235" s="6">
        <f>worksheet!E235*worksheet!L235</f>
        <v>20.625</v>
      </c>
      <c r="N235" t="str">
        <f t="shared" si="6"/>
        <v>Excelsa</v>
      </c>
      <c r="O235" t="str">
        <f t="shared" si="7"/>
        <v>Medium</v>
      </c>
      <c r="P235" t="str">
        <f>_xlfn.XLOOKUP(worksheet[[#This Row],[Customer ID]],customers!$A$1:$A$1001,customers!$I$1:$I$1001,0)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
        <v>1815</v>
      </c>
      <c r="H236" s="2" t="str">
        <f>_xlfn.XLOOKUP(C236,customers!$A$1:$A$1001,customers!$G$1:$G$1001,0)</f>
        <v>United States</v>
      </c>
      <c r="I236" t="str">
        <f>_xlfn.XLOOKUP(D236,products!$A$1:$A$49,products!$B$1:$B$49,0)</f>
        <v>Lib</v>
      </c>
      <c r="J236" t="str">
        <f>_xlfn.XLOOKUP(worksheet!D236,products!$A$1:$A$49,products!$C$1:$C$49,0)</f>
        <v>L</v>
      </c>
      <c r="K236" s="5">
        <f>_xlfn.XLOOKUP(worksheet!D236,products!$A$1:$A$49,products!$D$1:$D$49,0)</f>
        <v>2.5</v>
      </c>
      <c r="L236" s="6">
        <f>_xlfn.XLOOKUP(worksheet!D236,products!$A$1:$A$49,products!$E$1:$E$49,0)</f>
        <v>36.454999999999998</v>
      </c>
      <c r="M236" s="6">
        <f>worksheet!E236*worksheet!L236</f>
        <v>36.454999999999998</v>
      </c>
      <c r="N236" t="str">
        <f t="shared" si="6"/>
        <v>Liberica</v>
      </c>
      <c r="O236" t="str">
        <f t="shared" si="7"/>
        <v>Light</v>
      </c>
      <c r="P236" t="str">
        <f>_xlfn.XLOOKUP(worksheet[[#This Row],[Customer ID]],customers!$A$1:$A$1001,customers!$I$1:$I$1001,0)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
        <v>6222</v>
      </c>
      <c r="H237" s="2" t="str">
        <f>_xlfn.XLOOKUP(C237,customers!$A$1:$A$1001,customers!$G$1:$G$1001,0)</f>
        <v>Ireland</v>
      </c>
      <c r="I237" t="str">
        <f>_xlfn.XLOOKUP(D237,products!$A$1:$A$49,products!$B$1:$B$49,0)</f>
        <v>Lib</v>
      </c>
      <c r="J237" t="str">
        <f>_xlfn.XLOOKUP(worksheet!D237,products!$A$1:$A$49,products!$C$1:$C$49,0)</f>
        <v>L</v>
      </c>
      <c r="K237" s="5">
        <f>_xlfn.XLOOKUP(worksheet!D237,products!$A$1:$A$49,products!$D$1:$D$49,0)</f>
        <v>2.5</v>
      </c>
      <c r="L237" s="6">
        <f>_xlfn.XLOOKUP(worksheet!D237,products!$A$1:$A$49,products!$E$1:$E$49,0)</f>
        <v>36.454999999999998</v>
      </c>
      <c r="M237" s="6">
        <f>worksheet!E237*worksheet!L237</f>
        <v>182.27499999999998</v>
      </c>
      <c r="N237" t="str">
        <f t="shared" si="6"/>
        <v>Liberica</v>
      </c>
      <c r="O237" t="str">
        <f t="shared" si="7"/>
        <v>Light</v>
      </c>
      <c r="P237" t="str">
        <f>_xlfn.XLOOKUP(worksheet[[#This Row],[Customer ID]],customers!$A$1:$A$1001,customers!$I$1:$I$1001,0)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
        <v>1825</v>
      </c>
      <c r="H238" s="2" t="str">
        <f>_xlfn.XLOOKUP(C238,customers!$A$1:$A$1001,customers!$G$1:$G$1001,0)</f>
        <v>Ireland</v>
      </c>
      <c r="I238" t="str">
        <f>_xlfn.XLOOKUP(D238,products!$A$1:$A$49,products!$B$1:$B$49,0)</f>
        <v>Lib</v>
      </c>
      <c r="J238" t="str">
        <f>_xlfn.XLOOKUP(worksheet!D238,products!$A$1:$A$49,products!$C$1:$C$49,0)</f>
        <v>D</v>
      </c>
      <c r="K238" s="5">
        <f>_xlfn.XLOOKUP(worksheet!D238,products!$A$1:$A$49,products!$D$1:$D$49,0)</f>
        <v>2.5</v>
      </c>
      <c r="L238" s="6">
        <f>_xlfn.XLOOKUP(worksheet!D238,products!$A$1:$A$49,products!$E$1:$E$49,0)</f>
        <v>29.784999999999997</v>
      </c>
      <c r="M238" s="6">
        <f>worksheet!E238*worksheet!L238</f>
        <v>89.35499999999999</v>
      </c>
      <c r="N238" t="str">
        <f t="shared" si="6"/>
        <v>Liberica</v>
      </c>
      <c r="O238" t="str">
        <f t="shared" si="7"/>
        <v>Dark</v>
      </c>
      <c r="P238" t="str">
        <f>_xlfn.XLOOKUP(worksheet[[#This Row],[Customer ID]],customers!$A$1:$A$1001,customers!$I$1:$I$1001,0)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
        <v>6222</v>
      </c>
      <c r="H239" s="2" t="str">
        <f>_xlfn.XLOOKUP(C239,customers!$A$1:$A$1001,customers!$G$1:$G$1001,0)</f>
        <v>United States</v>
      </c>
      <c r="I239" t="str">
        <f>_xlfn.XLOOKUP(D239,products!$A$1:$A$49,products!$B$1:$B$49,0)</f>
        <v>Rob</v>
      </c>
      <c r="J239" t="str">
        <f>_xlfn.XLOOKUP(worksheet!D239,products!$A$1:$A$49,products!$C$1:$C$49,0)</f>
        <v>L</v>
      </c>
      <c r="K239" s="5">
        <f>_xlfn.XLOOKUP(worksheet!D239,products!$A$1:$A$49,products!$D$1:$D$49,0)</f>
        <v>0.2</v>
      </c>
      <c r="L239" s="6">
        <f>_xlfn.XLOOKUP(worksheet!D239,products!$A$1:$A$49,products!$E$1:$E$49,0)</f>
        <v>3.5849999999999995</v>
      </c>
      <c r="M239" s="6">
        <f>worksheet!E239*worksheet!L239</f>
        <v>3.5849999999999995</v>
      </c>
      <c r="N239" t="str">
        <f t="shared" si="6"/>
        <v>Robusta</v>
      </c>
      <c r="O239" t="str">
        <f t="shared" si="7"/>
        <v>Light</v>
      </c>
      <c r="P239" t="str">
        <f>_xlfn.XLOOKUP(worksheet[[#This Row],[Customer ID]],customers!$A$1:$A$1001,customers!$I$1:$I$1001,0)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
        <v>1836</v>
      </c>
      <c r="H240" s="2" t="str">
        <f>_xlfn.XLOOKUP(C240,customers!$A$1:$A$1001,customers!$G$1:$G$1001,0)</f>
        <v>United States</v>
      </c>
      <c r="I240" t="str">
        <f>_xlfn.XLOOKUP(D240,products!$A$1:$A$49,products!$B$1:$B$49,0)</f>
        <v>Rob</v>
      </c>
      <c r="J240" t="str">
        <f>_xlfn.XLOOKUP(worksheet!D240,products!$A$1:$A$49,products!$C$1:$C$49,0)</f>
        <v>M</v>
      </c>
      <c r="K240" s="5">
        <f>_xlfn.XLOOKUP(worksheet!D240,products!$A$1:$A$49,products!$D$1:$D$49,0)</f>
        <v>2.5</v>
      </c>
      <c r="L240" s="6">
        <f>_xlfn.XLOOKUP(worksheet!D240,products!$A$1:$A$49,products!$E$1:$E$49,0)</f>
        <v>22.884999999999998</v>
      </c>
      <c r="M240" s="6">
        <f>worksheet!E240*worksheet!L240</f>
        <v>45.769999999999996</v>
      </c>
      <c r="N240" t="str">
        <f t="shared" si="6"/>
        <v>Robusta</v>
      </c>
      <c r="O240" t="str">
        <f t="shared" si="7"/>
        <v>Medium</v>
      </c>
      <c r="P240" t="str">
        <f>_xlfn.XLOOKUP(worksheet[[#This Row],[Customer ID]],customers!$A$1:$A$1001,customers!$I$1:$I$1001,0)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
        <v>1842</v>
      </c>
      <c r="H241" s="2" t="str">
        <f>_xlfn.XLOOKUP(C241,customers!$A$1:$A$1001,customers!$G$1:$G$1001,0)</f>
        <v>United States</v>
      </c>
      <c r="I241" t="str">
        <f>_xlfn.XLOOKUP(D241,products!$A$1:$A$49,products!$B$1:$B$49,0)</f>
        <v>Exc</v>
      </c>
      <c r="J241" t="str">
        <f>_xlfn.XLOOKUP(worksheet!D241,products!$A$1:$A$49,products!$C$1:$C$49,0)</f>
        <v>L</v>
      </c>
      <c r="K241" s="5">
        <f>_xlfn.XLOOKUP(worksheet!D241,products!$A$1:$A$49,products!$D$1:$D$49,0)</f>
        <v>1</v>
      </c>
      <c r="L241" s="6">
        <f>_xlfn.XLOOKUP(worksheet!D241,products!$A$1:$A$49,products!$E$1:$E$49,0)</f>
        <v>14.85</v>
      </c>
      <c r="M241" s="6">
        <f>worksheet!E241*worksheet!L241</f>
        <v>59.4</v>
      </c>
      <c r="N241" t="str">
        <f t="shared" si="6"/>
        <v>Excelsa</v>
      </c>
      <c r="O241" t="str">
        <f t="shared" si="7"/>
        <v>Light</v>
      </c>
      <c r="P241" t="str">
        <f>_xlfn.XLOOKUP(worksheet[[#This Row],[Customer ID]],customers!$A$1:$A$1001,customers!$I$1:$I$1001,0)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
        <v>6222</v>
      </c>
      <c r="H242" s="2" t="str">
        <f>_xlfn.XLOOKUP(C242,customers!$A$1:$A$1001,customers!$G$1:$G$1001,0)</f>
        <v>United States</v>
      </c>
      <c r="I242" t="str">
        <f>_xlfn.XLOOKUP(D242,products!$A$1:$A$49,products!$B$1:$B$49,0)</f>
        <v>Ara</v>
      </c>
      <c r="J242" t="str">
        <f>_xlfn.XLOOKUP(worksheet!D242,products!$A$1:$A$49,products!$C$1:$C$49,0)</f>
        <v>M</v>
      </c>
      <c r="K242" s="5">
        <f>_xlfn.XLOOKUP(worksheet!D242,products!$A$1:$A$49,products!$D$1:$D$49,0)</f>
        <v>2.5</v>
      </c>
      <c r="L242" s="6">
        <f>_xlfn.XLOOKUP(worksheet!D242,products!$A$1:$A$49,products!$E$1:$E$49,0)</f>
        <v>25.874999999999996</v>
      </c>
      <c r="M242" s="6">
        <f>worksheet!E242*worksheet!L242</f>
        <v>155.24999999999997</v>
      </c>
      <c r="N242" t="str">
        <f t="shared" si="6"/>
        <v>Arabica</v>
      </c>
      <c r="O242" t="str">
        <f t="shared" si="7"/>
        <v>Medium</v>
      </c>
      <c r="P242" t="str">
        <f>_xlfn.XLOOKUP(worksheet[[#This Row],[Customer ID]],customers!$A$1:$A$1001,customers!$I$1:$I$1001,0)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
        <v>6222</v>
      </c>
      <c r="H243" s="2" t="str">
        <f>_xlfn.XLOOKUP(C243,customers!$A$1:$A$1001,customers!$G$1:$G$1001,0)</f>
        <v>United States</v>
      </c>
      <c r="I243" t="str">
        <f>_xlfn.XLOOKUP(D243,products!$A$1:$A$49,products!$B$1:$B$49,0)</f>
        <v>Rob</v>
      </c>
      <c r="J243" t="str">
        <f>_xlfn.XLOOKUP(worksheet!D243,products!$A$1:$A$49,products!$C$1:$C$49,0)</f>
        <v>M</v>
      </c>
      <c r="K243" s="5">
        <f>_xlfn.XLOOKUP(worksheet!D243,products!$A$1:$A$49,products!$D$1:$D$49,0)</f>
        <v>2.5</v>
      </c>
      <c r="L243" s="6">
        <f>_xlfn.XLOOKUP(worksheet!D243,products!$A$1:$A$49,products!$E$1:$E$49,0)</f>
        <v>22.884999999999998</v>
      </c>
      <c r="M243" s="6">
        <f>worksheet!E243*worksheet!L243</f>
        <v>45.769999999999996</v>
      </c>
      <c r="N243" t="str">
        <f t="shared" si="6"/>
        <v>Robusta</v>
      </c>
      <c r="O243" t="str">
        <f t="shared" si="7"/>
        <v>Medium</v>
      </c>
      <c r="P243" t="str">
        <f>_xlfn.XLOOKUP(worksheet[[#This Row],[Customer ID]],customers!$A$1:$A$1001,customers!$I$1:$I$1001,0)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
        <v>1857</v>
      </c>
      <c r="H244" s="2" t="str">
        <f>_xlfn.XLOOKUP(C244,customers!$A$1:$A$1001,customers!$G$1:$G$1001,0)</f>
        <v>United States</v>
      </c>
      <c r="I244" t="str">
        <f>_xlfn.XLOOKUP(D244,products!$A$1:$A$49,products!$B$1:$B$49,0)</f>
        <v>Exc</v>
      </c>
      <c r="J244" t="str">
        <f>_xlfn.XLOOKUP(worksheet!D244,products!$A$1:$A$49,products!$C$1:$C$49,0)</f>
        <v>D</v>
      </c>
      <c r="K244" s="5">
        <f>_xlfn.XLOOKUP(worksheet!D244,products!$A$1:$A$49,products!$D$1:$D$49,0)</f>
        <v>1</v>
      </c>
      <c r="L244" s="6">
        <f>_xlfn.XLOOKUP(worksheet!D244,products!$A$1:$A$49,products!$E$1:$E$49,0)</f>
        <v>12.15</v>
      </c>
      <c r="M244" s="6">
        <f>worksheet!E244*worksheet!L244</f>
        <v>36.450000000000003</v>
      </c>
      <c r="N244" t="str">
        <f t="shared" si="6"/>
        <v>Excelsa</v>
      </c>
      <c r="O244" t="str">
        <f t="shared" si="7"/>
        <v>Dark</v>
      </c>
      <c r="P244" t="str">
        <f>_xlfn.XLOOKUP(worksheet[[#This Row],[Customer ID]],customers!$A$1:$A$1001,customers!$I$1:$I$1001,0)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
        <v>1863</v>
      </c>
      <c r="H245" s="2" t="str">
        <f>_xlfn.XLOOKUP(C245,customers!$A$1:$A$1001,customers!$G$1:$G$1001,0)</f>
        <v>United States</v>
      </c>
      <c r="I245" t="str">
        <f>_xlfn.XLOOKUP(D245,products!$A$1:$A$49,products!$B$1:$B$49,0)</f>
        <v>Exc</v>
      </c>
      <c r="J245" t="str">
        <f>_xlfn.XLOOKUP(worksheet!D245,products!$A$1:$A$49,products!$C$1:$C$49,0)</f>
        <v>D</v>
      </c>
      <c r="K245" s="5">
        <f>_xlfn.XLOOKUP(worksheet!D245,products!$A$1:$A$49,products!$D$1:$D$49,0)</f>
        <v>0.5</v>
      </c>
      <c r="L245" s="6">
        <f>_xlfn.XLOOKUP(worksheet!D245,products!$A$1:$A$49,products!$E$1:$E$49,0)</f>
        <v>7.29</v>
      </c>
      <c r="M245" s="6">
        <f>worksheet!E245*worksheet!L245</f>
        <v>29.16</v>
      </c>
      <c r="N245" t="str">
        <f t="shared" si="6"/>
        <v>Excelsa</v>
      </c>
      <c r="O245" t="str">
        <f t="shared" si="7"/>
        <v>Dark</v>
      </c>
      <c r="P245" t="str">
        <f>_xlfn.XLOOKUP(worksheet[[#This Row],[Customer ID]],customers!$A$1:$A$1001,customers!$I$1:$I$1001,0)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
        <v>1869</v>
      </c>
      <c r="H246" s="2" t="str">
        <f>_xlfn.XLOOKUP(C246,customers!$A$1:$A$1001,customers!$G$1:$G$1001,0)</f>
        <v>United States</v>
      </c>
      <c r="I246" t="str">
        <f>_xlfn.XLOOKUP(D246,products!$A$1:$A$49,products!$B$1:$B$49,0)</f>
        <v>Lib</v>
      </c>
      <c r="J246" t="str">
        <f>_xlfn.XLOOKUP(worksheet!D246,products!$A$1:$A$49,products!$C$1:$C$49,0)</f>
        <v>M</v>
      </c>
      <c r="K246" s="5">
        <f>_xlfn.XLOOKUP(worksheet!D246,products!$A$1:$A$49,products!$D$1:$D$49,0)</f>
        <v>2.5</v>
      </c>
      <c r="L246" s="6">
        <f>_xlfn.XLOOKUP(worksheet!D246,products!$A$1:$A$49,products!$E$1:$E$49,0)</f>
        <v>33.464999999999996</v>
      </c>
      <c r="M246" s="6">
        <f>worksheet!E246*worksheet!L246</f>
        <v>133.85999999999999</v>
      </c>
      <c r="N246" t="str">
        <f t="shared" si="6"/>
        <v>Liberica</v>
      </c>
      <c r="O246" t="str">
        <f t="shared" si="7"/>
        <v>Medium</v>
      </c>
      <c r="P246" t="str">
        <f>_xlfn.XLOOKUP(worksheet[[#This Row],[Customer ID]],customers!$A$1:$A$1001,customers!$I$1:$I$1001,0)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
        <v>1875</v>
      </c>
      <c r="H247" s="2" t="str">
        <f>_xlfn.XLOOKUP(C247,customers!$A$1:$A$1001,customers!$G$1:$G$1001,0)</f>
        <v>United States</v>
      </c>
      <c r="I247" t="str">
        <f>_xlfn.XLOOKUP(D247,products!$A$1:$A$49,products!$B$1:$B$49,0)</f>
        <v>Lib</v>
      </c>
      <c r="J247" t="str">
        <f>_xlfn.XLOOKUP(worksheet!D247,products!$A$1:$A$49,products!$C$1:$C$49,0)</f>
        <v>L</v>
      </c>
      <c r="K247" s="5">
        <f>_xlfn.XLOOKUP(worksheet!D247,products!$A$1:$A$49,products!$D$1:$D$49,0)</f>
        <v>0.2</v>
      </c>
      <c r="L247" s="6">
        <f>_xlfn.XLOOKUP(worksheet!D247,products!$A$1:$A$49,products!$E$1:$E$49,0)</f>
        <v>4.7549999999999999</v>
      </c>
      <c r="M247" s="6">
        <f>worksheet!E247*worksheet!L247</f>
        <v>23.774999999999999</v>
      </c>
      <c r="N247" t="str">
        <f t="shared" si="6"/>
        <v>Liberica</v>
      </c>
      <c r="O247" t="str">
        <f t="shared" si="7"/>
        <v>Light</v>
      </c>
      <c r="P247" t="str">
        <f>_xlfn.XLOOKUP(worksheet[[#This Row],[Customer ID]],customers!$A$1:$A$1001,customers!$I$1:$I$1001,0)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
        <v>1881</v>
      </c>
      <c r="H248" s="2" t="str">
        <f>_xlfn.XLOOKUP(C248,customers!$A$1:$A$1001,customers!$G$1:$G$1001,0)</f>
        <v>United Kingdom</v>
      </c>
      <c r="I248" t="str">
        <f>_xlfn.XLOOKUP(D248,products!$A$1:$A$49,products!$B$1:$B$49,0)</f>
        <v>Lib</v>
      </c>
      <c r="J248" t="str">
        <f>_xlfn.XLOOKUP(worksheet!D248,products!$A$1:$A$49,products!$C$1:$C$49,0)</f>
        <v>D</v>
      </c>
      <c r="K248" s="5">
        <f>_xlfn.XLOOKUP(worksheet!D248,products!$A$1:$A$49,products!$D$1:$D$49,0)</f>
        <v>1</v>
      </c>
      <c r="L248" s="6">
        <f>_xlfn.XLOOKUP(worksheet!D248,products!$A$1:$A$49,products!$E$1:$E$49,0)</f>
        <v>12.95</v>
      </c>
      <c r="M248" s="6">
        <f>worksheet!E248*worksheet!L248</f>
        <v>38.849999999999994</v>
      </c>
      <c r="N248" t="str">
        <f t="shared" si="6"/>
        <v>Liberica</v>
      </c>
      <c r="O248" t="str">
        <f t="shared" si="7"/>
        <v>Dark</v>
      </c>
      <c r="P248" t="str">
        <f>_xlfn.XLOOKUP(worksheet[[#This Row],[Customer ID]],customers!$A$1:$A$1001,customers!$I$1:$I$1001,0)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
        <v>6222</v>
      </c>
      <c r="H249" s="2" t="str">
        <f>_xlfn.XLOOKUP(C249,customers!$A$1:$A$1001,customers!$G$1:$G$1001,0)</f>
        <v>Ireland</v>
      </c>
      <c r="I249" t="str">
        <f>_xlfn.XLOOKUP(D249,products!$A$1:$A$49,products!$B$1:$B$49,0)</f>
        <v>Rob</v>
      </c>
      <c r="J249" t="str">
        <f>_xlfn.XLOOKUP(worksheet!D249,products!$A$1:$A$49,products!$C$1:$C$49,0)</f>
        <v>L</v>
      </c>
      <c r="K249" s="5">
        <f>_xlfn.XLOOKUP(worksheet!D249,products!$A$1:$A$49,products!$D$1:$D$49,0)</f>
        <v>0.2</v>
      </c>
      <c r="L249" s="6">
        <f>_xlfn.XLOOKUP(worksheet!D249,products!$A$1:$A$49,products!$E$1:$E$49,0)</f>
        <v>3.5849999999999995</v>
      </c>
      <c r="M249" s="6">
        <f>worksheet!E249*worksheet!L249</f>
        <v>21.509999999999998</v>
      </c>
      <c r="N249" t="str">
        <f t="shared" si="6"/>
        <v>Robusta</v>
      </c>
      <c r="O249" t="str">
        <f t="shared" si="7"/>
        <v>Light</v>
      </c>
      <c r="P249" t="str">
        <f>_xlfn.XLOOKUP(worksheet[[#This Row],[Customer ID]],customers!$A$1:$A$1001,customers!$I$1:$I$1001,0)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
        <v>1892</v>
      </c>
      <c r="H250" s="2" t="str">
        <f>_xlfn.XLOOKUP(C250,customers!$A$1:$A$1001,customers!$G$1:$G$1001,0)</f>
        <v>United States</v>
      </c>
      <c r="I250" t="str">
        <f>_xlfn.XLOOKUP(D250,products!$A$1:$A$49,products!$B$1:$B$49,0)</f>
        <v>Ara</v>
      </c>
      <c r="J250" t="str">
        <f>_xlfn.XLOOKUP(worksheet!D250,products!$A$1:$A$49,products!$C$1:$C$49,0)</f>
        <v>D</v>
      </c>
      <c r="K250" s="5">
        <f>_xlfn.XLOOKUP(worksheet!D250,products!$A$1:$A$49,products!$D$1:$D$49,0)</f>
        <v>1</v>
      </c>
      <c r="L250" s="6">
        <f>_xlfn.XLOOKUP(worksheet!D250,products!$A$1:$A$49,products!$E$1:$E$49,0)</f>
        <v>9.9499999999999993</v>
      </c>
      <c r="M250" s="6">
        <f>worksheet!E250*worksheet!L250</f>
        <v>9.9499999999999993</v>
      </c>
      <c r="N250" t="str">
        <f t="shared" si="6"/>
        <v>Arabica</v>
      </c>
      <c r="O250" t="str">
        <f t="shared" si="7"/>
        <v>Dark</v>
      </c>
      <c r="P250" t="str">
        <f>_xlfn.XLOOKUP(worksheet[[#This Row],[Customer ID]],customers!$A$1:$A$1001,customers!$I$1:$I$1001,0)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
        <v>1937</v>
      </c>
      <c r="H251" s="2" t="str">
        <f>_xlfn.XLOOKUP(C251,customers!$A$1:$A$1001,customers!$G$1:$G$1001,0)</f>
        <v>United States</v>
      </c>
      <c r="I251" t="str">
        <f>_xlfn.XLOOKUP(D251,products!$A$1:$A$49,products!$B$1:$B$49,0)</f>
        <v>Lib</v>
      </c>
      <c r="J251" t="str">
        <f>_xlfn.XLOOKUP(worksheet!D251,products!$A$1:$A$49,products!$C$1:$C$49,0)</f>
        <v>L</v>
      </c>
      <c r="K251" s="5">
        <f>_xlfn.XLOOKUP(worksheet!D251,products!$A$1:$A$49,products!$D$1:$D$49,0)</f>
        <v>1</v>
      </c>
      <c r="L251" s="6">
        <f>_xlfn.XLOOKUP(worksheet!D251,products!$A$1:$A$49,products!$E$1:$E$49,0)</f>
        <v>15.85</v>
      </c>
      <c r="M251" s="6">
        <f>worksheet!E251*worksheet!L251</f>
        <v>15.85</v>
      </c>
      <c r="N251" t="str">
        <f t="shared" si="6"/>
        <v>Liberica</v>
      </c>
      <c r="O251" t="str">
        <f t="shared" si="7"/>
        <v>Light</v>
      </c>
      <c r="P251" t="str">
        <f>_xlfn.XLOOKUP(worksheet[[#This Row],[Customer ID]],customers!$A$1:$A$1001,customers!$I$1:$I$1001,0)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
        <v>1903</v>
      </c>
      <c r="H252" s="2" t="str">
        <f>_xlfn.XLOOKUP(C252,customers!$A$1:$A$1001,customers!$G$1:$G$1001,0)</f>
        <v>United States</v>
      </c>
      <c r="I252" t="str">
        <f>_xlfn.XLOOKUP(D252,products!$A$1:$A$49,products!$B$1:$B$49,0)</f>
        <v>Rob</v>
      </c>
      <c r="J252" t="str">
        <f>_xlfn.XLOOKUP(worksheet!D252,products!$A$1:$A$49,products!$C$1:$C$49,0)</f>
        <v>M</v>
      </c>
      <c r="K252" s="5">
        <f>_xlfn.XLOOKUP(worksheet!D252,products!$A$1:$A$49,products!$D$1:$D$49,0)</f>
        <v>0.2</v>
      </c>
      <c r="L252" s="6">
        <f>_xlfn.XLOOKUP(worksheet!D252,products!$A$1:$A$49,products!$E$1:$E$49,0)</f>
        <v>2.9849999999999999</v>
      </c>
      <c r="M252" s="6">
        <f>worksheet!E252*worksheet!L252</f>
        <v>2.9849999999999999</v>
      </c>
      <c r="N252" t="str">
        <f t="shared" si="6"/>
        <v>Robusta</v>
      </c>
      <c r="O252" t="str">
        <f t="shared" si="7"/>
        <v>Medium</v>
      </c>
      <c r="P252" t="str">
        <f>_xlfn.XLOOKUP(worksheet[[#This Row],[Customer ID]],customers!$A$1:$A$1001,customers!$I$1:$I$1001,0)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
        <v>1909</v>
      </c>
      <c r="H253" s="2" t="str">
        <f>_xlfn.XLOOKUP(C253,customers!$A$1:$A$1001,customers!$G$1:$G$1001,0)</f>
        <v>United States</v>
      </c>
      <c r="I253" t="str">
        <f>_xlfn.XLOOKUP(D253,products!$A$1:$A$49,products!$B$1:$B$49,0)</f>
        <v>Exc</v>
      </c>
      <c r="J253" t="str">
        <f>_xlfn.XLOOKUP(worksheet!D253,products!$A$1:$A$49,products!$C$1:$C$49,0)</f>
        <v>M</v>
      </c>
      <c r="K253" s="5">
        <f>_xlfn.XLOOKUP(worksheet!D253,products!$A$1:$A$49,products!$D$1:$D$49,0)</f>
        <v>1</v>
      </c>
      <c r="L253" s="6">
        <f>_xlfn.XLOOKUP(worksheet!D253,products!$A$1:$A$49,products!$E$1:$E$49,0)</f>
        <v>13.75</v>
      </c>
      <c r="M253" s="6">
        <f>worksheet!E253*worksheet!L253</f>
        <v>68.75</v>
      </c>
      <c r="N253" t="str">
        <f t="shared" si="6"/>
        <v>Excelsa</v>
      </c>
      <c r="O253" t="str">
        <f t="shared" si="7"/>
        <v>Medium</v>
      </c>
      <c r="P253" t="str">
        <f>_xlfn.XLOOKUP(worksheet[[#This Row],[Customer ID]],customers!$A$1:$A$1001,customers!$I$1:$I$1001,0)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
        <v>6222</v>
      </c>
      <c r="H254" s="2" t="str">
        <f>_xlfn.XLOOKUP(C254,customers!$A$1:$A$1001,customers!$G$1:$G$1001,0)</f>
        <v>United States</v>
      </c>
      <c r="I254" t="str">
        <f>_xlfn.XLOOKUP(D254,products!$A$1:$A$49,products!$B$1:$B$49,0)</f>
        <v>Ara</v>
      </c>
      <c r="J254" t="str">
        <f>_xlfn.XLOOKUP(worksheet!D254,products!$A$1:$A$49,products!$C$1:$C$49,0)</f>
        <v>D</v>
      </c>
      <c r="K254" s="5">
        <f>_xlfn.XLOOKUP(worksheet!D254,products!$A$1:$A$49,products!$D$1:$D$49,0)</f>
        <v>1</v>
      </c>
      <c r="L254" s="6">
        <f>_xlfn.XLOOKUP(worksheet!D254,products!$A$1:$A$49,products!$E$1:$E$49,0)</f>
        <v>9.9499999999999993</v>
      </c>
      <c r="M254" s="6">
        <f>worksheet!E254*worksheet!L254</f>
        <v>29.849999999999998</v>
      </c>
      <c r="N254" t="str">
        <f t="shared" si="6"/>
        <v>Arabica</v>
      </c>
      <c r="O254" t="str">
        <f t="shared" si="7"/>
        <v>Dark</v>
      </c>
      <c r="P254" t="str">
        <f>_xlfn.XLOOKUP(worksheet[[#This Row],[Customer ID]],customers!$A$1:$A$1001,customers!$I$1:$I$1001,0)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
        <v>1920</v>
      </c>
      <c r="H255" s="2" t="str">
        <f>_xlfn.XLOOKUP(C255,customers!$A$1:$A$1001,customers!$G$1:$G$1001,0)</f>
        <v>United States</v>
      </c>
      <c r="I255" t="str">
        <f>_xlfn.XLOOKUP(D255,products!$A$1:$A$49,products!$B$1:$B$49,0)</f>
        <v>Lib</v>
      </c>
      <c r="J255" t="str">
        <f>_xlfn.XLOOKUP(worksheet!D255,products!$A$1:$A$49,products!$C$1:$C$49,0)</f>
        <v>M</v>
      </c>
      <c r="K255" s="5">
        <f>_xlfn.XLOOKUP(worksheet!D255,products!$A$1:$A$49,products!$D$1:$D$49,0)</f>
        <v>1</v>
      </c>
      <c r="L255" s="6">
        <f>_xlfn.XLOOKUP(worksheet!D255,products!$A$1:$A$49,products!$E$1:$E$49,0)</f>
        <v>14.55</v>
      </c>
      <c r="M255" s="6">
        <f>worksheet!E255*worksheet!L255</f>
        <v>58.2</v>
      </c>
      <c r="N255" t="str">
        <f t="shared" si="6"/>
        <v>Liberica</v>
      </c>
      <c r="O255" t="str">
        <f t="shared" si="7"/>
        <v>Medium</v>
      </c>
      <c r="P255" t="str">
        <f>_xlfn.XLOOKUP(worksheet[[#This Row],[Customer ID]],customers!$A$1:$A$1001,customers!$I$1:$I$1001,0)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
        <v>1926</v>
      </c>
      <c r="H256" s="2" t="str">
        <f>_xlfn.XLOOKUP(C256,customers!$A$1:$A$1001,customers!$G$1:$G$1001,0)</f>
        <v>United Kingdom</v>
      </c>
      <c r="I256" t="str">
        <f>_xlfn.XLOOKUP(D256,products!$A$1:$A$49,products!$B$1:$B$49,0)</f>
        <v>Rob</v>
      </c>
      <c r="J256" t="str">
        <f>_xlfn.XLOOKUP(worksheet!D256,products!$A$1:$A$49,products!$C$1:$C$49,0)</f>
        <v>L</v>
      </c>
      <c r="K256" s="5">
        <f>_xlfn.XLOOKUP(worksheet!D256,products!$A$1:$A$49,products!$D$1:$D$49,0)</f>
        <v>0.5</v>
      </c>
      <c r="L256" s="6">
        <f>_xlfn.XLOOKUP(worksheet!D256,products!$A$1:$A$49,products!$E$1:$E$49,0)</f>
        <v>7.169999999999999</v>
      </c>
      <c r="M256" s="6">
        <f>worksheet!E256*worksheet!L256</f>
        <v>28.679999999999996</v>
      </c>
      <c r="N256" t="str">
        <f t="shared" si="6"/>
        <v>Robusta</v>
      </c>
      <c r="O256" t="str">
        <f t="shared" si="7"/>
        <v>Light</v>
      </c>
      <c r="P256" t="str">
        <f>_xlfn.XLOOKUP(worksheet[[#This Row],[Customer ID]],customers!$A$1:$A$1001,customers!$I$1:$I$1001,0)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
        <v>1931</v>
      </c>
      <c r="H257" s="2" t="str">
        <f>_xlfn.XLOOKUP(C257,customers!$A$1:$A$1001,customers!$G$1:$G$1001,0)</f>
        <v>United States</v>
      </c>
      <c r="I257" t="str">
        <f>_xlfn.XLOOKUP(D257,products!$A$1:$A$49,products!$B$1:$B$49,0)</f>
        <v>Rob</v>
      </c>
      <c r="J257" t="str">
        <f>_xlfn.XLOOKUP(worksheet!D257,products!$A$1:$A$49,products!$C$1:$C$49,0)</f>
        <v>L</v>
      </c>
      <c r="K257" s="5">
        <f>_xlfn.XLOOKUP(worksheet!D257,products!$A$1:$A$49,products!$D$1:$D$49,0)</f>
        <v>0.5</v>
      </c>
      <c r="L257" s="6">
        <f>_xlfn.XLOOKUP(worksheet!D257,products!$A$1:$A$49,products!$E$1:$E$49,0)</f>
        <v>7.169999999999999</v>
      </c>
      <c r="M257" s="6">
        <f>worksheet!E257*worksheet!L257</f>
        <v>21.509999999999998</v>
      </c>
      <c r="N257" t="str">
        <f t="shared" si="6"/>
        <v>Robusta</v>
      </c>
      <c r="O257" t="str">
        <f t="shared" si="7"/>
        <v>Light</v>
      </c>
      <c r="P257" t="str">
        <f>_xlfn.XLOOKUP(worksheet[[#This Row],[Customer ID]],customers!$A$1:$A$1001,customers!$I$1:$I$1001,0)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
        <v>1937</v>
      </c>
      <c r="H258" s="2" t="str">
        <f>_xlfn.XLOOKUP(C258,customers!$A$1:$A$1001,customers!$G$1:$G$1001,0)</f>
        <v>United States</v>
      </c>
      <c r="I258" t="str">
        <f>_xlfn.XLOOKUP(D258,products!$A$1:$A$49,products!$B$1:$B$49,0)</f>
        <v>Lib</v>
      </c>
      <c r="J258" t="str">
        <f>_xlfn.XLOOKUP(worksheet!D258,products!$A$1:$A$49,products!$C$1:$C$49,0)</f>
        <v>M</v>
      </c>
      <c r="K258" s="5">
        <f>_xlfn.XLOOKUP(worksheet!D258,products!$A$1:$A$49,products!$D$1:$D$49,0)</f>
        <v>0.5</v>
      </c>
      <c r="L258" s="6">
        <f>_xlfn.XLOOKUP(worksheet!D258,products!$A$1:$A$49,products!$E$1:$E$49,0)</f>
        <v>8.73</v>
      </c>
      <c r="M258" s="6">
        <f>worksheet!E258*worksheet!L258</f>
        <v>17.46</v>
      </c>
      <c r="N258" t="str">
        <f t="shared" si="6"/>
        <v>Liberica</v>
      </c>
      <c r="O258" t="str">
        <f t="shared" si="7"/>
        <v>Medium</v>
      </c>
      <c r="P258" t="str">
        <f>_xlfn.XLOOKUP(worksheet[[#This Row],[Customer ID]],customers!$A$1:$A$1001,customers!$I$1:$I$1001,0)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
        <v>1943</v>
      </c>
      <c r="H259" s="2" t="str">
        <f>_xlfn.XLOOKUP(C259,customers!$A$1:$A$1001,customers!$G$1:$G$1001,0)</f>
        <v>United States</v>
      </c>
      <c r="I259" t="str">
        <f>_xlfn.XLOOKUP(D259,products!$A$1:$A$49,products!$B$1:$B$49,0)</f>
        <v>Exc</v>
      </c>
      <c r="J259" t="str">
        <f>_xlfn.XLOOKUP(worksheet!D259,products!$A$1:$A$49,products!$C$1:$C$49,0)</f>
        <v>D</v>
      </c>
      <c r="K259" s="5">
        <f>_xlfn.XLOOKUP(worksheet!D259,products!$A$1:$A$49,products!$D$1:$D$49,0)</f>
        <v>2.5</v>
      </c>
      <c r="L259" s="6">
        <f>_xlfn.XLOOKUP(worksheet!D259,products!$A$1:$A$49,products!$E$1:$E$49,0)</f>
        <v>27.945</v>
      </c>
      <c r="M259" s="6">
        <f>worksheet!E259*worksheet!L259</f>
        <v>27.945</v>
      </c>
      <c r="N259" t="str">
        <f t="shared" ref="N259:N322" si="8">IF(I259="Rob","Robusta",IF(I259="Exc","Excelsa",IF(I259="Ara","Arabica",IF(I259="Lib","Liberica",""))))</f>
        <v>Excelsa</v>
      </c>
      <c r="O259" t="str">
        <f t="shared" ref="O259:O322" si="9">IF(J259="M","Medium",IF(J259="L","Light",IF(J259="D","Dark","")))</f>
        <v>Dark</v>
      </c>
      <c r="P259" t="str">
        <f>_xlfn.XLOOKUP(worksheet[[#This Row],[Customer ID]],customers!$A$1:$A$1001,customers!$I$1:$I$1001,0)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
        <v>1949</v>
      </c>
      <c r="H260" s="2" t="str">
        <f>_xlfn.XLOOKUP(C260,customers!$A$1:$A$1001,customers!$G$1:$G$1001,0)</f>
        <v>United States</v>
      </c>
      <c r="I260" t="str">
        <f>_xlfn.XLOOKUP(D260,products!$A$1:$A$49,products!$B$1:$B$49,0)</f>
        <v>Exc</v>
      </c>
      <c r="J260" t="str">
        <f>_xlfn.XLOOKUP(worksheet!D260,products!$A$1:$A$49,products!$C$1:$C$49,0)</f>
        <v>D</v>
      </c>
      <c r="K260" s="5">
        <f>_xlfn.XLOOKUP(worksheet!D260,products!$A$1:$A$49,products!$D$1:$D$49,0)</f>
        <v>2.5</v>
      </c>
      <c r="L260" s="6">
        <f>_xlfn.XLOOKUP(worksheet!D260,products!$A$1:$A$49,products!$E$1:$E$49,0)</f>
        <v>27.945</v>
      </c>
      <c r="M260" s="6">
        <f>worksheet!E260*worksheet!L260</f>
        <v>139.72499999999999</v>
      </c>
      <c r="N260" t="str">
        <f t="shared" si="8"/>
        <v>Excelsa</v>
      </c>
      <c r="O260" t="str">
        <f t="shared" si="9"/>
        <v>Dark</v>
      </c>
      <c r="P260" t="str">
        <f>_xlfn.XLOOKUP(worksheet[[#This Row],[Customer ID]],customers!$A$1:$A$1001,customers!$I$1:$I$1001,0)</f>
        <v>No</v>
      </c>
    </row>
    <row r="261" spans="1:16" x14ac:dyDescent="0.25">
      <c r="A261" s="2" t="s">
        <v>1952</v>
      </c>
      <c r="B261" s="4">
        <v>44355</v>
      </c>
      <c r="C261" s="2" t="s">
        <v>1953</v>
      </c>
      <c r="D261" t="s">
        <v>6174</v>
      </c>
      <c r="E261" s="2">
        <v>2</v>
      </c>
      <c r="F261" s="2" t="str">
        <f>_xlfn.XLOOKUP(C261,customers!$A$1:$A$1001,customers!$B$1:$B$1001,0)</f>
        <v>Irv Hay</v>
      </c>
      <c r="G261" s="2" t="s">
        <v>1955</v>
      </c>
      <c r="H261" s="2" t="str">
        <f>_xlfn.XLOOKUP(C261,customers!$A$1:$A$1001,customers!$G$1:$G$1001,0)</f>
        <v>United Kingdom</v>
      </c>
      <c r="I261" t="str">
        <f>_xlfn.XLOOKUP(D261,products!$A$1:$A$49,products!$B$1:$B$49,0)</f>
        <v>Rob</v>
      </c>
      <c r="J261" t="str">
        <f>_xlfn.XLOOKUP(worksheet!D261,products!$A$1:$A$49,products!$C$1:$C$49,0)</f>
        <v>M</v>
      </c>
      <c r="K261" s="5">
        <f>_xlfn.XLOOKUP(worksheet!D261,products!$A$1:$A$49,products!$D$1:$D$49,0)</f>
        <v>0.2</v>
      </c>
      <c r="L261" s="6">
        <f>_xlfn.XLOOKUP(worksheet!D261,products!$A$1:$A$49,products!$E$1:$E$49,0)</f>
        <v>2.9849999999999999</v>
      </c>
      <c r="M261" s="6">
        <f>worksheet!E261*worksheet!L261</f>
        <v>5.97</v>
      </c>
      <c r="N261" t="str">
        <f t="shared" si="8"/>
        <v>Robusta</v>
      </c>
      <c r="O261" t="str">
        <f t="shared" si="9"/>
        <v>Medium</v>
      </c>
      <c r="P261" t="str">
        <f>_xlfn.XLOOKUP(worksheet[[#This Row],[Customer ID]],customers!$A$1:$A$1001,customers!$I$1:$I$1001,0)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
        <v>1961</v>
      </c>
      <c r="H262" s="2" t="str">
        <f>_xlfn.XLOOKUP(C262,customers!$A$1:$A$1001,customers!$G$1:$G$1001,0)</f>
        <v>United States</v>
      </c>
      <c r="I262" t="str">
        <f>_xlfn.XLOOKUP(D262,products!$A$1:$A$49,products!$B$1:$B$49,0)</f>
        <v>Rob</v>
      </c>
      <c r="J262" t="str">
        <f>_xlfn.XLOOKUP(worksheet!D262,products!$A$1:$A$49,products!$C$1:$C$49,0)</f>
        <v>L</v>
      </c>
      <c r="K262" s="5">
        <f>_xlfn.XLOOKUP(worksheet!D262,products!$A$1:$A$49,products!$D$1:$D$49,0)</f>
        <v>2.5</v>
      </c>
      <c r="L262" s="6">
        <f>_xlfn.XLOOKUP(worksheet!D262,products!$A$1:$A$49,products!$E$1:$E$49,0)</f>
        <v>27.484999999999996</v>
      </c>
      <c r="M262" s="6">
        <f>worksheet!E262*worksheet!L262</f>
        <v>27.484999999999996</v>
      </c>
      <c r="N262" t="str">
        <f t="shared" si="8"/>
        <v>Robusta</v>
      </c>
      <c r="O262" t="str">
        <f t="shared" si="9"/>
        <v>Light</v>
      </c>
      <c r="P262" t="str">
        <f>_xlfn.XLOOKUP(worksheet[[#This Row],[Customer ID]],customers!$A$1:$A$1001,customers!$I$1:$I$1001,0)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
        <v>1966</v>
      </c>
      <c r="H263" s="2" t="str">
        <f>_xlfn.XLOOKUP(C263,customers!$A$1:$A$1001,customers!$G$1:$G$1001,0)</f>
        <v>United States</v>
      </c>
      <c r="I263" t="str">
        <f>_xlfn.XLOOKUP(D263,products!$A$1:$A$49,products!$B$1:$B$49,0)</f>
        <v>Rob</v>
      </c>
      <c r="J263" t="str">
        <f>_xlfn.XLOOKUP(worksheet!D263,products!$A$1:$A$49,products!$C$1:$C$49,0)</f>
        <v>L</v>
      </c>
      <c r="K263" s="5">
        <f>_xlfn.XLOOKUP(worksheet!D263,products!$A$1:$A$49,products!$D$1:$D$49,0)</f>
        <v>1</v>
      </c>
      <c r="L263" s="6">
        <f>_xlfn.XLOOKUP(worksheet!D263,products!$A$1:$A$49,products!$E$1:$E$49,0)</f>
        <v>11.95</v>
      </c>
      <c r="M263" s="6">
        <f>worksheet!E263*worksheet!L263</f>
        <v>59.75</v>
      </c>
      <c r="N263" t="str">
        <f t="shared" si="8"/>
        <v>Robusta</v>
      </c>
      <c r="O263" t="str">
        <f t="shared" si="9"/>
        <v>Light</v>
      </c>
      <c r="P263" t="str">
        <f>_xlfn.XLOOKUP(worksheet[[#This Row],[Customer ID]],customers!$A$1:$A$1001,customers!$I$1:$I$1001,0)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
        <v>1972</v>
      </c>
      <c r="H264" s="2" t="str">
        <f>_xlfn.XLOOKUP(C264,customers!$A$1:$A$1001,customers!$G$1:$G$1001,0)</f>
        <v>United States</v>
      </c>
      <c r="I264" t="str">
        <f>_xlfn.XLOOKUP(D264,products!$A$1:$A$49,products!$B$1:$B$49,0)</f>
        <v>Exc</v>
      </c>
      <c r="J264" t="str">
        <f>_xlfn.XLOOKUP(worksheet!D264,products!$A$1:$A$49,products!$C$1:$C$49,0)</f>
        <v>M</v>
      </c>
      <c r="K264" s="5">
        <f>_xlfn.XLOOKUP(worksheet!D264,products!$A$1:$A$49,products!$D$1:$D$49,0)</f>
        <v>1</v>
      </c>
      <c r="L264" s="6">
        <f>_xlfn.XLOOKUP(worksheet!D264,products!$A$1:$A$49,products!$E$1:$E$49,0)</f>
        <v>13.75</v>
      </c>
      <c r="M264" s="6">
        <f>worksheet!E264*worksheet!L264</f>
        <v>41.25</v>
      </c>
      <c r="N264" t="str">
        <f t="shared" si="8"/>
        <v>Excelsa</v>
      </c>
      <c r="O264" t="str">
        <f t="shared" si="9"/>
        <v>Medium</v>
      </c>
      <c r="P264" t="str">
        <f>_xlfn.XLOOKUP(worksheet[[#This Row],[Customer ID]],customers!$A$1:$A$1001,customers!$I$1:$I$1001,0)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
        <v>6222</v>
      </c>
      <c r="H265" s="2" t="str">
        <f>_xlfn.XLOOKUP(C265,customers!$A$1:$A$1001,customers!$G$1:$G$1001,0)</f>
        <v>United States</v>
      </c>
      <c r="I265" t="str">
        <f>_xlfn.XLOOKUP(D265,products!$A$1:$A$49,products!$B$1:$B$49,0)</f>
        <v>Lib</v>
      </c>
      <c r="J265" t="str">
        <f>_xlfn.XLOOKUP(worksheet!D265,products!$A$1:$A$49,products!$C$1:$C$49,0)</f>
        <v>M</v>
      </c>
      <c r="K265" s="5">
        <f>_xlfn.XLOOKUP(worksheet!D265,products!$A$1:$A$49,products!$D$1:$D$49,0)</f>
        <v>2.5</v>
      </c>
      <c r="L265" s="6">
        <f>_xlfn.XLOOKUP(worksheet!D265,products!$A$1:$A$49,products!$E$1:$E$49,0)</f>
        <v>33.464999999999996</v>
      </c>
      <c r="M265" s="6">
        <f>worksheet!E265*worksheet!L265</f>
        <v>133.85999999999999</v>
      </c>
      <c r="N265" t="str">
        <f t="shared" si="8"/>
        <v>Liberica</v>
      </c>
      <c r="O265" t="str">
        <f t="shared" si="9"/>
        <v>Medium</v>
      </c>
      <c r="P265" t="str">
        <f>_xlfn.XLOOKUP(worksheet[[#This Row],[Customer ID]],customers!$A$1:$A$1001,customers!$I$1:$I$1001,0)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
        <v>6222</v>
      </c>
      <c r="H266" s="2" t="str">
        <f>_xlfn.XLOOKUP(C266,customers!$A$1:$A$1001,customers!$G$1:$G$1001,0)</f>
        <v>Ireland</v>
      </c>
      <c r="I266" t="str">
        <f>_xlfn.XLOOKUP(D266,products!$A$1:$A$49,products!$B$1:$B$49,0)</f>
        <v>Rob</v>
      </c>
      <c r="J266" t="str">
        <f>_xlfn.XLOOKUP(worksheet!D266,products!$A$1:$A$49,products!$C$1:$C$49,0)</f>
        <v>L</v>
      </c>
      <c r="K266" s="5">
        <f>_xlfn.XLOOKUP(worksheet!D266,products!$A$1:$A$49,products!$D$1:$D$49,0)</f>
        <v>1</v>
      </c>
      <c r="L266" s="6">
        <f>_xlfn.XLOOKUP(worksheet!D266,products!$A$1:$A$49,products!$E$1:$E$49,0)</f>
        <v>11.95</v>
      </c>
      <c r="M266" s="6">
        <f>worksheet!E266*worksheet!L266</f>
        <v>59.75</v>
      </c>
      <c r="N266" t="str">
        <f t="shared" si="8"/>
        <v>Robusta</v>
      </c>
      <c r="O266" t="str">
        <f t="shared" si="9"/>
        <v>Light</v>
      </c>
      <c r="P266" t="str">
        <f>_xlfn.XLOOKUP(worksheet[[#This Row],[Customer ID]],customers!$A$1:$A$1001,customers!$I$1:$I$1001,0)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
        <v>1989</v>
      </c>
      <c r="H267" s="2" t="str">
        <f>_xlfn.XLOOKUP(C267,customers!$A$1:$A$1001,customers!$G$1:$G$1001,0)</f>
        <v>United States</v>
      </c>
      <c r="I267" t="str">
        <f>_xlfn.XLOOKUP(D267,products!$A$1:$A$49,products!$B$1:$B$49,0)</f>
        <v>Ara</v>
      </c>
      <c r="J267" t="str">
        <f>_xlfn.XLOOKUP(worksheet!D267,products!$A$1:$A$49,products!$C$1:$C$49,0)</f>
        <v>D</v>
      </c>
      <c r="K267" s="5">
        <f>_xlfn.XLOOKUP(worksheet!D267,products!$A$1:$A$49,products!$D$1:$D$49,0)</f>
        <v>0.5</v>
      </c>
      <c r="L267" s="6">
        <f>_xlfn.XLOOKUP(worksheet!D267,products!$A$1:$A$49,products!$E$1:$E$49,0)</f>
        <v>5.97</v>
      </c>
      <c r="M267" s="6">
        <f>worksheet!E267*worksheet!L267</f>
        <v>5.97</v>
      </c>
      <c r="N267" t="str">
        <f t="shared" si="8"/>
        <v>Arabica</v>
      </c>
      <c r="O267" t="str">
        <f t="shared" si="9"/>
        <v>Dark</v>
      </c>
      <c r="P267" t="str">
        <f>_xlfn.XLOOKUP(worksheet[[#This Row],[Customer ID]],customers!$A$1:$A$1001,customers!$I$1:$I$1001,0)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
        <v>1995</v>
      </c>
      <c r="H268" s="2" t="str">
        <f>_xlfn.XLOOKUP(C268,customers!$A$1:$A$1001,customers!$G$1:$G$1001,0)</f>
        <v>United Kingdom</v>
      </c>
      <c r="I268" t="str">
        <f>_xlfn.XLOOKUP(D268,products!$A$1:$A$49,products!$B$1:$B$49,0)</f>
        <v>Exc</v>
      </c>
      <c r="J268" t="str">
        <f>_xlfn.XLOOKUP(worksheet!D268,products!$A$1:$A$49,products!$C$1:$C$49,0)</f>
        <v>D</v>
      </c>
      <c r="K268" s="5">
        <f>_xlfn.XLOOKUP(worksheet!D268,products!$A$1:$A$49,products!$D$1:$D$49,0)</f>
        <v>1</v>
      </c>
      <c r="L268" s="6">
        <f>_xlfn.XLOOKUP(worksheet!D268,products!$A$1:$A$49,products!$E$1:$E$49,0)</f>
        <v>12.15</v>
      </c>
      <c r="M268" s="6">
        <f>worksheet!E268*worksheet!L268</f>
        <v>24.3</v>
      </c>
      <c r="N268" t="str">
        <f t="shared" si="8"/>
        <v>Excelsa</v>
      </c>
      <c r="O268" t="str">
        <f t="shared" si="9"/>
        <v>Dark</v>
      </c>
      <c r="P268" t="str">
        <f>_xlfn.XLOOKUP(worksheet[[#This Row],[Customer ID]],customers!$A$1:$A$1001,customers!$I$1:$I$1001,0)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
        <v>2001</v>
      </c>
      <c r="H269" s="2" t="str">
        <f>_xlfn.XLOOKUP(C269,customers!$A$1:$A$1001,customers!$G$1:$G$1001,0)</f>
        <v>United States</v>
      </c>
      <c r="I269" t="str">
        <f>_xlfn.XLOOKUP(D269,products!$A$1:$A$49,products!$B$1:$B$49,0)</f>
        <v>Exc</v>
      </c>
      <c r="J269" t="str">
        <f>_xlfn.XLOOKUP(worksheet!D269,products!$A$1:$A$49,products!$C$1:$C$49,0)</f>
        <v>D</v>
      </c>
      <c r="K269" s="5">
        <f>_xlfn.XLOOKUP(worksheet!D269,products!$A$1:$A$49,products!$D$1:$D$49,0)</f>
        <v>0.2</v>
      </c>
      <c r="L269" s="6">
        <f>_xlfn.XLOOKUP(worksheet!D269,products!$A$1:$A$49,products!$E$1:$E$49,0)</f>
        <v>3.645</v>
      </c>
      <c r="M269" s="6">
        <f>worksheet!E269*worksheet!L269</f>
        <v>21.87</v>
      </c>
      <c r="N269" t="str">
        <f t="shared" si="8"/>
        <v>Excelsa</v>
      </c>
      <c r="O269" t="str">
        <f t="shared" si="9"/>
        <v>Dark</v>
      </c>
      <c r="P269" t="str">
        <f>_xlfn.XLOOKUP(worksheet[[#This Row],[Customer ID]],customers!$A$1:$A$1001,customers!$I$1:$I$1001,0)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
        <v>1674</v>
      </c>
      <c r="H270" s="2" t="str">
        <f>_xlfn.XLOOKUP(C270,customers!$A$1:$A$1001,customers!$G$1:$G$1001,0)</f>
        <v>United States</v>
      </c>
      <c r="I270" t="str">
        <f>_xlfn.XLOOKUP(D270,products!$A$1:$A$49,products!$B$1:$B$49,0)</f>
        <v>Ara</v>
      </c>
      <c r="J270" t="str">
        <f>_xlfn.XLOOKUP(worksheet!D270,products!$A$1:$A$49,products!$C$1:$C$49,0)</f>
        <v>D</v>
      </c>
      <c r="K270" s="5">
        <f>_xlfn.XLOOKUP(worksheet!D270,products!$A$1:$A$49,products!$D$1:$D$49,0)</f>
        <v>1</v>
      </c>
      <c r="L270" s="6">
        <f>_xlfn.XLOOKUP(worksheet!D270,products!$A$1:$A$49,products!$E$1:$E$49,0)</f>
        <v>9.9499999999999993</v>
      </c>
      <c r="M270" s="6">
        <f>worksheet!E270*worksheet!L270</f>
        <v>19.899999999999999</v>
      </c>
      <c r="N270" t="str">
        <f t="shared" si="8"/>
        <v>Arabica</v>
      </c>
      <c r="O270" t="str">
        <f t="shared" si="9"/>
        <v>Dark</v>
      </c>
      <c r="P270" t="str">
        <f>_xlfn.XLOOKUP(worksheet[[#This Row],[Customer ID]],customers!$A$1:$A$1001,customers!$I$1:$I$1001,0)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
        <v>2012</v>
      </c>
      <c r="H271" s="2" t="str">
        <f>_xlfn.XLOOKUP(C271,customers!$A$1:$A$1001,customers!$G$1:$G$1001,0)</f>
        <v>United States</v>
      </c>
      <c r="I271" t="str">
        <f>_xlfn.XLOOKUP(D271,products!$A$1:$A$49,products!$B$1:$B$49,0)</f>
        <v>Ara</v>
      </c>
      <c r="J271" t="str">
        <f>_xlfn.XLOOKUP(worksheet!D271,products!$A$1:$A$49,products!$C$1:$C$49,0)</f>
        <v>D</v>
      </c>
      <c r="K271" s="5">
        <f>_xlfn.XLOOKUP(worksheet!D271,products!$A$1:$A$49,products!$D$1:$D$49,0)</f>
        <v>0.2</v>
      </c>
      <c r="L271" s="6">
        <f>_xlfn.XLOOKUP(worksheet!D271,products!$A$1:$A$49,products!$E$1:$E$49,0)</f>
        <v>2.9849999999999999</v>
      </c>
      <c r="M271" s="6">
        <f>worksheet!E271*worksheet!L271</f>
        <v>5.97</v>
      </c>
      <c r="N271" t="str">
        <f t="shared" si="8"/>
        <v>Arabica</v>
      </c>
      <c r="O271" t="str">
        <f t="shared" si="9"/>
        <v>Dark</v>
      </c>
      <c r="P271" t="str">
        <f>_xlfn.XLOOKUP(worksheet[[#This Row],[Customer ID]],customers!$A$1:$A$1001,customers!$I$1:$I$1001,0)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
        <v>6222</v>
      </c>
      <c r="H272" s="2" t="str">
        <f>_xlfn.XLOOKUP(C272,customers!$A$1:$A$1001,customers!$G$1:$G$1001,0)</f>
        <v>Ireland</v>
      </c>
      <c r="I272" t="str">
        <f>_xlfn.XLOOKUP(D272,products!$A$1:$A$49,products!$B$1:$B$49,0)</f>
        <v>Exc</v>
      </c>
      <c r="J272" t="str">
        <f>_xlfn.XLOOKUP(worksheet!D272,products!$A$1:$A$49,products!$C$1:$C$49,0)</f>
        <v>D</v>
      </c>
      <c r="K272" s="5">
        <f>_xlfn.XLOOKUP(worksheet!D272,products!$A$1:$A$49,products!$D$1:$D$49,0)</f>
        <v>0.5</v>
      </c>
      <c r="L272" s="6">
        <f>_xlfn.XLOOKUP(worksheet!D272,products!$A$1:$A$49,products!$E$1:$E$49,0)</f>
        <v>7.29</v>
      </c>
      <c r="M272" s="6">
        <f>worksheet!E272*worksheet!L272</f>
        <v>7.29</v>
      </c>
      <c r="N272" t="str">
        <f t="shared" si="8"/>
        <v>Excelsa</v>
      </c>
      <c r="O272" t="str">
        <f t="shared" si="9"/>
        <v>Dark</v>
      </c>
      <c r="P272" t="str">
        <f>_xlfn.XLOOKUP(worksheet[[#This Row],[Customer ID]],customers!$A$1:$A$1001,customers!$I$1:$I$1001,0)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
        <v>2022</v>
      </c>
      <c r="H273" s="2" t="str">
        <f>_xlfn.XLOOKUP(C273,customers!$A$1:$A$1001,customers!$G$1:$G$1001,0)</f>
        <v>United States</v>
      </c>
      <c r="I273" t="str">
        <f>_xlfn.XLOOKUP(D273,products!$A$1:$A$49,products!$B$1:$B$49,0)</f>
        <v>Ara</v>
      </c>
      <c r="J273" t="str">
        <f>_xlfn.XLOOKUP(worksheet!D273,products!$A$1:$A$49,products!$C$1:$C$49,0)</f>
        <v>D</v>
      </c>
      <c r="K273" s="5">
        <f>_xlfn.XLOOKUP(worksheet!D273,products!$A$1:$A$49,products!$D$1:$D$49,0)</f>
        <v>0.2</v>
      </c>
      <c r="L273" s="6">
        <f>_xlfn.XLOOKUP(worksheet!D273,products!$A$1:$A$49,products!$E$1:$E$49,0)</f>
        <v>2.9849999999999999</v>
      </c>
      <c r="M273" s="6">
        <f>worksheet!E273*worksheet!L273</f>
        <v>11.94</v>
      </c>
      <c r="N273" t="str">
        <f t="shared" si="8"/>
        <v>Arabica</v>
      </c>
      <c r="O273" t="str">
        <f t="shared" si="9"/>
        <v>Dark</v>
      </c>
      <c r="P273" t="str">
        <f>_xlfn.XLOOKUP(worksheet[[#This Row],[Customer ID]],customers!$A$1:$A$1001,customers!$I$1:$I$1001,0)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
        <v>2028</v>
      </c>
      <c r="H274" s="2" t="str">
        <f>_xlfn.XLOOKUP(C274,customers!$A$1:$A$1001,customers!$G$1:$G$1001,0)</f>
        <v>Ireland</v>
      </c>
      <c r="I274" t="str">
        <f>_xlfn.XLOOKUP(D274,products!$A$1:$A$49,products!$B$1:$B$49,0)</f>
        <v>Rob</v>
      </c>
      <c r="J274" t="str">
        <f>_xlfn.XLOOKUP(worksheet!D274,products!$A$1:$A$49,products!$C$1:$C$49,0)</f>
        <v>L</v>
      </c>
      <c r="K274" s="5">
        <f>_xlfn.XLOOKUP(worksheet!D274,products!$A$1:$A$49,products!$D$1:$D$49,0)</f>
        <v>1</v>
      </c>
      <c r="L274" s="6">
        <f>_xlfn.XLOOKUP(worksheet!D274,products!$A$1:$A$49,products!$E$1:$E$49,0)</f>
        <v>11.95</v>
      </c>
      <c r="M274" s="6">
        <f>worksheet!E274*worksheet!L274</f>
        <v>71.699999999999989</v>
      </c>
      <c r="N274" t="str">
        <f t="shared" si="8"/>
        <v>Robusta</v>
      </c>
      <c r="O274" t="str">
        <f t="shared" si="9"/>
        <v>Light</v>
      </c>
      <c r="P274" t="str">
        <f>_xlfn.XLOOKUP(worksheet[[#This Row],[Customer ID]],customers!$A$1:$A$1001,customers!$I$1:$I$1001,0)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
        <v>2035</v>
      </c>
      <c r="H275" s="2" t="str">
        <f>_xlfn.XLOOKUP(C275,customers!$A$1:$A$1001,customers!$G$1:$G$1001,0)</f>
        <v>United States</v>
      </c>
      <c r="I275" t="str">
        <f>_xlfn.XLOOKUP(D275,products!$A$1:$A$49,products!$B$1:$B$49,0)</f>
        <v>Ara</v>
      </c>
      <c r="J275" t="str">
        <f>_xlfn.XLOOKUP(worksheet!D275,products!$A$1:$A$49,products!$C$1:$C$49,0)</f>
        <v>L</v>
      </c>
      <c r="K275" s="5">
        <f>_xlfn.XLOOKUP(worksheet!D275,products!$A$1:$A$49,products!$D$1:$D$49,0)</f>
        <v>0.2</v>
      </c>
      <c r="L275" s="6">
        <f>_xlfn.XLOOKUP(worksheet!D275,products!$A$1:$A$49,products!$E$1:$E$49,0)</f>
        <v>3.8849999999999998</v>
      </c>
      <c r="M275" s="6">
        <f>worksheet!E275*worksheet!L275</f>
        <v>7.77</v>
      </c>
      <c r="N275" t="str">
        <f t="shared" si="8"/>
        <v>Arabica</v>
      </c>
      <c r="O275" t="str">
        <f t="shared" si="9"/>
        <v>Light</v>
      </c>
      <c r="P275" t="str">
        <f>_xlfn.XLOOKUP(worksheet[[#This Row],[Customer ID]],customers!$A$1:$A$1001,customers!$I$1:$I$1001,0)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
        <v>2041</v>
      </c>
      <c r="H276" s="2" t="str">
        <f>_xlfn.XLOOKUP(C276,customers!$A$1:$A$1001,customers!$G$1:$G$1001,0)</f>
        <v>United States</v>
      </c>
      <c r="I276" t="str">
        <f>_xlfn.XLOOKUP(D276,products!$A$1:$A$49,products!$B$1:$B$49,0)</f>
        <v>Ara</v>
      </c>
      <c r="J276" t="str">
        <f>_xlfn.XLOOKUP(worksheet!D276,products!$A$1:$A$49,products!$C$1:$C$49,0)</f>
        <v>M</v>
      </c>
      <c r="K276" s="5">
        <f>_xlfn.XLOOKUP(worksheet!D276,products!$A$1:$A$49,products!$D$1:$D$49,0)</f>
        <v>2.5</v>
      </c>
      <c r="L276" s="6">
        <f>_xlfn.XLOOKUP(worksheet!D276,products!$A$1:$A$49,products!$E$1:$E$49,0)</f>
        <v>25.874999999999996</v>
      </c>
      <c r="M276" s="6">
        <f>worksheet!E276*worksheet!L276</f>
        <v>25.874999999999996</v>
      </c>
      <c r="N276" t="str">
        <f t="shared" si="8"/>
        <v>Arabica</v>
      </c>
      <c r="O276" t="str">
        <f t="shared" si="9"/>
        <v>Medium</v>
      </c>
      <c r="P276" t="str">
        <f>_xlfn.XLOOKUP(worksheet[[#This Row],[Customer ID]],customers!$A$1:$A$1001,customers!$I$1:$I$1001,0)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
        <v>2047</v>
      </c>
      <c r="H277" s="2" t="str">
        <f>_xlfn.XLOOKUP(C277,customers!$A$1:$A$1001,customers!$G$1:$G$1001,0)</f>
        <v>United States</v>
      </c>
      <c r="I277" t="str">
        <f>_xlfn.XLOOKUP(D277,products!$A$1:$A$49,products!$B$1:$B$49,0)</f>
        <v>Exc</v>
      </c>
      <c r="J277" t="str">
        <f>_xlfn.XLOOKUP(worksheet!D277,products!$A$1:$A$49,products!$C$1:$C$49,0)</f>
        <v>L</v>
      </c>
      <c r="K277" s="5">
        <f>_xlfn.XLOOKUP(worksheet!D277,products!$A$1:$A$49,products!$D$1:$D$49,0)</f>
        <v>2.5</v>
      </c>
      <c r="L277" s="6">
        <f>_xlfn.XLOOKUP(worksheet!D277,products!$A$1:$A$49,products!$E$1:$E$49,0)</f>
        <v>34.154999999999994</v>
      </c>
      <c r="M277" s="6">
        <f>worksheet!E277*worksheet!L277</f>
        <v>204.92999999999995</v>
      </c>
      <c r="N277" t="str">
        <f t="shared" si="8"/>
        <v>Excelsa</v>
      </c>
      <c r="O277" t="str">
        <f t="shared" si="9"/>
        <v>Light</v>
      </c>
      <c r="P277" t="str">
        <f>_xlfn.XLOOKUP(worksheet[[#This Row],[Customer ID]],customers!$A$1:$A$1001,customers!$I$1:$I$1001,0)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
        <v>2053</v>
      </c>
      <c r="H278" s="2" t="str">
        <f>_xlfn.XLOOKUP(C278,customers!$A$1:$A$1001,customers!$G$1:$G$1001,0)</f>
        <v>Ireland</v>
      </c>
      <c r="I278" t="str">
        <f>_xlfn.XLOOKUP(D278,products!$A$1:$A$49,products!$B$1:$B$49,0)</f>
        <v>Rob</v>
      </c>
      <c r="J278" t="str">
        <f>_xlfn.XLOOKUP(worksheet!D278,products!$A$1:$A$49,products!$C$1:$C$49,0)</f>
        <v>L</v>
      </c>
      <c r="K278" s="5">
        <f>_xlfn.XLOOKUP(worksheet!D278,products!$A$1:$A$49,products!$D$1:$D$49,0)</f>
        <v>2.5</v>
      </c>
      <c r="L278" s="6">
        <f>_xlfn.XLOOKUP(worksheet!D278,products!$A$1:$A$49,products!$E$1:$E$49,0)</f>
        <v>27.484999999999996</v>
      </c>
      <c r="M278" s="6">
        <f>worksheet!E278*worksheet!L278</f>
        <v>109.93999999999998</v>
      </c>
      <c r="N278" t="str">
        <f t="shared" si="8"/>
        <v>Robusta</v>
      </c>
      <c r="O278" t="str">
        <f t="shared" si="9"/>
        <v>Light</v>
      </c>
      <c r="P278" t="str">
        <f>_xlfn.XLOOKUP(worksheet[[#This Row],[Customer ID]],customers!$A$1:$A$1001,customers!$I$1:$I$1001,0)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
        <v>2059</v>
      </c>
      <c r="H279" s="2" t="str">
        <f>_xlfn.XLOOKUP(C279,customers!$A$1:$A$1001,customers!$G$1:$G$1001,0)</f>
        <v>United States</v>
      </c>
      <c r="I279" t="str">
        <f>_xlfn.XLOOKUP(D279,products!$A$1:$A$49,products!$B$1:$B$49,0)</f>
        <v>Exc</v>
      </c>
      <c r="J279" t="str">
        <f>_xlfn.XLOOKUP(worksheet!D279,products!$A$1:$A$49,products!$C$1:$C$49,0)</f>
        <v>L</v>
      </c>
      <c r="K279" s="5">
        <f>_xlfn.XLOOKUP(worksheet!D279,products!$A$1:$A$49,products!$D$1:$D$49,0)</f>
        <v>1</v>
      </c>
      <c r="L279" s="6">
        <f>_xlfn.XLOOKUP(worksheet!D279,products!$A$1:$A$49,products!$E$1:$E$49,0)</f>
        <v>14.85</v>
      </c>
      <c r="M279" s="6">
        <f>worksheet!E279*worksheet!L279</f>
        <v>89.1</v>
      </c>
      <c r="N279" t="str">
        <f t="shared" si="8"/>
        <v>Excelsa</v>
      </c>
      <c r="O279" t="str">
        <f t="shared" si="9"/>
        <v>Light</v>
      </c>
      <c r="P279" t="str">
        <f>_xlfn.XLOOKUP(worksheet[[#This Row],[Customer ID]],customers!$A$1:$A$1001,customers!$I$1:$I$1001,0)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
        <v>2065</v>
      </c>
      <c r="H280" s="2" t="str">
        <f>_xlfn.XLOOKUP(C280,customers!$A$1:$A$1001,customers!$G$1:$G$1001,0)</f>
        <v>United States</v>
      </c>
      <c r="I280" t="str">
        <f>_xlfn.XLOOKUP(D280,products!$A$1:$A$49,products!$B$1:$B$49,0)</f>
        <v>Ara</v>
      </c>
      <c r="J280" t="str">
        <f>_xlfn.XLOOKUP(worksheet!D280,products!$A$1:$A$49,products!$C$1:$C$49,0)</f>
        <v>L</v>
      </c>
      <c r="K280" s="5">
        <f>_xlfn.XLOOKUP(worksheet!D280,products!$A$1:$A$49,products!$D$1:$D$49,0)</f>
        <v>0.2</v>
      </c>
      <c r="L280" s="6">
        <f>_xlfn.XLOOKUP(worksheet!D280,products!$A$1:$A$49,products!$E$1:$E$49,0)</f>
        <v>3.8849999999999998</v>
      </c>
      <c r="M280" s="6">
        <f>worksheet!E280*worksheet!L280</f>
        <v>7.77</v>
      </c>
      <c r="N280" t="str">
        <f t="shared" si="8"/>
        <v>Arabica</v>
      </c>
      <c r="O280" t="str">
        <f t="shared" si="9"/>
        <v>Light</v>
      </c>
      <c r="P280" t="str">
        <f>_xlfn.XLOOKUP(worksheet[[#This Row],[Customer ID]],customers!$A$1:$A$1001,customers!$I$1:$I$1001,0)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
        <v>2071</v>
      </c>
      <c r="H281" s="2" t="str">
        <f>_xlfn.XLOOKUP(C281,customers!$A$1:$A$1001,customers!$G$1:$G$1001,0)</f>
        <v>United States</v>
      </c>
      <c r="I281" t="str">
        <f>_xlfn.XLOOKUP(D281,products!$A$1:$A$49,products!$B$1:$B$49,0)</f>
        <v>Lib</v>
      </c>
      <c r="J281" t="str">
        <f>_xlfn.XLOOKUP(worksheet!D281,products!$A$1:$A$49,products!$C$1:$C$49,0)</f>
        <v>M</v>
      </c>
      <c r="K281" s="5">
        <f>_xlfn.XLOOKUP(worksheet!D281,products!$A$1:$A$49,products!$D$1:$D$49,0)</f>
        <v>2.5</v>
      </c>
      <c r="L281" s="6">
        <f>_xlfn.XLOOKUP(worksheet!D281,products!$A$1:$A$49,products!$E$1:$E$49,0)</f>
        <v>33.464999999999996</v>
      </c>
      <c r="M281" s="6">
        <f>worksheet!E281*worksheet!L281</f>
        <v>33.464999999999996</v>
      </c>
      <c r="N281" t="str">
        <f t="shared" si="8"/>
        <v>Liberica</v>
      </c>
      <c r="O281" t="str">
        <f t="shared" si="9"/>
        <v>Medium</v>
      </c>
      <c r="P281" t="str">
        <f>_xlfn.XLOOKUP(worksheet[[#This Row],[Customer ID]],customers!$A$1:$A$1001,customers!$I$1:$I$1001,0)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
        <v>6222</v>
      </c>
      <c r="H282" s="2" t="str">
        <f>_xlfn.XLOOKUP(C282,customers!$A$1:$A$1001,customers!$G$1:$G$1001,0)</f>
        <v>United States</v>
      </c>
      <c r="I282" t="str">
        <f>_xlfn.XLOOKUP(D282,products!$A$1:$A$49,products!$B$1:$B$49,0)</f>
        <v>Exc</v>
      </c>
      <c r="J282" t="str">
        <f>_xlfn.XLOOKUP(worksheet!D282,products!$A$1:$A$49,products!$C$1:$C$49,0)</f>
        <v>M</v>
      </c>
      <c r="K282" s="5">
        <f>_xlfn.XLOOKUP(worksheet!D282,products!$A$1:$A$49,products!$D$1:$D$49,0)</f>
        <v>0.5</v>
      </c>
      <c r="L282" s="6">
        <f>_xlfn.XLOOKUP(worksheet!D282,products!$A$1:$A$49,products!$E$1:$E$49,0)</f>
        <v>8.25</v>
      </c>
      <c r="M282" s="6">
        <f>worksheet!E282*worksheet!L282</f>
        <v>41.25</v>
      </c>
      <c r="N282" t="str">
        <f t="shared" si="8"/>
        <v>Excelsa</v>
      </c>
      <c r="O282" t="str">
        <f t="shared" si="9"/>
        <v>Medium</v>
      </c>
      <c r="P282" t="str">
        <f>_xlfn.XLOOKUP(worksheet[[#This Row],[Customer ID]],customers!$A$1:$A$1001,customers!$I$1:$I$1001,0)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
        <v>2082</v>
      </c>
      <c r="H283" s="2" t="str">
        <f>_xlfn.XLOOKUP(C283,customers!$A$1:$A$1001,customers!$G$1:$G$1001,0)</f>
        <v>United States</v>
      </c>
      <c r="I283" t="str">
        <f>_xlfn.XLOOKUP(D283,products!$A$1:$A$49,products!$B$1:$B$49,0)</f>
        <v>Exc</v>
      </c>
      <c r="J283" t="str">
        <f>_xlfn.XLOOKUP(worksheet!D283,products!$A$1:$A$49,products!$C$1:$C$49,0)</f>
        <v>L</v>
      </c>
      <c r="K283" s="5">
        <f>_xlfn.XLOOKUP(worksheet!D283,products!$A$1:$A$49,products!$D$1:$D$49,0)</f>
        <v>1</v>
      </c>
      <c r="L283" s="6">
        <f>_xlfn.XLOOKUP(worksheet!D283,products!$A$1:$A$49,products!$E$1:$E$49,0)</f>
        <v>14.85</v>
      </c>
      <c r="M283" s="6">
        <f>worksheet!E283*worksheet!L283</f>
        <v>59.4</v>
      </c>
      <c r="N283" t="str">
        <f t="shared" si="8"/>
        <v>Excelsa</v>
      </c>
      <c r="O283" t="str">
        <f t="shared" si="9"/>
        <v>Light</v>
      </c>
      <c r="P283" t="str">
        <f>_xlfn.XLOOKUP(worksheet[[#This Row],[Customer ID]],customers!$A$1:$A$1001,customers!$I$1:$I$1001,0)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
        <v>2088</v>
      </c>
      <c r="H284" s="2" t="str">
        <f>_xlfn.XLOOKUP(C284,customers!$A$1:$A$1001,customers!$G$1:$G$1001,0)</f>
        <v>United Kingdom</v>
      </c>
      <c r="I284" t="str">
        <f>_xlfn.XLOOKUP(D284,products!$A$1:$A$49,products!$B$1:$B$49,0)</f>
        <v>Ara</v>
      </c>
      <c r="J284" t="str">
        <f>_xlfn.XLOOKUP(worksheet!D284,products!$A$1:$A$49,products!$C$1:$C$49,0)</f>
        <v>L</v>
      </c>
      <c r="K284" s="5">
        <f>_xlfn.XLOOKUP(worksheet!D284,products!$A$1:$A$49,products!$D$1:$D$49,0)</f>
        <v>0.5</v>
      </c>
      <c r="L284" s="6">
        <f>_xlfn.XLOOKUP(worksheet!D284,products!$A$1:$A$49,products!$E$1:$E$49,0)</f>
        <v>7.77</v>
      </c>
      <c r="M284" s="6">
        <f>worksheet!E284*worksheet!L284</f>
        <v>7.77</v>
      </c>
      <c r="N284" t="str">
        <f t="shared" si="8"/>
        <v>Arabica</v>
      </c>
      <c r="O284" t="str">
        <f t="shared" si="9"/>
        <v>Light</v>
      </c>
      <c r="P284" t="str">
        <f>_xlfn.XLOOKUP(worksheet[[#This Row],[Customer ID]],customers!$A$1:$A$1001,customers!$I$1:$I$1001,0)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
        <v>2094</v>
      </c>
      <c r="H285" s="2" t="str">
        <f>_xlfn.XLOOKUP(C285,customers!$A$1:$A$1001,customers!$G$1:$G$1001,0)</f>
        <v>United Kingdom</v>
      </c>
      <c r="I285" t="str">
        <f>_xlfn.XLOOKUP(D285,products!$A$1:$A$49,products!$B$1:$B$49,0)</f>
        <v>Rob</v>
      </c>
      <c r="J285" t="str">
        <f>_xlfn.XLOOKUP(worksheet!D285,products!$A$1:$A$49,products!$C$1:$C$49,0)</f>
        <v>D</v>
      </c>
      <c r="K285" s="5">
        <f>_xlfn.XLOOKUP(worksheet!D285,products!$A$1:$A$49,products!$D$1:$D$49,0)</f>
        <v>0.5</v>
      </c>
      <c r="L285" s="6">
        <f>_xlfn.XLOOKUP(worksheet!D285,products!$A$1:$A$49,products!$E$1:$E$49,0)</f>
        <v>5.3699999999999992</v>
      </c>
      <c r="M285" s="6">
        <f>worksheet!E285*worksheet!L285</f>
        <v>5.3699999999999992</v>
      </c>
      <c r="N285" t="str">
        <f t="shared" si="8"/>
        <v>Robusta</v>
      </c>
      <c r="O285" t="str">
        <f t="shared" si="9"/>
        <v>Dark</v>
      </c>
      <c r="P285" t="str">
        <f>_xlfn.XLOOKUP(worksheet[[#This Row],[Customer ID]],customers!$A$1:$A$1001,customers!$I$1:$I$1001,0)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
        <v>6222</v>
      </c>
      <c r="H286" s="2" t="str">
        <f>_xlfn.XLOOKUP(C286,customers!$A$1:$A$1001,customers!$G$1:$G$1001,0)</f>
        <v>United States</v>
      </c>
      <c r="I286" t="str">
        <f>_xlfn.XLOOKUP(D286,products!$A$1:$A$49,products!$B$1:$B$49,0)</f>
        <v>Exc</v>
      </c>
      <c r="J286" t="str">
        <f>_xlfn.XLOOKUP(worksheet!D286,products!$A$1:$A$49,products!$C$1:$C$49,0)</f>
        <v>M</v>
      </c>
      <c r="K286" s="5">
        <f>_xlfn.XLOOKUP(worksheet!D286,products!$A$1:$A$49,products!$D$1:$D$49,0)</f>
        <v>2.5</v>
      </c>
      <c r="L286" s="6">
        <f>_xlfn.XLOOKUP(worksheet!D286,products!$A$1:$A$49,products!$E$1:$E$49,0)</f>
        <v>31.624999999999996</v>
      </c>
      <c r="M286" s="6">
        <f>worksheet!E286*worksheet!L286</f>
        <v>94.874999999999986</v>
      </c>
      <c r="N286" t="str">
        <f t="shared" si="8"/>
        <v>Excelsa</v>
      </c>
      <c r="O286" t="str">
        <f t="shared" si="9"/>
        <v>Medium</v>
      </c>
      <c r="P286" t="str">
        <f>_xlfn.XLOOKUP(worksheet[[#This Row],[Customer ID]],customers!$A$1:$A$1001,customers!$I$1:$I$1001,0)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
        <v>6222</v>
      </c>
      <c r="H287" s="2" t="str">
        <f>_xlfn.XLOOKUP(C287,customers!$A$1:$A$1001,customers!$G$1:$G$1001,0)</f>
        <v>United States</v>
      </c>
      <c r="I287" t="str">
        <f>_xlfn.XLOOKUP(D287,products!$A$1:$A$49,products!$B$1:$B$49,0)</f>
        <v>Lib</v>
      </c>
      <c r="J287" t="str">
        <f>_xlfn.XLOOKUP(worksheet!D287,products!$A$1:$A$49,products!$C$1:$C$49,0)</f>
        <v>L</v>
      </c>
      <c r="K287" s="5">
        <f>_xlfn.XLOOKUP(worksheet!D287,products!$A$1:$A$49,products!$D$1:$D$49,0)</f>
        <v>2.5</v>
      </c>
      <c r="L287" s="6">
        <f>_xlfn.XLOOKUP(worksheet!D287,products!$A$1:$A$49,products!$E$1:$E$49,0)</f>
        <v>36.454999999999998</v>
      </c>
      <c r="M287" s="6">
        <f>worksheet!E287*worksheet!L287</f>
        <v>36.454999999999998</v>
      </c>
      <c r="N287" t="str">
        <f t="shared" si="8"/>
        <v>Liberica</v>
      </c>
      <c r="O287" t="str">
        <f t="shared" si="9"/>
        <v>Light</v>
      </c>
      <c r="P287" t="str">
        <f>_xlfn.XLOOKUP(worksheet[[#This Row],[Customer ID]],customers!$A$1:$A$1001,customers!$I$1:$I$1001,0)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
        <v>2110</v>
      </c>
      <c r="H288" s="2" t="str">
        <f>_xlfn.XLOOKUP(C288,customers!$A$1:$A$1001,customers!$G$1:$G$1001,0)</f>
        <v>United States</v>
      </c>
      <c r="I288" t="str">
        <f>_xlfn.XLOOKUP(D288,products!$A$1:$A$49,products!$B$1:$B$49,0)</f>
        <v>Ara</v>
      </c>
      <c r="J288" t="str">
        <f>_xlfn.XLOOKUP(worksheet!D288,products!$A$1:$A$49,products!$C$1:$C$49,0)</f>
        <v>M</v>
      </c>
      <c r="K288" s="5">
        <f>_xlfn.XLOOKUP(worksheet!D288,products!$A$1:$A$49,products!$D$1:$D$49,0)</f>
        <v>0.2</v>
      </c>
      <c r="L288" s="6">
        <f>_xlfn.XLOOKUP(worksheet!D288,products!$A$1:$A$49,products!$E$1:$E$49,0)</f>
        <v>3.375</v>
      </c>
      <c r="M288" s="6">
        <f>worksheet!E288*worksheet!L288</f>
        <v>13.5</v>
      </c>
      <c r="N288" t="str">
        <f t="shared" si="8"/>
        <v>Arabica</v>
      </c>
      <c r="O288" t="str">
        <f t="shared" si="9"/>
        <v>Medium</v>
      </c>
      <c r="P288" t="str">
        <f>_xlfn.XLOOKUP(worksheet[[#This Row],[Customer ID]],customers!$A$1:$A$1001,customers!$I$1:$I$1001,0)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
        <v>2115</v>
      </c>
      <c r="H289" s="2" t="str">
        <f>_xlfn.XLOOKUP(C289,customers!$A$1:$A$1001,customers!$G$1:$G$1001,0)</f>
        <v>United States</v>
      </c>
      <c r="I289" t="str">
        <f>_xlfn.XLOOKUP(D289,products!$A$1:$A$49,products!$B$1:$B$49,0)</f>
        <v>Rob</v>
      </c>
      <c r="J289" t="str">
        <f>_xlfn.XLOOKUP(worksheet!D289,products!$A$1:$A$49,products!$C$1:$C$49,0)</f>
        <v>L</v>
      </c>
      <c r="K289" s="5">
        <f>_xlfn.XLOOKUP(worksheet!D289,products!$A$1:$A$49,products!$D$1:$D$49,0)</f>
        <v>0.2</v>
      </c>
      <c r="L289" s="6">
        <f>_xlfn.XLOOKUP(worksheet!D289,products!$A$1:$A$49,products!$E$1:$E$49,0)</f>
        <v>3.5849999999999995</v>
      </c>
      <c r="M289" s="6">
        <f>worksheet!E289*worksheet!L289</f>
        <v>14.339999999999998</v>
      </c>
      <c r="N289" t="str">
        <f t="shared" si="8"/>
        <v>Robusta</v>
      </c>
      <c r="O289" t="str">
        <f t="shared" si="9"/>
        <v>Light</v>
      </c>
      <c r="P289" t="str">
        <f>_xlfn.XLOOKUP(worksheet[[#This Row],[Customer ID]],customers!$A$1:$A$1001,customers!$I$1:$I$1001,0)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
        <v>6222</v>
      </c>
      <c r="H290" s="2" t="str">
        <f>_xlfn.XLOOKUP(C290,customers!$A$1:$A$1001,customers!$G$1:$G$1001,0)</f>
        <v>Ireland</v>
      </c>
      <c r="I290" t="str">
        <f>_xlfn.XLOOKUP(D290,products!$A$1:$A$49,products!$B$1:$B$49,0)</f>
        <v>Exc</v>
      </c>
      <c r="J290" t="str">
        <f>_xlfn.XLOOKUP(worksheet!D290,products!$A$1:$A$49,products!$C$1:$C$49,0)</f>
        <v>M</v>
      </c>
      <c r="K290" s="5">
        <f>_xlfn.XLOOKUP(worksheet!D290,products!$A$1:$A$49,products!$D$1:$D$49,0)</f>
        <v>0.5</v>
      </c>
      <c r="L290" s="6">
        <f>_xlfn.XLOOKUP(worksheet!D290,products!$A$1:$A$49,products!$E$1:$E$49,0)</f>
        <v>8.25</v>
      </c>
      <c r="M290" s="6">
        <f>worksheet!E290*worksheet!L290</f>
        <v>8.25</v>
      </c>
      <c r="N290" t="str">
        <f t="shared" si="8"/>
        <v>Excelsa</v>
      </c>
      <c r="O290" t="str">
        <f t="shared" si="9"/>
        <v>Medium</v>
      </c>
      <c r="P290" t="str">
        <f>_xlfn.XLOOKUP(worksheet[[#This Row],[Customer ID]],customers!$A$1:$A$1001,customers!$I$1:$I$1001,0)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
        <v>6222</v>
      </c>
      <c r="H291" s="2" t="str">
        <f>_xlfn.XLOOKUP(C291,customers!$A$1:$A$1001,customers!$G$1:$G$1001,0)</f>
        <v>United States</v>
      </c>
      <c r="I291" t="str">
        <f>_xlfn.XLOOKUP(D291,products!$A$1:$A$49,products!$B$1:$B$49,0)</f>
        <v>Rob</v>
      </c>
      <c r="J291" t="str">
        <f>_xlfn.XLOOKUP(worksheet!D291,products!$A$1:$A$49,products!$C$1:$C$49,0)</f>
        <v>D</v>
      </c>
      <c r="K291" s="5">
        <f>_xlfn.XLOOKUP(worksheet!D291,products!$A$1:$A$49,products!$D$1:$D$49,0)</f>
        <v>0.2</v>
      </c>
      <c r="L291" s="6">
        <f>_xlfn.XLOOKUP(worksheet!D291,products!$A$1:$A$49,products!$E$1:$E$49,0)</f>
        <v>2.6849999999999996</v>
      </c>
      <c r="M291" s="6">
        <f>worksheet!E291*worksheet!L291</f>
        <v>13.424999999999997</v>
      </c>
      <c r="N291" t="str">
        <f t="shared" si="8"/>
        <v>Robusta</v>
      </c>
      <c r="O291" t="str">
        <f t="shared" si="9"/>
        <v>Dark</v>
      </c>
      <c r="P291" t="str">
        <f>_xlfn.XLOOKUP(worksheet[[#This Row],[Customer ID]],customers!$A$1:$A$1001,customers!$I$1:$I$1001,0)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
        <v>2130</v>
      </c>
      <c r="H292" s="2" t="str">
        <f>_xlfn.XLOOKUP(C292,customers!$A$1:$A$1001,customers!$G$1:$G$1001,0)</f>
        <v>United States</v>
      </c>
      <c r="I292" t="str">
        <f>_xlfn.XLOOKUP(D292,products!$A$1:$A$49,products!$B$1:$B$49,0)</f>
        <v>Ara</v>
      </c>
      <c r="J292" t="str">
        <f>_xlfn.XLOOKUP(worksheet!D292,products!$A$1:$A$49,products!$C$1:$C$49,0)</f>
        <v>D</v>
      </c>
      <c r="K292" s="5">
        <f>_xlfn.XLOOKUP(worksheet!D292,products!$A$1:$A$49,products!$D$1:$D$49,0)</f>
        <v>1</v>
      </c>
      <c r="L292" s="6">
        <f>_xlfn.XLOOKUP(worksheet!D292,products!$A$1:$A$49,products!$E$1:$E$49,0)</f>
        <v>9.9499999999999993</v>
      </c>
      <c r="M292" s="6">
        <f>worksheet!E292*worksheet!L292</f>
        <v>49.75</v>
      </c>
      <c r="N292" t="str">
        <f t="shared" si="8"/>
        <v>Arabica</v>
      </c>
      <c r="O292" t="str">
        <f t="shared" si="9"/>
        <v>Dark</v>
      </c>
      <c r="P292" t="str">
        <f>_xlfn.XLOOKUP(worksheet[[#This Row],[Customer ID]],customers!$A$1:$A$1001,customers!$I$1:$I$1001,0)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
        <v>6222</v>
      </c>
      <c r="H293" s="2" t="str">
        <f>_xlfn.XLOOKUP(C293,customers!$A$1:$A$1001,customers!$G$1:$G$1001,0)</f>
        <v>Ireland</v>
      </c>
      <c r="I293" t="str">
        <f>_xlfn.XLOOKUP(D293,products!$A$1:$A$49,products!$B$1:$B$49,0)</f>
        <v>Exc</v>
      </c>
      <c r="J293" t="str">
        <f>_xlfn.XLOOKUP(worksheet!D293,products!$A$1:$A$49,products!$C$1:$C$49,0)</f>
        <v>M</v>
      </c>
      <c r="K293" s="5">
        <f>_xlfn.XLOOKUP(worksheet!D293,products!$A$1:$A$49,products!$D$1:$D$49,0)</f>
        <v>0.5</v>
      </c>
      <c r="L293" s="6">
        <f>_xlfn.XLOOKUP(worksheet!D293,products!$A$1:$A$49,products!$E$1:$E$49,0)</f>
        <v>8.25</v>
      </c>
      <c r="M293" s="6">
        <f>worksheet!E293*worksheet!L293</f>
        <v>16.5</v>
      </c>
      <c r="N293" t="str">
        <f t="shared" si="8"/>
        <v>Excelsa</v>
      </c>
      <c r="O293" t="str">
        <f t="shared" si="9"/>
        <v>Medium</v>
      </c>
      <c r="P293" t="str">
        <f>_xlfn.XLOOKUP(worksheet[[#This Row],[Customer ID]],customers!$A$1:$A$1001,customers!$I$1:$I$1001,0)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
        <v>2140</v>
      </c>
      <c r="H294" s="2" t="str">
        <f>_xlfn.XLOOKUP(C294,customers!$A$1:$A$1001,customers!$G$1:$G$1001,0)</f>
        <v>United States</v>
      </c>
      <c r="I294" t="str">
        <f>_xlfn.XLOOKUP(D294,products!$A$1:$A$49,products!$B$1:$B$49,0)</f>
        <v>Ara</v>
      </c>
      <c r="J294" t="str">
        <f>_xlfn.XLOOKUP(worksheet!D294,products!$A$1:$A$49,products!$C$1:$C$49,0)</f>
        <v>D</v>
      </c>
      <c r="K294" s="5">
        <f>_xlfn.XLOOKUP(worksheet!D294,products!$A$1:$A$49,products!$D$1:$D$49,0)</f>
        <v>0.5</v>
      </c>
      <c r="L294" s="6">
        <f>_xlfn.XLOOKUP(worksheet!D294,products!$A$1:$A$49,products!$E$1:$E$49,0)</f>
        <v>5.97</v>
      </c>
      <c r="M294" s="6">
        <f>worksheet!E294*worksheet!L294</f>
        <v>17.91</v>
      </c>
      <c r="N294" t="str">
        <f t="shared" si="8"/>
        <v>Arabica</v>
      </c>
      <c r="O294" t="str">
        <f t="shared" si="9"/>
        <v>Dark</v>
      </c>
      <c r="P294" t="str">
        <f>_xlfn.XLOOKUP(worksheet[[#This Row],[Customer ID]],customers!$A$1:$A$1001,customers!$I$1:$I$1001,0)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
        <v>2145</v>
      </c>
      <c r="H295" s="2" t="str">
        <f>_xlfn.XLOOKUP(C295,customers!$A$1:$A$1001,customers!$G$1:$G$1001,0)</f>
        <v>United States</v>
      </c>
      <c r="I295" t="str">
        <f>_xlfn.XLOOKUP(D295,products!$A$1:$A$49,products!$B$1:$B$49,0)</f>
        <v>Ara</v>
      </c>
      <c r="J295" t="str">
        <f>_xlfn.XLOOKUP(worksheet!D295,products!$A$1:$A$49,products!$C$1:$C$49,0)</f>
        <v>D</v>
      </c>
      <c r="K295" s="5">
        <f>_xlfn.XLOOKUP(worksheet!D295,products!$A$1:$A$49,products!$D$1:$D$49,0)</f>
        <v>0.5</v>
      </c>
      <c r="L295" s="6">
        <f>_xlfn.XLOOKUP(worksheet!D295,products!$A$1:$A$49,products!$E$1:$E$49,0)</f>
        <v>5.97</v>
      </c>
      <c r="M295" s="6">
        <f>worksheet!E295*worksheet!L295</f>
        <v>29.849999999999998</v>
      </c>
      <c r="N295" t="str">
        <f t="shared" si="8"/>
        <v>Arabica</v>
      </c>
      <c r="O295" t="str">
        <f t="shared" si="9"/>
        <v>Dark</v>
      </c>
      <c r="P295" t="str">
        <f>_xlfn.XLOOKUP(worksheet[[#This Row],[Customer ID]],customers!$A$1:$A$1001,customers!$I$1:$I$1001,0)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
        <v>6222</v>
      </c>
      <c r="H296" s="2" t="str">
        <f>_xlfn.XLOOKUP(C296,customers!$A$1:$A$1001,customers!$G$1:$G$1001,0)</f>
        <v>United States</v>
      </c>
      <c r="I296" t="str">
        <f>_xlfn.XLOOKUP(D296,products!$A$1:$A$49,products!$B$1:$B$49,0)</f>
        <v>Exc</v>
      </c>
      <c r="J296" t="str">
        <f>_xlfn.XLOOKUP(worksheet!D296,products!$A$1:$A$49,products!$C$1:$C$49,0)</f>
        <v>L</v>
      </c>
      <c r="K296" s="5">
        <f>_xlfn.XLOOKUP(worksheet!D296,products!$A$1:$A$49,products!$D$1:$D$49,0)</f>
        <v>1</v>
      </c>
      <c r="L296" s="6">
        <f>_xlfn.XLOOKUP(worksheet!D296,products!$A$1:$A$49,products!$E$1:$E$49,0)</f>
        <v>14.85</v>
      </c>
      <c r="M296" s="6">
        <f>worksheet!E296*worksheet!L296</f>
        <v>44.55</v>
      </c>
      <c r="N296" t="str">
        <f t="shared" si="8"/>
        <v>Excelsa</v>
      </c>
      <c r="O296" t="str">
        <f t="shared" si="9"/>
        <v>Light</v>
      </c>
      <c r="P296" t="str">
        <f>_xlfn.XLOOKUP(worksheet[[#This Row],[Customer ID]],customers!$A$1:$A$1001,customers!$I$1:$I$1001,0)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
        <v>6222</v>
      </c>
      <c r="H297" s="2" t="str">
        <f>_xlfn.XLOOKUP(C297,customers!$A$1:$A$1001,customers!$G$1:$G$1001,0)</f>
        <v>United States</v>
      </c>
      <c r="I297" t="str">
        <f>_xlfn.XLOOKUP(D297,products!$A$1:$A$49,products!$B$1:$B$49,0)</f>
        <v>Exc</v>
      </c>
      <c r="J297" t="str">
        <f>_xlfn.XLOOKUP(worksheet!D297,products!$A$1:$A$49,products!$C$1:$C$49,0)</f>
        <v>M</v>
      </c>
      <c r="K297" s="5">
        <f>_xlfn.XLOOKUP(worksheet!D297,products!$A$1:$A$49,products!$D$1:$D$49,0)</f>
        <v>1</v>
      </c>
      <c r="L297" s="6">
        <f>_xlfn.XLOOKUP(worksheet!D297,products!$A$1:$A$49,products!$E$1:$E$49,0)</f>
        <v>13.75</v>
      </c>
      <c r="M297" s="6">
        <f>worksheet!E297*worksheet!L297</f>
        <v>27.5</v>
      </c>
      <c r="N297" t="str">
        <f t="shared" si="8"/>
        <v>Excelsa</v>
      </c>
      <c r="O297" t="str">
        <f t="shared" si="9"/>
        <v>Medium</v>
      </c>
      <c r="P297" t="str">
        <f>_xlfn.XLOOKUP(worksheet[[#This Row],[Customer ID]],customers!$A$1:$A$1001,customers!$I$1:$I$1001,0)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
        <v>2160</v>
      </c>
      <c r="H298" s="2" t="str">
        <f>_xlfn.XLOOKUP(C298,customers!$A$1:$A$1001,customers!$G$1:$G$1001,0)</f>
        <v>United States</v>
      </c>
      <c r="I298" t="str">
        <f>_xlfn.XLOOKUP(D298,products!$A$1:$A$49,products!$B$1:$B$49,0)</f>
        <v>Rob</v>
      </c>
      <c r="J298" t="str">
        <f>_xlfn.XLOOKUP(worksheet!D298,products!$A$1:$A$49,products!$C$1:$C$49,0)</f>
        <v>M</v>
      </c>
      <c r="K298" s="5">
        <f>_xlfn.XLOOKUP(worksheet!D298,products!$A$1:$A$49,products!$D$1:$D$49,0)</f>
        <v>0.5</v>
      </c>
      <c r="L298" s="6">
        <f>_xlfn.XLOOKUP(worksheet!D298,products!$A$1:$A$49,products!$E$1:$E$49,0)</f>
        <v>5.97</v>
      </c>
      <c r="M298" s="6">
        <f>worksheet!E298*worksheet!L298</f>
        <v>35.82</v>
      </c>
      <c r="N298" t="str">
        <f t="shared" si="8"/>
        <v>Robusta</v>
      </c>
      <c r="O298" t="str">
        <f t="shared" si="9"/>
        <v>Medium</v>
      </c>
      <c r="P298" t="str">
        <f>_xlfn.XLOOKUP(worksheet[[#This Row],[Customer ID]],customers!$A$1:$A$1001,customers!$I$1:$I$1001,0)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
        <v>2166</v>
      </c>
      <c r="H299" s="2" t="str">
        <f>_xlfn.XLOOKUP(C299,customers!$A$1:$A$1001,customers!$G$1:$G$1001,0)</f>
        <v>United States</v>
      </c>
      <c r="I299" t="str">
        <f>_xlfn.XLOOKUP(D299,products!$A$1:$A$49,products!$B$1:$B$49,0)</f>
        <v>Rob</v>
      </c>
      <c r="J299" t="str">
        <f>_xlfn.XLOOKUP(worksheet!D299,products!$A$1:$A$49,products!$C$1:$C$49,0)</f>
        <v>D</v>
      </c>
      <c r="K299" s="5">
        <f>_xlfn.XLOOKUP(worksheet!D299,products!$A$1:$A$49,products!$D$1:$D$49,0)</f>
        <v>0.5</v>
      </c>
      <c r="L299" s="6">
        <f>_xlfn.XLOOKUP(worksheet!D299,products!$A$1:$A$49,products!$E$1:$E$49,0)</f>
        <v>5.3699999999999992</v>
      </c>
      <c r="M299" s="6">
        <f>worksheet!E299*worksheet!L299</f>
        <v>16.11</v>
      </c>
      <c r="N299" t="str">
        <f t="shared" si="8"/>
        <v>Robusta</v>
      </c>
      <c r="O299" t="str">
        <f t="shared" si="9"/>
        <v>Dark</v>
      </c>
      <c r="P299" t="str">
        <f>_xlfn.XLOOKUP(worksheet[[#This Row],[Customer ID]],customers!$A$1:$A$1001,customers!$I$1:$I$1001,0)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
        <v>2172</v>
      </c>
      <c r="H300" s="2" t="str">
        <f>_xlfn.XLOOKUP(C300,customers!$A$1:$A$1001,customers!$G$1:$G$1001,0)</f>
        <v>United States</v>
      </c>
      <c r="I300" t="str">
        <f>_xlfn.XLOOKUP(D300,products!$A$1:$A$49,products!$B$1:$B$49,0)</f>
        <v>Exc</v>
      </c>
      <c r="J300" t="str">
        <f>_xlfn.XLOOKUP(worksheet!D300,products!$A$1:$A$49,products!$C$1:$C$49,0)</f>
        <v>L</v>
      </c>
      <c r="K300" s="5">
        <f>_xlfn.XLOOKUP(worksheet!D300,products!$A$1:$A$49,products!$D$1:$D$49,0)</f>
        <v>0.2</v>
      </c>
      <c r="L300" s="6">
        <f>_xlfn.XLOOKUP(worksheet!D300,products!$A$1:$A$49,products!$E$1:$E$49,0)</f>
        <v>4.4550000000000001</v>
      </c>
      <c r="M300" s="6">
        <f>worksheet!E300*worksheet!L300</f>
        <v>26.73</v>
      </c>
      <c r="N300" t="str">
        <f t="shared" si="8"/>
        <v>Excelsa</v>
      </c>
      <c r="O300" t="str">
        <f t="shared" si="9"/>
        <v>Light</v>
      </c>
      <c r="P300" t="str">
        <f>_xlfn.XLOOKUP(worksheet[[#This Row],[Customer ID]],customers!$A$1:$A$1001,customers!$I$1:$I$1001,0)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
        <v>2178</v>
      </c>
      <c r="H301" s="2" t="str">
        <f>_xlfn.XLOOKUP(C301,customers!$A$1:$A$1001,customers!$G$1:$G$1001,0)</f>
        <v>United States</v>
      </c>
      <c r="I301" t="str">
        <f>_xlfn.XLOOKUP(D301,products!$A$1:$A$49,products!$B$1:$B$49,0)</f>
        <v>Exc</v>
      </c>
      <c r="J301" t="str">
        <f>_xlfn.XLOOKUP(worksheet!D301,products!$A$1:$A$49,products!$C$1:$C$49,0)</f>
        <v>L</v>
      </c>
      <c r="K301" s="5">
        <f>_xlfn.XLOOKUP(worksheet!D301,products!$A$1:$A$49,products!$D$1:$D$49,0)</f>
        <v>2.5</v>
      </c>
      <c r="L301" s="6">
        <f>_xlfn.XLOOKUP(worksheet!D301,products!$A$1:$A$49,products!$E$1:$E$49,0)</f>
        <v>34.154999999999994</v>
      </c>
      <c r="M301" s="6">
        <f>worksheet!E301*worksheet!L301</f>
        <v>204.92999999999995</v>
      </c>
      <c r="N301" t="str">
        <f t="shared" si="8"/>
        <v>Excelsa</v>
      </c>
      <c r="O301" t="str">
        <f t="shared" si="9"/>
        <v>Light</v>
      </c>
      <c r="P301" t="str">
        <f>_xlfn.XLOOKUP(worksheet[[#This Row],[Customer ID]],customers!$A$1:$A$1001,customers!$I$1:$I$1001,0)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
        <v>2184</v>
      </c>
      <c r="H302" s="2" t="str">
        <f>_xlfn.XLOOKUP(C302,customers!$A$1:$A$1001,customers!$G$1:$G$1001,0)</f>
        <v>United States</v>
      </c>
      <c r="I302" t="str">
        <f>_xlfn.XLOOKUP(D302,products!$A$1:$A$49,products!$B$1:$B$49,0)</f>
        <v>Ara</v>
      </c>
      <c r="J302" t="str">
        <f>_xlfn.XLOOKUP(worksheet!D302,products!$A$1:$A$49,products!$C$1:$C$49,0)</f>
        <v>L</v>
      </c>
      <c r="K302" s="5">
        <f>_xlfn.XLOOKUP(worksheet!D302,products!$A$1:$A$49,products!$D$1:$D$49,0)</f>
        <v>1</v>
      </c>
      <c r="L302" s="6">
        <f>_xlfn.XLOOKUP(worksheet!D302,products!$A$1:$A$49,products!$E$1:$E$49,0)</f>
        <v>12.95</v>
      </c>
      <c r="M302" s="6">
        <f>worksheet!E302*worksheet!L302</f>
        <v>38.849999999999994</v>
      </c>
      <c r="N302" t="str">
        <f t="shared" si="8"/>
        <v>Arabica</v>
      </c>
      <c r="O302" t="str">
        <f t="shared" si="9"/>
        <v>Light</v>
      </c>
      <c r="P302" t="str">
        <f>_xlfn.XLOOKUP(worksheet[[#This Row],[Customer ID]],customers!$A$1:$A$1001,customers!$I$1:$I$1001,0)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
        <v>2190</v>
      </c>
      <c r="H303" s="2" t="str">
        <f>_xlfn.XLOOKUP(C303,customers!$A$1:$A$1001,customers!$G$1:$G$1001,0)</f>
        <v>United States</v>
      </c>
      <c r="I303" t="str">
        <f>_xlfn.XLOOKUP(D303,products!$A$1:$A$49,products!$B$1:$B$49,0)</f>
        <v>Lib</v>
      </c>
      <c r="J303" t="str">
        <f>_xlfn.XLOOKUP(worksheet!D303,products!$A$1:$A$49,products!$C$1:$C$49,0)</f>
        <v>D</v>
      </c>
      <c r="K303" s="5">
        <f>_xlfn.XLOOKUP(worksheet!D303,products!$A$1:$A$49,products!$D$1:$D$49,0)</f>
        <v>0.2</v>
      </c>
      <c r="L303" s="6">
        <f>_xlfn.XLOOKUP(worksheet!D303,products!$A$1:$A$49,products!$E$1:$E$49,0)</f>
        <v>3.8849999999999998</v>
      </c>
      <c r="M303" s="6">
        <f>worksheet!E303*worksheet!L303</f>
        <v>15.54</v>
      </c>
      <c r="N303" t="str">
        <f t="shared" si="8"/>
        <v>Liberica</v>
      </c>
      <c r="O303" t="str">
        <f t="shared" si="9"/>
        <v>Dark</v>
      </c>
      <c r="P303" t="str">
        <f>_xlfn.XLOOKUP(worksheet[[#This Row],[Customer ID]],customers!$A$1:$A$1001,customers!$I$1:$I$1001,0)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
        <v>2196</v>
      </c>
      <c r="H304" s="2" t="str">
        <f>_xlfn.XLOOKUP(C304,customers!$A$1:$A$1001,customers!$G$1:$G$1001,0)</f>
        <v>United States</v>
      </c>
      <c r="I304" t="str">
        <f>_xlfn.XLOOKUP(D304,products!$A$1:$A$49,products!$B$1:$B$49,0)</f>
        <v>Ara</v>
      </c>
      <c r="J304" t="str">
        <f>_xlfn.XLOOKUP(worksheet!D304,products!$A$1:$A$49,products!$C$1:$C$49,0)</f>
        <v>M</v>
      </c>
      <c r="K304" s="5">
        <f>_xlfn.XLOOKUP(worksheet!D304,products!$A$1:$A$49,products!$D$1:$D$49,0)</f>
        <v>0.5</v>
      </c>
      <c r="L304" s="6">
        <f>_xlfn.XLOOKUP(worksheet!D304,products!$A$1:$A$49,products!$E$1:$E$49,0)</f>
        <v>6.75</v>
      </c>
      <c r="M304" s="6">
        <f>worksheet!E304*worksheet!L304</f>
        <v>6.75</v>
      </c>
      <c r="N304" t="str">
        <f t="shared" si="8"/>
        <v>Arabica</v>
      </c>
      <c r="O304" t="str">
        <f t="shared" si="9"/>
        <v>Medium</v>
      </c>
      <c r="P304" t="str">
        <f>_xlfn.XLOOKUP(worksheet[[#This Row],[Customer ID]],customers!$A$1:$A$1001,customers!$I$1:$I$1001,0)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
        <v>2202</v>
      </c>
      <c r="H305" s="2" t="str">
        <f>_xlfn.XLOOKUP(C305,customers!$A$1:$A$1001,customers!$G$1:$G$1001,0)</f>
        <v>United States</v>
      </c>
      <c r="I305" t="str">
        <f>_xlfn.XLOOKUP(D305,products!$A$1:$A$49,products!$B$1:$B$49,0)</f>
        <v>Exc</v>
      </c>
      <c r="J305" t="str">
        <f>_xlfn.XLOOKUP(worksheet!D305,products!$A$1:$A$49,products!$C$1:$C$49,0)</f>
        <v>D</v>
      </c>
      <c r="K305" s="5">
        <f>_xlfn.XLOOKUP(worksheet!D305,products!$A$1:$A$49,products!$D$1:$D$49,0)</f>
        <v>2.5</v>
      </c>
      <c r="L305" s="6">
        <f>_xlfn.XLOOKUP(worksheet!D305,products!$A$1:$A$49,products!$E$1:$E$49,0)</f>
        <v>27.945</v>
      </c>
      <c r="M305" s="6">
        <f>worksheet!E305*worksheet!L305</f>
        <v>111.78</v>
      </c>
      <c r="N305" t="str">
        <f t="shared" si="8"/>
        <v>Excelsa</v>
      </c>
      <c r="O305" t="str">
        <f t="shared" si="9"/>
        <v>Dark</v>
      </c>
      <c r="P305" t="str">
        <f>_xlfn.XLOOKUP(worksheet[[#This Row],[Customer ID]],customers!$A$1:$A$1001,customers!$I$1:$I$1001,0)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
        <v>2247</v>
      </c>
      <c r="H306" s="2" t="str">
        <f>_xlfn.XLOOKUP(C306,customers!$A$1:$A$1001,customers!$G$1:$G$1001,0)</f>
        <v>United States</v>
      </c>
      <c r="I306" t="str">
        <f>_xlfn.XLOOKUP(D306,products!$A$1:$A$49,products!$B$1:$B$49,0)</f>
        <v>Ara</v>
      </c>
      <c r="J306" t="str">
        <f>_xlfn.XLOOKUP(worksheet!D306,products!$A$1:$A$49,products!$C$1:$C$49,0)</f>
        <v>L</v>
      </c>
      <c r="K306" s="5">
        <f>_xlfn.XLOOKUP(worksheet!D306,products!$A$1:$A$49,products!$D$1:$D$49,0)</f>
        <v>0.2</v>
      </c>
      <c r="L306" s="6">
        <f>_xlfn.XLOOKUP(worksheet!D306,products!$A$1:$A$49,products!$E$1:$E$49,0)</f>
        <v>3.8849999999999998</v>
      </c>
      <c r="M306" s="6">
        <f>worksheet!E306*worksheet!L306</f>
        <v>3.8849999999999998</v>
      </c>
      <c r="N306" t="str">
        <f t="shared" si="8"/>
        <v>Arabica</v>
      </c>
      <c r="O306" t="str">
        <f t="shared" si="9"/>
        <v>Light</v>
      </c>
      <c r="P306" t="str">
        <f>_xlfn.XLOOKUP(worksheet[[#This Row],[Customer ID]],customers!$A$1:$A$1001,customers!$I$1:$I$1001,0)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
        <v>2212</v>
      </c>
      <c r="H307" s="2" t="str">
        <f>_xlfn.XLOOKUP(C307,customers!$A$1:$A$1001,customers!$G$1:$G$1001,0)</f>
        <v>United Kingdom</v>
      </c>
      <c r="I307" t="str">
        <f>_xlfn.XLOOKUP(D307,products!$A$1:$A$49,products!$B$1:$B$49,0)</f>
        <v>Lib</v>
      </c>
      <c r="J307" t="str">
        <f>_xlfn.XLOOKUP(worksheet!D307,products!$A$1:$A$49,products!$C$1:$C$49,0)</f>
        <v>M</v>
      </c>
      <c r="K307" s="5">
        <f>_xlfn.XLOOKUP(worksheet!D307,products!$A$1:$A$49,products!$D$1:$D$49,0)</f>
        <v>0.2</v>
      </c>
      <c r="L307" s="6">
        <f>_xlfn.XLOOKUP(worksheet!D307,products!$A$1:$A$49,products!$E$1:$E$49,0)</f>
        <v>4.3650000000000002</v>
      </c>
      <c r="M307" s="6">
        <f>worksheet!E307*worksheet!L307</f>
        <v>21.825000000000003</v>
      </c>
      <c r="N307" t="str">
        <f t="shared" si="8"/>
        <v>Liberica</v>
      </c>
      <c r="O307" t="str">
        <f t="shared" si="9"/>
        <v>Medium</v>
      </c>
      <c r="P307" t="str">
        <f>_xlfn.XLOOKUP(worksheet[[#This Row],[Customer ID]],customers!$A$1:$A$1001,customers!$I$1:$I$1001,0)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
        <v>2218</v>
      </c>
      <c r="H308" s="2" t="str">
        <f>_xlfn.XLOOKUP(C308,customers!$A$1:$A$1001,customers!$G$1:$G$1001,0)</f>
        <v>United States</v>
      </c>
      <c r="I308" t="str">
        <f>_xlfn.XLOOKUP(D308,products!$A$1:$A$49,products!$B$1:$B$49,0)</f>
        <v>Rob</v>
      </c>
      <c r="J308" t="str">
        <f>_xlfn.XLOOKUP(worksheet!D308,products!$A$1:$A$49,products!$C$1:$C$49,0)</f>
        <v>M</v>
      </c>
      <c r="K308" s="5">
        <f>_xlfn.XLOOKUP(worksheet!D308,products!$A$1:$A$49,products!$D$1:$D$49,0)</f>
        <v>0.2</v>
      </c>
      <c r="L308" s="6">
        <f>_xlfn.XLOOKUP(worksheet!D308,products!$A$1:$A$49,products!$E$1:$E$49,0)</f>
        <v>2.9849999999999999</v>
      </c>
      <c r="M308" s="6">
        <f>worksheet!E308*worksheet!L308</f>
        <v>14.924999999999999</v>
      </c>
      <c r="N308" t="str">
        <f t="shared" si="8"/>
        <v>Robusta</v>
      </c>
      <c r="O308" t="str">
        <f t="shared" si="9"/>
        <v>Medium</v>
      </c>
      <c r="P308" t="str">
        <f>_xlfn.XLOOKUP(worksheet[[#This Row],[Customer ID]],customers!$A$1:$A$1001,customers!$I$1:$I$1001,0)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
        <v>2224</v>
      </c>
      <c r="H309" s="2" t="str">
        <f>_xlfn.XLOOKUP(C309,customers!$A$1:$A$1001,customers!$G$1:$G$1001,0)</f>
        <v>United States</v>
      </c>
      <c r="I309" t="str">
        <f>_xlfn.XLOOKUP(D309,products!$A$1:$A$49,products!$B$1:$B$49,0)</f>
        <v>Ara</v>
      </c>
      <c r="J309" t="str">
        <f>_xlfn.XLOOKUP(worksheet!D309,products!$A$1:$A$49,products!$C$1:$C$49,0)</f>
        <v>M</v>
      </c>
      <c r="K309" s="5">
        <f>_xlfn.XLOOKUP(worksheet!D309,products!$A$1:$A$49,products!$D$1:$D$49,0)</f>
        <v>1</v>
      </c>
      <c r="L309" s="6">
        <f>_xlfn.XLOOKUP(worksheet!D309,products!$A$1:$A$49,products!$E$1:$E$49,0)</f>
        <v>11.25</v>
      </c>
      <c r="M309" s="6">
        <f>worksheet!E309*worksheet!L309</f>
        <v>33.75</v>
      </c>
      <c r="N309" t="str">
        <f t="shared" si="8"/>
        <v>Arabica</v>
      </c>
      <c r="O309" t="str">
        <f t="shared" si="9"/>
        <v>Medium</v>
      </c>
      <c r="P309" t="str">
        <f>_xlfn.XLOOKUP(worksheet[[#This Row],[Customer ID]],customers!$A$1:$A$1001,customers!$I$1:$I$1001,0)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
        <v>2230</v>
      </c>
      <c r="H310" s="2" t="str">
        <f>_xlfn.XLOOKUP(C310,customers!$A$1:$A$1001,customers!$G$1:$G$1001,0)</f>
        <v>United Kingdom</v>
      </c>
      <c r="I310" t="str">
        <f>_xlfn.XLOOKUP(D310,products!$A$1:$A$49,products!$B$1:$B$49,0)</f>
        <v>Ara</v>
      </c>
      <c r="J310" t="str">
        <f>_xlfn.XLOOKUP(worksheet!D310,products!$A$1:$A$49,products!$C$1:$C$49,0)</f>
        <v>M</v>
      </c>
      <c r="K310" s="5">
        <f>_xlfn.XLOOKUP(worksheet!D310,products!$A$1:$A$49,products!$D$1:$D$49,0)</f>
        <v>1</v>
      </c>
      <c r="L310" s="6">
        <f>_xlfn.XLOOKUP(worksheet!D310,products!$A$1:$A$49,products!$E$1:$E$49,0)</f>
        <v>11.25</v>
      </c>
      <c r="M310" s="6">
        <f>worksheet!E310*worksheet!L310</f>
        <v>33.75</v>
      </c>
      <c r="N310" t="str">
        <f t="shared" si="8"/>
        <v>Arabica</v>
      </c>
      <c r="O310" t="str">
        <f t="shared" si="9"/>
        <v>Medium</v>
      </c>
      <c r="P310" t="str">
        <f>_xlfn.XLOOKUP(worksheet[[#This Row],[Customer ID]],customers!$A$1:$A$1001,customers!$I$1:$I$1001,0)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
        <v>2235</v>
      </c>
      <c r="H311" s="2" t="str">
        <f>_xlfn.XLOOKUP(C311,customers!$A$1:$A$1001,customers!$G$1:$G$1001,0)</f>
        <v>United States</v>
      </c>
      <c r="I311" t="str">
        <f>_xlfn.XLOOKUP(D311,products!$A$1:$A$49,products!$B$1:$B$49,0)</f>
        <v>Lib</v>
      </c>
      <c r="J311" t="str">
        <f>_xlfn.XLOOKUP(worksheet!D311,products!$A$1:$A$49,products!$C$1:$C$49,0)</f>
        <v>M</v>
      </c>
      <c r="K311" s="5">
        <f>_xlfn.XLOOKUP(worksheet!D311,products!$A$1:$A$49,products!$D$1:$D$49,0)</f>
        <v>0.2</v>
      </c>
      <c r="L311" s="6">
        <f>_xlfn.XLOOKUP(worksheet!D311,products!$A$1:$A$49,products!$E$1:$E$49,0)</f>
        <v>4.3650000000000002</v>
      </c>
      <c r="M311" s="6">
        <f>worksheet!E311*worksheet!L311</f>
        <v>26.19</v>
      </c>
      <c r="N311" t="str">
        <f t="shared" si="8"/>
        <v>Liberica</v>
      </c>
      <c r="O311" t="str">
        <f t="shared" si="9"/>
        <v>Medium</v>
      </c>
      <c r="P311" t="str">
        <f>_xlfn.XLOOKUP(worksheet[[#This Row],[Customer ID]],customers!$A$1:$A$1001,customers!$I$1:$I$1001,0)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
        <v>2241</v>
      </c>
      <c r="H312" s="2" t="str">
        <f>_xlfn.XLOOKUP(C312,customers!$A$1:$A$1001,customers!$G$1:$G$1001,0)</f>
        <v>Ireland</v>
      </c>
      <c r="I312" t="str">
        <f>_xlfn.XLOOKUP(D312,products!$A$1:$A$49,products!$B$1:$B$49,0)</f>
        <v>Exc</v>
      </c>
      <c r="J312" t="str">
        <f>_xlfn.XLOOKUP(worksheet!D312,products!$A$1:$A$49,products!$C$1:$C$49,0)</f>
        <v>L</v>
      </c>
      <c r="K312" s="5">
        <f>_xlfn.XLOOKUP(worksheet!D312,products!$A$1:$A$49,products!$D$1:$D$49,0)</f>
        <v>1</v>
      </c>
      <c r="L312" s="6">
        <f>_xlfn.XLOOKUP(worksheet!D312,products!$A$1:$A$49,products!$E$1:$E$49,0)</f>
        <v>14.85</v>
      </c>
      <c r="M312" s="6">
        <f>worksheet!E312*worksheet!L312</f>
        <v>14.85</v>
      </c>
      <c r="N312" t="str">
        <f t="shared" si="8"/>
        <v>Excelsa</v>
      </c>
      <c r="O312" t="str">
        <f t="shared" si="9"/>
        <v>Light</v>
      </c>
      <c r="P312" t="str">
        <f>_xlfn.XLOOKUP(worksheet[[#This Row],[Customer ID]],customers!$A$1:$A$1001,customers!$I$1:$I$1001,0)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
        <v>2247</v>
      </c>
      <c r="H313" s="2" t="str">
        <f>_xlfn.XLOOKUP(C313,customers!$A$1:$A$1001,customers!$G$1:$G$1001,0)</f>
        <v>United States</v>
      </c>
      <c r="I313" t="str">
        <f>_xlfn.XLOOKUP(D313,products!$A$1:$A$49,products!$B$1:$B$49,0)</f>
        <v>Exc</v>
      </c>
      <c r="J313" t="str">
        <f>_xlfn.XLOOKUP(worksheet!D313,products!$A$1:$A$49,products!$C$1:$C$49,0)</f>
        <v>M</v>
      </c>
      <c r="K313" s="5">
        <f>_xlfn.XLOOKUP(worksheet!D313,products!$A$1:$A$49,products!$D$1:$D$49,0)</f>
        <v>2.5</v>
      </c>
      <c r="L313" s="6">
        <f>_xlfn.XLOOKUP(worksheet!D313,products!$A$1:$A$49,products!$E$1:$E$49,0)</f>
        <v>31.624999999999996</v>
      </c>
      <c r="M313" s="6">
        <f>worksheet!E313*worksheet!L313</f>
        <v>189.74999999999997</v>
      </c>
      <c r="N313" t="str">
        <f t="shared" si="8"/>
        <v>Excelsa</v>
      </c>
      <c r="O313" t="str">
        <f t="shared" si="9"/>
        <v>Medium</v>
      </c>
      <c r="P313" t="str">
        <f>_xlfn.XLOOKUP(worksheet[[#This Row],[Customer ID]],customers!$A$1:$A$1001,customers!$I$1:$I$1001,0)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
        <v>2253</v>
      </c>
      <c r="H314" s="2" t="str">
        <f>_xlfn.XLOOKUP(C314,customers!$A$1:$A$1001,customers!$G$1:$G$1001,0)</f>
        <v>United States</v>
      </c>
      <c r="I314" t="str">
        <f>_xlfn.XLOOKUP(D314,products!$A$1:$A$49,products!$B$1:$B$49,0)</f>
        <v>Rob</v>
      </c>
      <c r="J314" t="str">
        <f>_xlfn.XLOOKUP(worksheet!D314,products!$A$1:$A$49,products!$C$1:$C$49,0)</f>
        <v>M</v>
      </c>
      <c r="K314" s="5">
        <f>_xlfn.XLOOKUP(worksheet!D314,products!$A$1:$A$49,products!$D$1:$D$49,0)</f>
        <v>0.5</v>
      </c>
      <c r="L314" s="6">
        <f>_xlfn.XLOOKUP(worksheet!D314,products!$A$1:$A$49,products!$E$1:$E$49,0)</f>
        <v>5.97</v>
      </c>
      <c r="M314" s="6">
        <f>worksheet!E314*worksheet!L314</f>
        <v>5.97</v>
      </c>
      <c r="N314" t="str">
        <f t="shared" si="8"/>
        <v>Robusta</v>
      </c>
      <c r="O314" t="str">
        <f t="shared" si="9"/>
        <v>Medium</v>
      </c>
      <c r="P314" t="str">
        <f>_xlfn.XLOOKUP(worksheet[[#This Row],[Customer ID]],customers!$A$1:$A$1001,customers!$I$1:$I$1001,0)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
        <v>2259</v>
      </c>
      <c r="H315" s="2" t="str">
        <f>_xlfn.XLOOKUP(C315,customers!$A$1:$A$1001,customers!$G$1:$G$1001,0)</f>
        <v>United Kingdom</v>
      </c>
      <c r="I315" t="str">
        <f>_xlfn.XLOOKUP(D315,products!$A$1:$A$49,products!$B$1:$B$49,0)</f>
        <v>Rob</v>
      </c>
      <c r="J315" t="str">
        <f>_xlfn.XLOOKUP(worksheet!D315,products!$A$1:$A$49,products!$C$1:$C$49,0)</f>
        <v>M</v>
      </c>
      <c r="K315" s="5">
        <f>_xlfn.XLOOKUP(worksheet!D315,products!$A$1:$A$49,products!$D$1:$D$49,0)</f>
        <v>1</v>
      </c>
      <c r="L315" s="6">
        <f>_xlfn.XLOOKUP(worksheet!D315,products!$A$1:$A$49,products!$E$1:$E$49,0)</f>
        <v>9.9499999999999993</v>
      </c>
      <c r="M315" s="6">
        <f>worksheet!E315*worksheet!L315</f>
        <v>29.849999999999998</v>
      </c>
      <c r="N315" t="str">
        <f t="shared" si="8"/>
        <v>Robusta</v>
      </c>
      <c r="O315" t="str">
        <f t="shared" si="9"/>
        <v>Medium</v>
      </c>
      <c r="P315" t="str">
        <f>_xlfn.XLOOKUP(worksheet[[#This Row],[Customer ID]],customers!$A$1:$A$1001,customers!$I$1:$I$1001,0)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
        <v>6222</v>
      </c>
      <c r="H316" s="2" t="str">
        <f>_xlfn.XLOOKUP(C316,customers!$A$1:$A$1001,customers!$G$1:$G$1001,0)</f>
        <v>United States</v>
      </c>
      <c r="I316" t="str">
        <f>_xlfn.XLOOKUP(D316,products!$A$1:$A$49,products!$B$1:$B$49,0)</f>
        <v>Rob</v>
      </c>
      <c r="J316" t="str">
        <f>_xlfn.XLOOKUP(worksheet!D316,products!$A$1:$A$49,products!$C$1:$C$49,0)</f>
        <v>D</v>
      </c>
      <c r="K316" s="5">
        <f>_xlfn.XLOOKUP(worksheet!D316,products!$A$1:$A$49,products!$D$1:$D$49,0)</f>
        <v>1</v>
      </c>
      <c r="L316" s="6">
        <f>_xlfn.XLOOKUP(worksheet!D316,products!$A$1:$A$49,products!$E$1:$E$49,0)</f>
        <v>8.9499999999999993</v>
      </c>
      <c r="M316" s="6">
        <f>worksheet!E316*worksheet!L316</f>
        <v>44.75</v>
      </c>
      <c r="N316" t="str">
        <f t="shared" si="8"/>
        <v>Robusta</v>
      </c>
      <c r="O316" t="str">
        <f t="shared" si="9"/>
        <v>Dark</v>
      </c>
      <c r="P316" t="str">
        <f>_xlfn.XLOOKUP(worksheet[[#This Row],[Customer ID]],customers!$A$1:$A$1001,customers!$I$1:$I$1001,0)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
        <v>2270</v>
      </c>
      <c r="H317" s="2" t="str">
        <f>_xlfn.XLOOKUP(C317,customers!$A$1:$A$1001,customers!$G$1:$G$1001,0)</f>
        <v>United States</v>
      </c>
      <c r="I317" t="str">
        <f>_xlfn.XLOOKUP(D317,products!$A$1:$A$49,products!$B$1:$B$49,0)</f>
        <v>Exc</v>
      </c>
      <c r="J317" t="str">
        <f>_xlfn.XLOOKUP(worksheet!D317,products!$A$1:$A$49,products!$C$1:$C$49,0)</f>
        <v>L</v>
      </c>
      <c r="K317" s="5">
        <f>_xlfn.XLOOKUP(worksheet!D317,products!$A$1:$A$49,products!$D$1:$D$49,0)</f>
        <v>2.5</v>
      </c>
      <c r="L317" s="6">
        <f>_xlfn.XLOOKUP(worksheet!D317,products!$A$1:$A$49,products!$E$1:$E$49,0)</f>
        <v>34.154999999999994</v>
      </c>
      <c r="M317" s="6">
        <f>worksheet!E317*worksheet!L317</f>
        <v>34.154999999999994</v>
      </c>
      <c r="N317" t="str">
        <f t="shared" si="8"/>
        <v>Excelsa</v>
      </c>
      <c r="O317" t="str">
        <f t="shared" si="9"/>
        <v>Light</v>
      </c>
      <c r="P317" t="str">
        <f>_xlfn.XLOOKUP(worksheet[[#This Row],[Customer ID]],customers!$A$1:$A$1001,customers!$I$1:$I$1001,0)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
        <v>2276</v>
      </c>
      <c r="H318" s="2" t="str">
        <f>_xlfn.XLOOKUP(C318,customers!$A$1:$A$1001,customers!$G$1:$G$1001,0)</f>
        <v>Ireland</v>
      </c>
      <c r="I318" t="str">
        <f>_xlfn.XLOOKUP(D318,products!$A$1:$A$49,products!$B$1:$B$49,0)</f>
        <v>Exc</v>
      </c>
      <c r="J318" t="str">
        <f>_xlfn.XLOOKUP(worksheet!D318,products!$A$1:$A$49,products!$C$1:$C$49,0)</f>
        <v>L</v>
      </c>
      <c r="K318" s="5">
        <f>_xlfn.XLOOKUP(worksheet!D318,products!$A$1:$A$49,products!$D$1:$D$49,0)</f>
        <v>2.5</v>
      </c>
      <c r="L318" s="6">
        <f>_xlfn.XLOOKUP(worksheet!D318,products!$A$1:$A$49,products!$E$1:$E$49,0)</f>
        <v>34.154999999999994</v>
      </c>
      <c r="M318" s="6">
        <f>worksheet!E318*worksheet!L318</f>
        <v>204.92999999999995</v>
      </c>
      <c r="N318" t="str">
        <f t="shared" si="8"/>
        <v>Excelsa</v>
      </c>
      <c r="O318" t="str">
        <f t="shared" si="9"/>
        <v>Light</v>
      </c>
      <c r="P318" t="str">
        <f>_xlfn.XLOOKUP(worksheet[[#This Row],[Customer ID]],customers!$A$1:$A$1001,customers!$I$1:$I$1001,0)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
        <v>2282</v>
      </c>
      <c r="H319" s="2" t="str">
        <f>_xlfn.XLOOKUP(C319,customers!$A$1:$A$1001,customers!$G$1:$G$1001,0)</f>
        <v>United States</v>
      </c>
      <c r="I319" t="str">
        <f>_xlfn.XLOOKUP(D319,products!$A$1:$A$49,products!$B$1:$B$49,0)</f>
        <v>Exc</v>
      </c>
      <c r="J319" t="str">
        <f>_xlfn.XLOOKUP(worksheet!D319,products!$A$1:$A$49,products!$C$1:$C$49,0)</f>
        <v>D</v>
      </c>
      <c r="K319" s="5">
        <f>_xlfn.XLOOKUP(worksheet!D319,products!$A$1:$A$49,products!$D$1:$D$49,0)</f>
        <v>0.5</v>
      </c>
      <c r="L319" s="6">
        <f>_xlfn.XLOOKUP(worksheet!D319,products!$A$1:$A$49,products!$E$1:$E$49,0)</f>
        <v>7.29</v>
      </c>
      <c r="M319" s="6">
        <f>worksheet!E319*worksheet!L319</f>
        <v>21.87</v>
      </c>
      <c r="N319" t="str">
        <f t="shared" si="8"/>
        <v>Excelsa</v>
      </c>
      <c r="O319" t="str">
        <f t="shared" si="9"/>
        <v>Dark</v>
      </c>
      <c r="P319" t="str">
        <f>_xlfn.XLOOKUP(worksheet[[#This Row],[Customer ID]],customers!$A$1:$A$1001,customers!$I$1:$I$1001,0)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
        <v>2288</v>
      </c>
      <c r="H320" s="2" t="str">
        <f>_xlfn.XLOOKUP(C320,customers!$A$1:$A$1001,customers!$G$1:$G$1001,0)</f>
        <v>United States</v>
      </c>
      <c r="I320" t="str">
        <f>_xlfn.XLOOKUP(D320,products!$A$1:$A$49,products!$B$1:$B$49,0)</f>
        <v>Ara</v>
      </c>
      <c r="J320" t="str">
        <f>_xlfn.XLOOKUP(worksheet!D320,products!$A$1:$A$49,products!$C$1:$C$49,0)</f>
        <v>M</v>
      </c>
      <c r="K320" s="5">
        <f>_xlfn.XLOOKUP(worksheet!D320,products!$A$1:$A$49,products!$D$1:$D$49,0)</f>
        <v>2.5</v>
      </c>
      <c r="L320" s="6">
        <f>_xlfn.XLOOKUP(worksheet!D320,products!$A$1:$A$49,products!$E$1:$E$49,0)</f>
        <v>25.874999999999996</v>
      </c>
      <c r="M320" s="6">
        <f>worksheet!E320*worksheet!L320</f>
        <v>51.749999999999993</v>
      </c>
      <c r="N320" t="str">
        <f t="shared" si="8"/>
        <v>Arabica</v>
      </c>
      <c r="O320" t="str">
        <f t="shared" si="9"/>
        <v>Medium</v>
      </c>
      <c r="P320" t="str">
        <f>_xlfn.XLOOKUP(worksheet[[#This Row],[Customer ID]],customers!$A$1:$A$1001,customers!$I$1:$I$1001,0)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
        <v>2294</v>
      </c>
      <c r="H321" s="2" t="str">
        <f>_xlfn.XLOOKUP(C321,customers!$A$1:$A$1001,customers!$G$1:$G$1001,0)</f>
        <v>United States</v>
      </c>
      <c r="I321" t="str">
        <f>_xlfn.XLOOKUP(D321,products!$A$1:$A$49,products!$B$1:$B$49,0)</f>
        <v>Exc</v>
      </c>
      <c r="J321" t="str">
        <f>_xlfn.XLOOKUP(worksheet!D321,products!$A$1:$A$49,products!$C$1:$C$49,0)</f>
        <v>M</v>
      </c>
      <c r="K321" s="5">
        <f>_xlfn.XLOOKUP(worksheet!D321,products!$A$1:$A$49,products!$D$1:$D$49,0)</f>
        <v>0.2</v>
      </c>
      <c r="L321" s="6">
        <f>_xlfn.XLOOKUP(worksheet!D321,products!$A$1:$A$49,products!$E$1:$E$49,0)</f>
        <v>4.125</v>
      </c>
      <c r="M321" s="6">
        <f>worksheet!E321*worksheet!L321</f>
        <v>8.25</v>
      </c>
      <c r="N321" t="str">
        <f t="shared" si="8"/>
        <v>Excelsa</v>
      </c>
      <c r="O321" t="str">
        <f t="shared" si="9"/>
        <v>Medium</v>
      </c>
      <c r="P321" t="str">
        <f>_xlfn.XLOOKUP(worksheet[[#This Row],[Customer ID]],customers!$A$1:$A$1001,customers!$I$1:$I$1001,0)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
        <v>2294</v>
      </c>
      <c r="H322" s="2" t="str">
        <f>_xlfn.XLOOKUP(C322,customers!$A$1:$A$1001,customers!$G$1:$G$1001,0)</f>
        <v>United States</v>
      </c>
      <c r="I322" t="str">
        <f>_xlfn.XLOOKUP(D322,products!$A$1:$A$49,products!$B$1:$B$49,0)</f>
        <v>Ara</v>
      </c>
      <c r="J322" t="str">
        <f>_xlfn.XLOOKUP(worksheet!D322,products!$A$1:$A$49,products!$C$1:$C$49,0)</f>
        <v>L</v>
      </c>
      <c r="K322" s="5">
        <f>_xlfn.XLOOKUP(worksheet!D322,products!$A$1:$A$49,products!$D$1:$D$49,0)</f>
        <v>0.2</v>
      </c>
      <c r="L322" s="6">
        <f>_xlfn.XLOOKUP(worksheet!D322,products!$A$1:$A$49,products!$E$1:$E$49,0)</f>
        <v>3.8849999999999998</v>
      </c>
      <c r="M322" s="6">
        <f>worksheet!E322*worksheet!L322</f>
        <v>19.424999999999997</v>
      </c>
      <c r="N322" t="str">
        <f t="shared" si="8"/>
        <v>Arabica</v>
      </c>
      <c r="O322" t="str">
        <f t="shared" si="9"/>
        <v>Light</v>
      </c>
      <c r="P322" t="str">
        <f>_xlfn.XLOOKUP(worksheet[[#This Row],[Customer ID]],customers!$A$1:$A$1001,customers!$I$1:$I$1001,0)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
        <v>2304</v>
      </c>
      <c r="H323" s="2" t="str">
        <f>_xlfn.XLOOKUP(C323,customers!$A$1:$A$1001,customers!$G$1:$G$1001,0)</f>
        <v>Ireland</v>
      </c>
      <c r="I323" t="str">
        <f>_xlfn.XLOOKUP(D323,products!$A$1:$A$49,products!$B$1:$B$49,0)</f>
        <v>Ara</v>
      </c>
      <c r="J323" t="str">
        <f>_xlfn.XLOOKUP(worksheet!D323,products!$A$1:$A$49,products!$C$1:$C$49,0)</f>
        <v>M</v>
      </c>
      <c r="K323" s="5">
        <f>_xlfn.XLOOKUP(worksheet!D323,products!$A$1:$A$49,products!$D$1:$D$49,0)</f>
        <v>0.2</v>
      </c>
      <c r="L323" s="6">
        <f>_xlfn.XLOOKUP(worksheet!D323,products!$A$1:$A$49,products!$E$1:$E$49,0)</f>
        <v>3.375</v>
      </c>
      <c r="M323" s="6">
        <f>worksheet!E323*worksheet!L323</f>
        <v>20.25</v>
      </c>
      <c r="N323" t="str">
        <f t="shared" ref="N323:N386" si="10">IF(I323="Rob","Robusta",IF(I323="Exc","Excelsa",IF(I323="Ara","Arabica",IF(I323="Lib","Liberica",""))))</f>
        <v>Arabica</v>
      </c>
      <c r="O323" t="str">
        <f t="shared" ref="O323:O386" si="11">IF(J323="M","Medium",IF(J323="L","Light",IF(J323="D","Dark","")))</f>
        <v>Medium</v>
      </c>
      <c r="P323" t="str">
        <f>_xlfn.XLOOKUP(worksheet[[#This Row],[Customer ID]],customers!$A$1:$A$1001,customers!$I$1:$I$1001,0)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
        <v>2310</v>
      </c>
      <c r="H324" s="2" t="str">
        <f>_xlfn.XLOOKUP(C324,customers!$A$1:$A$1001,customers!$G$1:$G$1001,0)</f>
        <v>Ireland</v>
      </c>
      <c r="I324" t="str">
        <f>_xlfn.XLOOKUP(D324,products!$A$1:$A$49,products!$B$1:$B$49,0)</f>
        <v>Lib</v>
      </c>
      <c r="J324" t="str">
        <f>_xlfn.XLOOKUP(worksheet!D324,products!$A$1:$A$49,products!$C$1:$C$49,0)</f>
        <v>D</v>
      </c>
      <c r="K324" s="5">
        <f>_xlfn.XLOOKUP(worksheet!D324,products!$A$1:$A$49,products!$D$1:$D$49,0)</f>
        <v>0.5</v>
      </c>
      <c r="L324" s="6">
        <f>_xlfn.XLOOKUP(worksheet!D324,products!$A$1:$A$49,products!$E$1:$E$49,0)</f>
        <v>7.77</v>
      </c>
      <c r="M324" s="6">
        <f>worksheet!E324*worksheet!L324</f>
        <v>23.31</v>
      </c>
      <c r="N324" t="str">
        <f t="shared" si="10"/>
        <v>Liberica</v>
      </c>
      <c r="O324" t="str">
        <f t="shared" si="11"/>
        <v>Dark</v>
      </c>
      <c r="P324" t="str">
        <f>_xlfn.XLOOKUP(worksheet[[#This Row],[Customer ID]],customers!$A$1:$A$1001,customers!$I$1:$I$1001,0)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
        <v>2316</v>
      </c>
      <c r="H325" s="2" t="str">
        <f>_xlfn.XLOOKUP(C325,customers!$A$1:$A$1001,customers!$G$1:$G$1001,0)</f>
        <v>United States</v>
      </c>
      <c r="I325" t="str">
        <f>_xlfn.XLOOKUP(D325,products!$A$1:$A$49,products!$B$1:$B$49,0)</f>
        <v>Exc</v>
      </c>
      <c r="J325" t="str">
        <f>_xlfn.XLOOKUP(worksheet!D325,products!$A$1:$A$49,products!$C$1:$C$49,0)</f>
        <v>D</v>
      </c>
      <c r="K325" s="5">
        <f>_xlfn.XLOOKUP(worksheet!D325,products!$A$1:$A$49,products!$D$1:$D$49,0)</f>
        <v>0.2</v>
      </c>
      <c r="L325" s="6">
        <f>_xlfn.XLOOKUP(worksheet!D325,products!$A$1:$A$49,products!$E$1:$E$49,0)</f>
        <v>3.645</v>
      </c>
      <c r="M325" s="6">
        <f>worksheet!E325*worksheet!L325</f>
        <v>18.225000000000001</v>
      </c>
      <c r="N325" t="str">
        <f t="shared" si="10"/>
        <v>Excelsa</v>
      </c>
      <c r="O325" t="str">
        <f t="shared" si="11"/>
        <v>Dark</v>
      </c>
      <c r="P325" t="str">
        <f>_xlfn.XLOOKUP(worksheet[[#This Row],[Customer ID]],customers!$A$1:$A$1001,customers!$I$1:$I$1001,0)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
        <v>6222</v>
      </c>
      <c r="H326" s="2" t="str">
        <f>_xlfn.XLOOKUP(C326,customers!$A$1:$A$1001,customers!$G$1:$G$1001,0)</f>
        <v>United States</v>
      </c>
      <c r="I326" t="str">
        <f>_xlfn.XLOOKUP(D326,products!$A$1:$A$49,products!$B$1:$B$49,0)</f>
        <v>Exc</v>
      </c>
      <c r="J326" t="str">
        <f>_xlfn.XLOOKUP(worksheet!D326,products!$A$1:$A$49,products!$C$1:$C$49,0)</f>
        <v>M</v>
      </c>
      <c r="K326" s="5">
        <f>_xlfn.XLOOKUP(worksheet!D326,products!$A$1:$A$49,products!$D$1:$D$49,0)</f>
        <v>1</v>
      </c>
      <c r="L326" s="6">
        <f>_xlfn.XLOOKUP(worksheet!D326,products!$A$1:$A$49,products!$E$1:$E$49,0)</f>
        <v>13.75</v>
      </c>
      <c r="M326" s="6">
        <f>worksheet!E326*worksheet!L326</f>
        <v>13.75</v>
      </c>
      <c r="N326" t="str">
        <f t="shared" si="10"/>
        <v>Excelsa</v>
      </c>
      <c r="O326" t="str">
        <f t="shared" si="11"/>
        <v>Medium</v>
      </c>
      <c r="P326" t="str">
        <f>_xlfn.XLOOKUP(worksheet[[#This Row],[Customer ID]],customers!$A$1:$A$1001,customers!$I$1:$I$1001,0)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
        <v>2327</v>
      </c>
      <c r="H327" s="2" t="str">
        <f>_xlfn.XLOOKUP(C327,customers!$A$1:$A$1001,customers!$G$1:$G$1001,0)</f>
        <v>United States</v>
      </c>
      <c r="I327" t="str">
        <f>_xlfn.XLOOKUP(D327,products!$A$1:$A$49,products!$B$1:$B$49,0)</f>
        <v>Ara</v>
      </c>
      <c r="J327" t="str">
        <f>_xlfn.XLOOKUP(worksheet!D327,products!$A$1:$A$49,products!$C$1:$C$49,0)</f>
        <v>L</v>
      </c>
      <c r="K327" s="5">
        <f>_xlfn.XLOOKUP(worksheet!D327,products!$A$1:$A$49,products!$D$1:$D$49,0)</f>
        <v>2.5</v>
      </c>
      <c r="L327" s="6">
        <f>_xlfn.XLOOKUP(worksheet!D327,products!$A$1:$A$49,products!$E$1:$E$49,0)</f>
        <v>29.784999999999997</v>
      </c>
      <c r="M327" s="6">
        <f>worksheet!E327*worksheet!L327</f>
        <v>29.784999999999997</v>
      </c>
      <c r="N327" t="str">
        <f t="shared" si="10"/>
        <v>Arabica</v>
      </c>
      <c r="O327" t="str">
        <f t="shared" si="11"/>
        <v>Light</v>
      </c>
      <c r="P327" t="str">
        <f>_xlfn.XLOOKUP(worksheet[[#This Row],[Customer ID]],customers!$A$1:$A$1001,customers!$I$1:$I$1001,0)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
        <v>6222</v>
      </c>
      <c r="H328" s="2" t="str">
        <f>_xlfn.XLOOKUP(C328,customers!$A$1:$A$1001,customers!$G$1:$G$1001,0)</f>
        <v>United States</v>
      </c>
      <c r="I328" t="str">
        <f>_xlfn.XLOOKUP(D328,products!$A$1:$A$49,products!$B$1:$B$49,0)</f>
        <v>Rob</v>
      </c>
      <c r="J328" t="str">
        <f>_xlfn.XLOOKUP(worksheet!D328,products!$A$1:$A$49,products!$C$1:$C$49,0)</f>
        <v>D</v>
      </c>
      <c r="K328" s="5">
        <f>_xlfn.XLOOKUP(worksheet!D328,products!$A$1:$A$49,products!$D$1:$D$49,0)</f>
        <v>1</v>
      </c>
      <c r="L328" s="6">
        <f>_xlfn.XLOOKUP(worksheet!D328,products!$A$1:$A$49,products!$E$1:$E$49,0)</f>
        <v>8.9499999999999993</v>
      </c>
      <c r="M328" s="6">
        <f>worksheet!E328*worksheet!L328</f>
        <v>44.75</v>
      </c>
      <c r="N328" t="str">
        <f t="shared" si="10"/>
        <v>Robusta</v>
      </c>
      <c r="O328" t="str">
        <f t="shared" si="11"/>
        <v>Dark</v>
      </c>
      <c r="P328" t="str">
        <f>_xlfn.XLOOKUP(worksheet[[#This Row],[Customer ID]],customers!$A$1:$A$1001,customers!$I$1:$I$1001,0)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
        <v>2338</v>
      </c>
      <c r="H329" s="2" t="str">
        <f>_xlfn.XLOOKUP(C329,customers!$A$1:$A$1001,customers!$G$1:$G$1001,0)</f>
        <v>United States</v>
      </c>
      <c r="I329" t="str">
        <f>_xlfn.XLOOKUP(D329,products!$A$1:$A$49,products!$B$1:$B$49,0)</f>
        <v>Rob</v>
      </c>
      <c r="J329" t="str">
        <f>_xlfn.XLOOKUP(worksheet!D329,products!$A$1:$A$49,products!$C$1:$C$49,0)</f>
        <v>D</v>
      </c>
      <c r="K329" s="5">
        <f>_xlfn.XLOOKUP(worksheet!D329,products!$A$1:$A$49,products!$D$1:$D$49,0)</f>
        <v>1</v>
      </c>
      <c r="L329" s="6">
        <f>_xlfn.XLOOKUP(worksheet!D329,products!$A$1:$A$49,products!$E$1:$E$49,0)</f>
        <v>8.9499999999999993</v>
      </c>
      <c r="M329" s="6">
        <f>worksheet!E329*worksheet!L329</f>
        <v>44.75</v>
      </c>
      <c r="N329" t="str">
        <f t="shared" si="10"/>
        <v>Robusta</v>
      </c>
      <c r="O329" t="str">
        <f t="shared" si="11"/>
        <v>Dark</v>
      </c>
      <c r="P329" t="str">
        <f>_xlfn.XLOOKUP(worksheet[[#This Row],[Customer ID]],customers!$A$1:$A$1001,customers!$I$1:$I$1001,0)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
        <v>6222</v>
      </c>
      <c r="H330" s="2" t="str">
        <f>_xlfn.XLOOKUP(C330,customers!$A$1:$A$1001,customers!$G$1:$G$1001,0)</f>
        <v>United States</v>
      </c>
      <c r="I330" t="str">
        <f>_xlfn.XLOOKUP(D330,products!$A$1:$A$49,products!$B$1:$B$49,0)</f>
        <v>Lib</v>
      </c>
      <c r="J330" t="str">
        <f>_xlfn.XLOOKUP(worksheet!D330,products!$A$1:$A$49,products!$C$1:$C$49,0)</f>
        <v>L</v>
      </c>
      <c r="K330" s="5">
        <f>_xlfn.XLOOKUP(worksheet!D330,products!$A$1:$A$49,products!$D$1:$D$49,0)</f>
        <v>0.5</v>
      </c>
      <c r="L330" s="6">
        <f>_xlfn.XLOOKUP(worksheet!D330,products!$A$1:$A$49,products!$E$1:$E$49,0)</f>
        <v>9.51</v>
      </c>
      <c r="M330" s="6">
        <f>worksheet!E330*worksheet!L330</f>
        <v>38.04</v>
      </c>
      <c r="N330" t="str">
        <f t="shared" si="10"/>
        <v>Liberica</v>
      </c>
      <c r="O330" t="str">
        <f t="shared" si="11"/>
        <v>Light</v>
      </c>
      <c r="P330" t="str">
        <f>_xlfn.XLOOKUP(worksheet[[#This Row],[Customer ID]],customers!$A$1:$A$1001,customers!$I$1:$I$1001,0)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
        <v>2349</v>
      </c>
      <c r="H331" s="2" t="str">
        <f>_xlfn.XLOOKUP(C331,customers!$A$1:$A$1001,customers!$G$1:$G$1001,0)</f>
        <v>United States</v>
      </c>
      <c r="I331" t="str">
        <f>_xlfn.XLOOKUP(D331,products!$A$1:$A$49,products!$B$1:$B$49,0)</f>
        <v>Rob</v>
      </c>
      <c r="J331" t="str">
        <f>_xlfn.XLOOKUP(worksheet!D331,products!$A$1:$A$49,products!$C$1:$C$49,0)</f>
        <v>D</v>
      </c>
      <c r="K331" s="5">
        <f>_xlfn.XLOOKUP(worksheet!D331,products!$A$1:$A$49,products!$D$1:$D$49,0)</f>
        <v>0.5</v>
      </c>
      <c r="L331" s="6">
        <f>_xlfn.XLOOKUP(worksheet!D331,products!$A$1:$A$49,products!$E$1:$E$49,0)</f>
        <v>5.3699999999999992</v>
      </c>
      <c r="M331" s="6">
        <f>worksheet!E331*worksheet!L331</f>
        <v>21.479999999999997</v>
      </c>
      <c r="N331" t="str">
        <f t="shared" si="10"/>
        <v>Robusta</v>
      </c>
      <c r="O331" t="str">
        <f t="shared" si="11"/>
        <v>Dark</v>
      </c>
      <c r="P331" t="str">
        <f>_xlfn.XLOOKUP(worksheet[[#This Row],[Customer ID]],customers!$A$1:$A$1001,customers!$I$1:$I$1001,0)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
        <v>2282</v>
      </c>
      <c r="H332" s="2" t="str">
        <f>_xlfn.XLOOKUP(C332,customers!$A$1:$A$1001,customers!$G$1:$G$1001,0)</f>
        <v>United States</v>
      </c>
      <c r="I332" t="str">
        <f>_xlfn.XLOOKUP(D332,products!$A$1:$A$49,products!$B$1:$B$49,0)</f>
        <v>Rob</v>
      </c>
      <c r="J332" t="str">
        <f>_xlfn.XLOOKUP(worksheet!D332,products!$A$1:$A$49,products!$C$1:$C$49,0)</f>
        <v>D</v>
      </c>
      <c r="K332" s="5">
        <f>_xlfn.XLOOKUP(worksheet!D332,products!$A$1:$A$49,products!$D$1:$D$49,0)</f>
        <v>0.5</v>
      </c>
      <c r="L332" s="6">
        <f>_xlfn.XLOOKUP(worksheet!D332,products!$A$1:$A$49,products!$E$1:$E$49,0)</f>
        <v>5.3699999999999992</v>
      </c>
      <c r="M332" s="6">
        <f>worksheet!E332*worksheet!L332</f>
        <v>16.11</v>
      </c>
      <c r="N332" t="str">
        <f t="shared" si="10"/>
        <v>Robusta</v>
      </c>
      <c r="O332" t="str">
        <f t="shared" si="11"/>
        <v>Dark</v>
      </c>
      <c r="P332" t="str">
        <f>_xlfn.XLOOKUP(worksheet[[#This Row],[Customer ID]],customers!$A$1:$A$1001,customers!$I$1:$I$1001,0)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
        <v>2360</v>
      </c>
      <c r="H333" s="2" t="str">
        <f>_xlfn.XLOOKUP(C333,customers!$A$1:$A$1001,customers!$G$1:$G$1001,0)</f>
        <v>United States</v>
      </c>
      <c r="I333" t="str">
        <f>_xlfn.XLOOKUP(D333,products!$A$1:$A$49,products!$B$1:$B$49,0)</f>
        <v>Rob</v>
      </c>
      <c r="J333" t="str">
        <f>_xlfn.XLOOKUP(worksheet!D333,products!$A$1:$A$49,products!$C$1:$C$49,0)</f>
        <v>M</v>
      </c>
      <c r="K333" s="5">
        <f>_xlfn.XLOOKUP(worksheet!D333,products!$A$1:$A$49,products!$D$1:$D$49,0)</f>
        <v>2.5</v>
      </c>
      <c r="L333" s="6">
        <f>_xlfn.XLOOKUP(worksheet!D333,products!$A$1:$A$49,products!$E$1:$E$49,0)</f>
        <v>22.884999999999998</v>
      </c>
      <c r="M333" s="6">
        <f>worksheet!E333*worksheet!L333</f>
        <v>22.884999999999998</v>
      </c>
      <c r="N333" t="str">
        <f t="shared" si="10"/>
        <v>Robusta</v>
      </c>
      <c r="O333" t="str">
        <f t="shared" si="11"/>
        <v>Medium</v>
      </c>
      <c r="P333" t="str">
        <f>_xlfn.XLOOKUP(worksheet[[#This Row],[Customer ID]],customers!$A$1:$A$1001,customers!$I$1:$I$1001,0)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
        <v>2366</v>
      </c>
      <c r="H334" s="2" t="str">
        <f>_xlfn.XLOOKUP(C334,customers!$A$1:$A$1001,customers!$G$1:$G$1001,0)</f>
        <v>United States</v>
      </c>
      <c r="I334" t="str">
        <f>_xlfn.XLOOKUP(D334,products!$A$1:$A$49,products!$B$1:$B$49,0)</f>
        <v>Ara</v>
      </c>
      <c r="J334" t="str">
        <f>_xlfn.XLOOKUP(worksheet!D334,products!$A$1:$A$49,products!$C$1:$C$49,0)</f>
        <v>D</v>
      </c>
      <c r="K334" s="5">
        <f>_xlfn.XLOOKUP(worksheet!D334,products!$A$1:$A$49,products!$D$1:$D$49,0)</f>
        <v>0.5</v>
      </c>
      <c r="L334" s="6">
        <f>_xlfn.XLOOKUP(worksheet!D334,products!$A$1:$A$49,products!$E$1:$E$49,0)</f>
        <v>5.97</v>
      </c>
      <c r="M334" s="6">
        <f>worksheet!E334*worksheet!L334</f>
        <v>17.91</v>
      </c>
      <c r="N334" t="str">
        <f t="shared" si="10"/>
        <v>Arabica</v>
      </c>
      <c r="O334" t="str">
        <f t="shared" si="11"/>
        <v>Dark</v>
      </c>
      <c r="P334" t="str">
        <f>_xlfn.XLOOKUP(worksheet[[#This Row],[Customer ID]],customers!$A$1:$A$1001,customers!$I$1:$I$1001,0)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
        <v>2372</v>
      </c>
      <c r="H335" s="2" t="str">
        <f>_xlfn.XLOOKUP(C335,customers!$A$1:$A$1001,customers!$G$1:$G$1001,0)</f>
        <v>United States</v>
      </c>
      <c r="I335" t="str">
        <f>_xlfn.XLOOKUP(D335,products!$A$1:$A$49,products!$B$1:$B$49,0)</f>
        <v>Rob</v>
      </c>
      <c r="J335" t="str">
        <f>_xlfn.XLOOKUP(worksheet!D335,products!$A$1:$A$49,products!$C$1:$C$49,0)</f>
        <v>M</v>
      </c>
      <c r="K335" s="5">
        <f>_xlfn.XLOOKUP(worksheet!D335,products!$A$1:$A$49,products!$D$1:$D$49,0)</f>
        <v>0.5</v>
      </c>
      <c r="L335" s="6">
        <f>_xlfn.XLOOKUP(worksheet!D335,products!$A$1:$A$49,products!$E$1:$E$49,0)</f>
        <v>5.97</v>
      </c>
      <c r="M335" s="6">
        <f>worksheet!E335*worksheet!L335</f>
        <v>23.88</v>
      </c>
      <c r="N335" t="str">
        <f t="shared" si="10"/>
        <v>Robusta</v>
      </c>
      <c r="O335" t="str">
        <f t="shared" si="11"/>
        <v>Medium</v>
      </c>
      <c r="P335" t="str">
        <f>_xlfn.XLOOKUP(worksheet[[#This Row],[Customer ID]],customers!$A$1:$A$1001,customers!$I$1:$I$1001,0)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
        <v>6222</v>
      </c>
      <c r="H336" s="2" t="str">
        <f>_xlfn.XLOOKUP(C336,customers!$A$1:$A$1001,customers!$G$1:$G$1001,0)</f>
        <v>United States</v>
      </c>
      <c r="I336" t="str">
        <f>_xlfn.XLOOKUP(D336,products!$A$1:$A$49,products!$B$1:$B$49,0)</f>
        <v>Rob</v>
      </c>
      <c r="J336" t="str">
        <f>_xlfn.XLOOKUP(worksheet!D336,products!$A$1:$A$49,products!$C$1:$C$49,0)</f>
        <v>L</v>
      </c>
      <c r="K336" s="5">
        <f>_xlfn.XLOOKUP(worksheet!D336,products!$A$1:$A$49,products!$D$1:$D$49,0)</f>
        <v>1</v>
      </c>
      <c r="L336" s="6">
        <f>_xlfn.XLOOKUP(worksheet!D336,products!$A$1:$A$49,products!$E$1:$E$49,0)</f>
        <v>11.95</v>
      </c>
      <c r="M336" s="6">
        <f>worksheet!E336*worksheet!L336</f>
        <v>59.75</v>
      </c>
      <c r="N336" t="str">
        <f t="shared" si="10"/>
        <v>Robusta</v>
      </c>
      <c r="O336" t="str">
        <f t="shared" si="11"/>
        <v>Light</v>
      </c>
      <c r="P336" t="str">
        <f>_xlfn.XLOOKUP(worksheet[[#This Row],[Customer ID]],customers!$A$1:$A$1001,customers!$I$1:$I$1001,0)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
        <v>2382</v>
      </c>
      <c r="H337" s="2" t="str">
        <f>_xlfn.XLOOKUP(C337,customers!$A$1:$A$1001,customers!$G$1:$G$1001,0)</f>
        <v>United States</v>
      </c>
      <c r="I337" t="str">
        <f>_xlfn.XLOOKUP(D337,products!$A$1:$A$49,products!$B$1:$B$49,0)</f>
        <v>Lib</v>
      </c>
      <c r="J337" t="str">
        <f>_xlfn.XLOOKUP(worksheet!D337,products!$A$1:$A$49,products!$C$1:$C$49,0)</f>
        <v>L</v>
      </c>
      <c r="K337" s="5">
        <f>_xlfn.XLOOKUP(worksheet!D337,products!$A$1:$A$49,products!$D$1:$D$49,0)</f>
        <v>0.2</v>
      </c>
      <c r="L337" s="6">
        <f>_xlfn.XLOOKUP(worksheet!D337,products!$A$1:$A$49,products!$E$1:$E$49,0)</f>
        <v>4.7549999999999999</v>
      </c>
      <c r="M337" s="6">
        <f>worksheet!E337*worksheet!L337</f>
        <v>28.53</v>
      </c>
      <c r="N337" t="str">
        <f t="shared" si="10"/>
        <v>Liberica</v>
      </c>
      <c r="O337" t="str">
        <f t="shared" si="11"/>
        <v>Light</v>
      </c>
      <c r="P337" t="str">
        <f>_xlfn.XLOOKUP(worksheet[[#This Row],[Customer ID]],customers!$A$1:$A$1001,customers!$I$1:$I$1001,0)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
        <v>2388</v>
      </c>
      <c r="H338" s="2" t="str">
        <f>_xlfn.XLOOKUP(C338,customers!$A$1:$A$1001,customers!$G$1:$G$1001,0)</f>
        <v>United Kingdom</v>
      </c>
      <c r="I338" t="str">
        <f>_xlfn.XLOOKUP(D338,products!$A$1:$A$49,products!$B$1:$B$49,0)</f>
        <v>Ara</v>
      </c>
      <c r="J338" t="str">
        <f>_xlfn.XLOOKUP(worksheet!D338,products!$A$1:$A$49,products!$C$1:$C$49,0)</f>
        <v>M</v>
      </c>
      <c r="K338" s="5">
        <f>_xlfn.XLOOKUP(worksheet!D338,products!$A$1:$A$49,products!$D$1:$D$49,0)</f>
        <v>1</v>
      </c>
      <c r="L338" s="6">
        <f>_xlfn.XLOOKUP(worksheet!D338,products!$A$1:$A$49,products!$E$1:$E$49,0)</f>
        <v>11.25</v>
      </c>
      <c r="M338" s="6">
        <f>worksheet!E338*worksheet!L338</f>
        <v>45</v>
      </c>
      <c r="N338" t="str">
        <f t="shared" si="10"/>
        <v>Arabica</v>
      </c>
      <c r="O338" t="str">
        <f t="shared" si="11"/>
        <v>Medium</v>
      </c>
      <c r="P338" t="str">
        <f>_xlfn.XLOOKUP(worksheet[[#This Row],[Customer ID]],customers!$A$1:$A$1001,customers!$I$1:$I$1001,0)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
        <v>6222</v>
      </c>
      <c r="H339" s="2" t="str">
        <f>_xlfn.XLOOKUP(C339,customers!$A$1:$A$1001,customers!$G$1:$G$1001,0)</f>
        <v>United States</v>
      </c>
      <c r="I339" t="str">
        <f>_xlfn.XLOOKUP(D339,products!$A$1:$A$49,products!$B$1:$B$49,0)</f>
        <v>Exc</v>
      </c>
      <c r="J339" t="str">
        <f>_xlfn.XLOOKUP(worksheet!D339,products!$A$1:$A$49,products!$C$1:$C$49,0)</f>
        <v>D</v>
      </c>
      <c r="K339" s="5">
        <f>_xlfn.XLOOKUP(worksheet!D339,products!$A$1:$A$49,products!$D$1:$D$49,0)</f>
        <v>2.5</v>
      </c>
      <c r="L339" s="6">
        <f>_xlfn.XLOOKUP(worksheet!D339,products!$A$1:$A$49,products!$E$1:$E$49,0)</f>
        <v>27.945</v>
      </c>
      <c r="M339" s="6">
        <f>worksheet!E339*worksheet!L339</f>
        <v>55.89</v>
      </c>
      <c r="N339" t="str">
        <f t="shared" si="10"/>
        <v>Excelsa</v>
      </c>
      <c r="O339" t="str">
        <f t="shared" si="11"/>
        <v>Dark</v>
      </c>
      <c r="P339" t="str">
        <f>_xlfn.XLOOKUP(worksheet[[#This Row],[Customer ID]],customers!$A$1:$A$1001,customers!$I$1:$I$1001,0)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
        <v>2399</v>
      </c>
      <c r="H340" s="2" t="str">
        <f>_xlfn.XLOOKUP(C340,customers!$A$1:$A$1001,customers!$G$1:$G$1001,0)</f>
        <v>United States</v>
      </c>
      <c r="I340" t="str">
        <f>_xlfn.XLOOKUP(D340,products!$A$1:$A$49,products!$B$1:$B$49,0)</f>
        <v>Exc</v>
      </c>
      <c r="J340" t="str">
        <f>_xlfn.XLOOKUP(worksheet!D340,products!$A$1:$A$49,products!$C$1:$C$49,0)</f>
        <v>L</v>
      </c>
      <c r="K340" s="5">
        <f>_xlfn.XLOOKUP(worksheet!D340,products!$A$1:$A$49,products!$D$1:$D$49,0)</f>
        <v>1</v>
      </c>
      <c r="L340" s="6">
        <f>_xlfn.XLOOKUP(worksheet!D340,products!$A$1:$A$49,products!$E$1:$E$49,0)</f>
        <v>14.85</v>
      </c>
      <c r="M340" s="6">
        <f>worksheet!E340*worksheet!L340</f>
        <v>59.4</v>
      </c>
      <c r="N340" t="str">
        <f t="shared" si="10"/>
        <v>Excelsa</v>
      </c>
      <c r="O340" t="str">
        <f t="shared" si="11"/>
        <v>Light</v>
      </c>
      <c r="P340" t="str">
        <f>_xlfn.XLOOKUP(worksheet[[#This Row],[Customer ID]],customers!$A$1:$A$1001,customers!$I$1:$I$1001,0)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
        <v>2405</v>
      </c>
      <c r="H341" s="2" t="str">
        <f>_xlfn.XLOOKUP(C341,customers!$A$1:$A$1001,customers!$G$1:$G$1001,0)</f>
        <v>United States</v>
      </c>
      <c r="I341" t="str">
        <f>_xlfn.XLOOKUP(D341,products!$A$1:$A$49,products!$B$1:$B$49,0)</f>
        <v>Exc</v>
      </c>
      <c r="J341" t="str">
        <f>_xlfn.XLOOKUP(worksheet!D341,products!$A$1:$A$49,products!$C$1:$C$49,0)</f>
        <v>D</v>
      </c>
      <c r="K341" s="5">
        <f>_xlfn.XLOOKUP(worksheet!D341,products!$A$1:$A$49,products!$D$1:$D$49,0)</f>
        <v>0.2</v>
      </c>
      <c r="L341" s="6">
        <f>_xlfn.XLOOKUP(worksheet!D341,products!$A$1:$A$49,products!$E$1:$E$49,0)</f>
        <v>3.645</v>
      </c>
      <c r="M341" s="6">
        <f>worksheet!E341*worksheet!L341</f>
        <v>7.29</v>
      </c>
      <c r="N341" t="str">
        <f t="shared" si="10"/>
        <v>Excelsa</v>
      </c>
      <c r="O341" t="str">
        <f t="shared" si="11"/>
        <v>Dark</v>
      </c>
      <c r="P341" t="str">
        <f>_xlfn.XLOOKUP(worksheet[[#This Row],[Customer ID]],customers!$A$1:$A$1001,customers!$I$1:$I$1001,0)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
        <v>2411</v>
      </c>
      <c r="H342" s="2" t="str">
        <f>_xlfn.XLOOKUP(C342,customers!$A$1:$A$1001,customers!$G$1:$G$1001,0)</f>
        <v>United States</v>
      </c>
      <c r="I342" t="str">
        <f>_xlfn.XLOOKUP(D342,products!$A$1:$A$49,products!$B$1:$B$49,0)</f>
        <v>Exc</v>
      </c>
      <c r="J342" t="str">
        <f>_xlfn.XLOOKUP(worksheet!D342,products!$A$1:$A$49,products!$C$1:$C$49,0)</f>
        <v>D</v>
      </c>
      <c r="K342" s="5">
        <f>_xlfn.XLOOKUP(worksheet!D342,products!$A$1:$A$49,products!$D$1:$D$49,0)</f>
        <v>0.5</v>
      </c>
      <c r="L342" s="6">
        <f>_xlfn.XLOOKUP(worksheet!D342,products!$A$1:$A$49,products!$E$1:$E$49,0)</f>
        <v>7.29</v>
      </c>
      <c r="M342" s="6">
        <f>worksheet!E342*worksheet!L342</f>
        <v>7.29</v>
      </c>
      <c r="N342" t="str">
        <f t="shared" si="10"/>
        <v>Excelsa</v>
      </c>
      <c r="O342" t="str">
        <f t="shared" si="11"/>
        <v>Dark</v>
      </c>
      <c r="P342" t="str">
        <f>_xlfn.XLOOKUP(worksheet[[#This Row],[Customer ID]],customers!$A$1:$A$1001,customers!$I$1:$I$1001,0)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
        <v>2417</v>
      </c>
      <c r="H343" s="2" t="str">
        <f>_xlfn.XLOOKUP(C343,customers!$A$1:$A$1001,customers!$G$1:$G$1001,0)</f>
        <v>United States</v>
      </c>
      <c r="I343" t="str">
        <f>_xlfn.XLOOKUP(D343,products!$A$1:$A$49,products!$B$1:$B$49,0)</f>
        <v>Exc</v>
      </c>
      <c r="J343" t="str">
        <f>_xlfn.XLOOKUP(worksheet!D343,products!$A$1:$A$49,products!$C$1:$C$49,0)</f>
        <v>L</v>
      </c>
      <c r="K343" s="5">
        <f>_xlfn.XLOOKUP(worksheet!D343,products!$A$1:$A$49,products!$D$1:$D$49,0)</f>
        <v>0.5</v>
      </c>
      <c r="L343" s="6">
        <f>_xlfn.XLOOKUP(worksheet!D343,products!$A$1:$A$49,products!$E$1:$E$49,0)</f>
        <v>8.91</v>
      </c>
      <c r="M343" s="6">
        <f>worksheet!E343*worksheet!L343</f>
        <v>17.82</v>
      </c>
      <c r="N343" t="str">
        <f t="shared" si="10"/>
        <v>Excelsa</v>
      </c>
      <c r="O343" t="str">
        <f t="shared" si="11"/>
        <v>Light</v>
      </c>
      <c r="P343" t="str">
        <f>_xlfn.XLOOKUP(worksheet[[#This Row],[Customer ID]],customers!$A$1:$A$1001,customers!$I$1:$I$1001,0)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
        <v>2417</v>
      </c>
      <c r="H344" s="2" t="str">
        <f>_xlfn.XLOOKUP(C344,customers!$A$1:$A$1001,customers!$G$1:$G$1001,0)</f>
        <v>United States</v>
      </c>
      <c r="I344" t="str">
        <f>_xlfn.XLOOKUP(D344,products!$A$1:$A$49,products!$B$1:$B$49,0)</f>
        <v>Lib</v>
      </c>
      <c r="J344" t="str">
        <f>_xlfn.XLOOKUP(worksheet!D344,products!$A$1:$A$49,products!$C$1:$C$49,0)</f>
        <v>D</v>
      </c>
      <c r="K344" s="5">
        <f>_xlfn.XLOOKUP(worksheet!D344,products!$A$1:$A$49,products!$D$1:$D$49,0)</f>
        <v>0.5</v>
      </c>
      <c r="L344" s="6">
        <f>_xlfn.XLOOKUP(worksheet!D344,products!$A$1:$A$49,products!$E$1:$E$49,0)</f>
        <v>7.77</v>
      </c>
      <c r="M344" s="6">
        <f>worksheet!E344*worksheet!L344</f>
        <v>38.849999999999994</v>
      </c>
      <c r="N344" t="str">
        <f t="shared" si="10"/>
        <v>Liberica</v>
      </c>
      <c r="O344" t="str">
        <f t="shared" si="11"/>
        <v>Dark</v>
      </c>
      <c r="P344" t="str">
        <f>_xlfn.XLOOKUP(worksheet[[#This Row],[Customer ID]],customers!$A$1:$A$1001,customers!$I$1:$I$1001,0)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
        <v>2427</v>
      </c>
      <c r="H345" s="2" t="str">
        <f>_xlfn.XLOOKUP(C345,customers!$A$1:$A$1001,customers!$G$1:$G$1001,0)</f>
        <v>United States</v>
      </c>
      <c r="I345" t="str">
        <f>_xlfn.XLOOKUP(D345,products!$A$1:$A$49,products!$B$1:$B$49,0)</f>
        <v>Rob</v>
      </c>
      <c r="J345" t="str">
        <f>_xlfn.XLOOKUP(worksheet!D345,products!$A$1:$A$49,products!$C$1:$C$49,0)</f>
        <v>D</v>
      </c>
      <c r="K345" s="5">
        <f>_xlfn.XLOOKUP(worksheet!D345,products!$A$1:$A$49,products!$D$1:$D$49,0)</f>
        <v>0.5</v>
      </c>
      <c r="L345" s="6">
        <f>_xlfn.XLOOKUP(worksheet!D345,products!$A$1:$A$49,products!$E$1:$E$49,0)</f>
        <v>5.3699999999999992</v>
      </c>
      <c r="M345" s="6">
        <f>worksheet!E345*worksheet!L345</f>
        <v>32.22</v>
      </c>
      <c r="N345" t="str">
        <f t="shared" si="10"/>
        <v>Robusta</v>
      </c>
      <c r="O345" t="str">
        <f t="shared" si="11"/>
        <v>Dark</v>
      </c>
      <c r="P345" t="str">
        <f>_xlfn.XLOOKUP(worksheet[[#This Row],[Customer ID]],customers!$A$1:$A$1001,customers!$I$1:$I$1001,0)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
        <v>6222</v>
      </c>
      <c r="H346" s="2" t="str">
        <f>_xlfn.XLOOKUP(C346,customers!$A$1:$A$1001,customers!$G$1:$G$1001,0)</f>
        <v>Ireland</v>
      </c>
      <c r="I346" t="str">
        <f>_xlfn.XLOOKUP(D346,products!$A$1:$A$49,products!$B$1:$B$49,0)</f>
        <v>Rob</v>
      </c>
      <c r="J346" t="str">
        <f>_xlfn.XLOOKUP(worksheet!D346,products!$A$1:$A$49,products!$C$1:$C$49,0)</f>
        <v>M</v>
      </c>
      <c r="K346" s="5">
        <f>_xlfn.XLOOKUP(worksheet!D346,products!$A$1:$A$49,products!$D$1:$D$49,0)</f>
        <v>1</v>
      </c>
      <c r="L346" s="6">
        <f>_xlfn.XLOOKUP(worksheet!D346,products!$A$1:$A$49,products!$E$1:$E$49,0)</f>
        <v>9.9499999999999993</v>
      </c>
      <c r="M346" s="6">
        <f>worksheet!E346*worksheet!L346</f>
        <v>19.899999999999999</v>
      </c>
      <c r="N346" t="str">
        <f t="shared" si="10"/>
        <v>Robusta</v>
      </c>
      <c r="O346" t="str">
        <f t="shared" si="11"/>
        <v>Medium</v>
      </c>
      <c r="P346" t="str">
        <f>_xlfn.XLOOKUP(worksheet[[#This Row],[Customer ID]],customers!$A$1:$A$1001,customers!$I$1:$I$1001,0)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
        <v>2437</v>
      </c>
      <c r="H347" s="2" t="str">
        <f>_xlfn.XLOOKUP(C347,customers!$A$1:$A$1001,customers!$G$1:$G$1001,0)</f>
        <v>United States</v>
      </c>
      <c r="I347" t="str">
        <f>_xlfn.XLOOKUP(D347,products!$A$1:$A$49,products!$B$1:$B$49,0)</f>
        <v>Rob</v>
      </c>
      <c r="J347" t="str">
        <f>_xlfn.XLOOKUP(worksheet!D347,products!$A$1:$A$49,products!$C$1:$C$49,0)</f>
        <v>L</v>
      </c>
      <c r="K347" s="5">
        <f>_xlfn.XLOOKUP(worksheet!D347,products!$A$1:$A$49,products!$D$1:$D$49,0)</f>
        <v>1</v>
      </c>
      <c r="L347" s="6">
        <f>_xlfn.XLOOKUP(worksheet!D347,products!$A$1:$A$49,products!$E$1:$E$49,0)</f>
        <v>11.95</v>
      </c>
      <c r="M347" s="6">
        <f>worksheet!E347*worksheet!L347</f>
        <v>59.75</v>
      </c>
      <c r="N347" t="str">
        <f t="shared" si="10"/>
        <v>Robusta</v>
      </c>
      <c r="O347" t="str">
        <f t="shared" si="11"/>
        <v>Light</v>
      </c>
      <c r="P347" t="str">
        <f>_xlfn.XLOOKUP(worksheet[[#This Row],[Customer ID]],customers!$A$1:$A$1001,customers!$I$1:$I$1001,0)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
        <v>2443</v>
      </c>
      <c r="H348" s="2" t="str">
        <f>_xlfn.XLOOKUP(C348,customers!$A$1:$A$1001,customers!$G$1:$G$1001,0)</f>
        <v>United States</v>
      </c>
      <c r="I348" t="str">
        <f>_xlfn.XLOOKUP(D348,products!$A$1:$A$49,products!$B$1:$B$49,0)</f>
        <v>Ara</v>
      </c>
      <c r="J348" t="str">
        <f>_xlfn.XLOOKUP(worksheet!D348,products!$A$1:$A$49,products!$C$1:$C$49,0)</f>
        <v>L</v>
      </c>
      <c r="K348" s="5">
        <f>_xlfn.XLOOKUP(worksheet!D348,products!$A$1:$A$49,products!$D$1:$D$49,0)</f>
        <v>0.5</v>
      </c>
      <c r="L348" s="6">
        <f>_xlfn.XLOOKUP(worksheet!D348,products!$A$1:$A$49,products!$E$1:$E$49,0)</f>
        <v>7.77</v>
      </c>
      <c r="M348" s="6">
        <f>worksheet!E348*worksheet!L348</f>
        <v>23.31</v>
      </c>
      <c r="N348" t="str">
        <f t="shared" si="10"/>
        <v>Arabica</v>
      </c>
      <c r="O348" t="str">
        <f t="shared" si="11"/>
        <v>Light</v>
      </c>
      <c r="P348" t="str">
        <f>_xlfn.XLOOKUP(worksheet[[#This Row],[Customer ID]],customers!$A$1:$A$1001,customers!$I$1:$I$1001,0)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
        <v>2449</v>
      </c>
      <c r="H349" s="2" t="str">
        <f>_xlfn.XLOOKUP(C349,customers!$A$1:$A$1001,customers!$G$1:$G$1001,0)</f>
        <v>United States</v>
      </c>
      <c r="I349" t="str">
        <f>_xlfn.XLOOKUP(D349,products!$A$1:$A$49,products!$B$1:$B$49,0)</f>
        <v>Lib</v>
      </c>
      <c r="J349" t="str">
        <f>_xlfn.XLOOKUP(worksheet!D349,products!$A$1:$A$49,products!$C$1:$C$49,0)</f>
        <v>M</v>
      </c>
      <c r="K349" s="5">
        <f>_xlfn.XLOOKUP(worksheet!D349,products!$A$1:$A$49,products!$D$1:$D$49,0)</f>
        <v>1</v>
      </c>
      <c r="L349" s="6">
        <f>_xlfn.XLOOKUP(worksheet!D349,products!$A$1:$A$49,products!$E$1:$E$49,0)</f>
        <v>14.55</v>
      </c>
      <c r="M349" s="6">
        <f>worksheet!E349*worksheet!L349</f>
        <v>43.650000000000006</v>
      </c>
      <c r="N349" t="str">
        <f t="shared" si="10"/>
        <v>Liberica</v>
      </c>
      <c r="O349" t="str">
        <f t="shared" si="11"/>
        <v>Medium</v>
      </c>
      <c r="P349" t="str">
        <f>_xlfn.XLOOKUP(worksheet[[#This Row],[Customer ID]],customers!$A$1:$A$1001,customers!$I$1:$I$1001,0)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
        <v>2455</v>
      </c>
      <c r="H350" s="2" t="str">
        <f>_xlfn.XLOOKUP(C350,customers!$A$1:$A$1001,customers!$G$1:$G$1001,0)</f>
        <v>United States</v>
      </c>
      <c r="I350" t="str">
        <f>_xlfn.XLOOKUP(D350,products!$A$1:$A$49,products!$B$1:$B$49,0)</f>
        <v>Exc</v>
      </c>
      <c r="J350" t="str">
        <f>_xlfn.XLOOKUP(worksheet!D350,products!$A$1:$A$49,products!$C$1:$C$49,0)</f>
        <v>L</v>
      </c>
      <c r="K350" s="5">
        <f>_xlfn.XLOOKUP(worksheet!D350,products!$A$1:$A$49,products!$D$1:$D$49,0)</f>
        <v>2.5</v>
      </c>
      <c r="L350" s="6">
        <f>_xlfn.XLOOKUP(worksheet!D350,products!$A$1:$A$49,products!$E$1:$E$49,0)</f>
        <v>34.154999999999994</v>
      </c>
      <c r="M350" s="6">
        <f>worksheet!E350*worksheet!L350</f>
        <v>204.92999999999995</v>
      </c>
      <c r="N350" t="str">
        <f t="shared" si="10"/>
        <v>Excelsa</v>
      </c>
      <c r="O350" t="str">
        <f t="shared" si="11"/>
        <v>Light</v>
      </c>
      <c r="P350" t="str">
        <f>_xlfn.XLOOKUP(worksheet[[#This Row],[Customer ID]],customers!$A$1:$A$1001,customers!$I$1:$I$1001,0)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
        <v>2461</v>
      </c>
      <c r="H351" s="2" t="str">
        <f>_xlfn.XLOOKUP(C351,customers!$A$1:$A$1001,customers!$G$1:$G$1001,0)</f>
        <v>United States</v>
      </c>
      <c r="I351" t="str">
        <f>_xlfn.XLOOKUP(D351,products!$A$1:$A$49,products!$B$1:$B$49,0)</f>
        <v>Rob</v>
      </c>
      <c r="J351" t="str">
        <f>_xlfn.XLOOKUP(worksheet!D351,products!$A$1:$A$49,products!$C$1:$C$49,0)</f>
        <v>L</v>
      </c>
      <c r="K351" s="5">
        <f>_xlfn.XLOOKUP(worksheet!D351,products!$A$1:$A$49,products!$D$1:$D$49,0)</f>
        <v>0.2</v>
      </c>
      <c r="L351" s="6">
        <f>_xlfn.XLOOKUP(worksheet!D351,products!$A$1:$A$49,products!$E$1:$E$49,0)</f>
        <v>3.5849999999999995</v>
      </c>
      <c r="M351" s="6">
        <f>worksheet!E351*worksheet!L351</f>
        <v>14.339999999999998</v>
      </c>
      <c r="N351" t="str">
        <f t="shared" si="10"/>
        <v>Robusta</v>
      </c>
      <c r="O351" t="str">
        <f t="shared" si="11"/>
        <v>Light</v>
      </c>
      <c r="P351" t="str">
        <f>_xlfn.XLOOKUP(worksheet[[#This Row],[Customer ID]],customers!$A$1:$A$1001,customers!$I$1:$I$1001,0)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
        <v>2467</v>
      </c>
      <c r="H352" s="2" t="str">
        <f>_xlfn.XLOOKUP(C352,customers!$A$1:$A$1001,customers!$G$1:$G$1001,0)</f>
        <v>United States</v>
      </c>
      <c r="I352" t="str">
        <f>_xlfn.XLOOKUP(D352,products!$A$1:$A$49,products!$B$1:$B$49,0)</f>
        <v>Ara</v>
      </c>
      <c r="J352" t="str">
        <f>_xlfn.XLOOKUP(worksheet!D352,products!$A$1:$A$49,products!$C$1:$C$49,0)</f>
        <v>D</v>
      </c>
      <c r="K352" s="5">
        <f>_xlfn.XLOOKUP(worksheet!D352,products!$A$1:$A$49,products!$D$1:$D$49,0)</f>
        <v>0.5</v>
      </c>
      <c r="L352" s="6">
        <f>_xlfn.XLOOKUP(worksheet!D352,products!$A$1:$A$49,products!$E$1:$E$49,0)</f>
        <v>5.97</v>
      </c>
      <c r="M352" s="6">
        <f>worksheet!E352*worksheet!L352</f>
        <v>23.88</v>
      </c>
      <c r="N352" t="str">
        <f t="shared" si="10"/>
        <v>Arabica</v>
      </c>
      <c r="O352" t="str">
        <f t="shared" si="11"/>
        <v>Dark</v>
      </c>
      <c r="P352" t="str">
        <f>_xlfn.XLOOKUP(worksheet[[#This Row],[Customer ID]],customers!$A$1:$A$1001,customers!$I$1:$I$1001,0)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
        <v>2473</v>
      </c>
      <c r="H353" s="2" t="str">
        <f>_xlfn.XLOOKUP(C353,customers!$A$1:$A$1001,customers!$G$1:$G$1001,0)</f>
        <v>United States</v>
      </c>
      <c r="I353" t="str">
        <f>_xlfn.XLOOKUP(D353,products!$A$1:$A$49,products!$B$1:$B$49,0)</f>
        <v>Ara</v>
      </c>
      <c r="J353" t="str">
        <f>_xlfn.XLOOKUP(worksheet!D353,products!$A$1:$A$49,products!$C$1:$C$49,0)</f>
        <v>M</v>
      </c>
      <c r="K353" s="5">
        <f>_xlfn.XLOOKUP(worksheet!D353,products!$A$1:$A$49,products!$D$1:$D$49,0)</f>
        <v>1</v>
      </c>
      <c r="L353" s="6">
        <f>_xlfn.XLOOKUP(worksheet!D353,products!$A$1:$A$49,products!$E$1:$E$49,0)</f>
        <v>11.25</v>
      </c>
      <c r="M353" s="6">
        <f>worksheet!E353*worksheet!L353</f>
        <v>22.5</v>
      </c>
      <c r="N353" t="str">
        <f t="shared" si="10"/>
        <v>Arabica</v>
      </c>
      <c r="O353" t="str">
        <f t="shared" si="11"/>
        <v>Medium</v>
      </c>
      <c r="P353" t="str">
        <f>_xlfn.XLOOKUP(worksheet[[#This Row],[Customer ID]],customers!$A$1:$A$1001,customers!$I$1:$I$1001,0)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
        <v>6222</v>
      </c>
      <c r="H354" s="2" t="str">
        <f>_xlfn.XLOOKUP(C354,customers!$A$1:$A$1001,customers!$G$1:$G$1001,0)</f>
        <v>United States</v>
      </c>
      <c r="I354" t="str">
        <f>_xlfn.XLOOKUP(D354,products!$A$1:$A$49,products!$B$1:$B$49,0)</f>
        <v>Exc</v>
      </c>
      <c r="J354" t="str">
        <f>_xlfn.XLOOKUP(worksheet!D354,products!$A$1:$A$49,products!$C$1:$C$49,0)</f>
        <v>D</v>
      </c>
      <c r="K354" s="5">
        <f>_xlfn.XLOOKUP(worksheet!D354,products!$A$1:$A$49,products!$D$1:$D$49,0)</f>
        <v>0.5</v>
      </c>
      <c r="L354" s="6">
        <f>_xlfn.XLOOKUP(worksheet!D354,products!$A$1:$A$49,products!$E$1:$E$49,0)</f>
        <v>7.29</v>
      </c>
      <c r="M354" s="6">
        <f>worksheet!E354*worksheet!L354</f>
        <v>36.450000000000003</v>
      </c>
      <c r="N354" t="str">
        <f t="shared" si="10"/>
        <v>Excelsa</v>
      </c>
      <c r="O354" t="str">
        <f t="shared" si="11"/>
        <v>Dark</v>
      </c>
      <c r="P354" t="str">
        <f>_xlfn.XLOOKUP(worksheet[[#This Row],[Customer ID]],customers!$A$1:$A$1001,customers!$I$1:$I$1001,0)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
        <v>6222</v>
      </c>
      <c r="H355" s="2" t="str">
        <f>_xlfn.XLOOKUP(C355,customers!$A$1:$A$1001,customers!$G$1:$G$1001,0)</f>
        <v>United States</v>
      </c>
      <c r="I355" t="str">
        <f>_xlfn.XLOOKUP(D355,products!$A$1:$A$49,products!$B$1:$B$49,0)</f>
        <v>Ara</v>
      </c>
      <c r="J355" t="str">
        <f>_xlfn.XLOOKUP(worksheet!D355,products!$A$1:$A$49,products!$C$1:$C$49,0)</f>
        <v>M</v>
      </c>
      <c r="K355" s="5">
        <f>_xlfn.XLOOKUP(worksheet!D355,products!$A$1:$A$49,products!$D$1:$D$49,0)</f>
        <v>0.5</v>
      </c>
      <c r="L355" s="6">
        <f>_xlfn.XLOOKUP(worksheet!D355,products!$A$1:$A$49,products!$E$1:$E$49,0)</f>
        <v>6.75</v>
      </c>
      <c r="M355" s="6">
        <f>worksheet!E355*worksheet!L355</f>
        <v>27</v>
      </c>
      <c r="N355" t="str">
        <f t="shared" si="10"/>
        <v>Arabica</v>
      </c>
      <c r="O355" t="str">
        <f t="shared" si="11"/>
        <v>Medium</v>
      </c>
      <c r="P355" t="str">
        <f>_xlfn.XLOOKUP(worksheet[[#This Row],[Customer ID]],customers!$A$1:$A$1001,customers!$I$1:$I$1001,0)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
        <v>2490</v>
      </c>
      <c r="H356" s="2" t="str">
        <f>_xlfn.XLOOKUP(C356,customers!$A$1:$A$1001,customers!$G$1:$G$1001,0)</f>
        <v>United States</v>
      </c>
      <c r="I356" t="str">
        <f>_xlfn.XLOOKUP(D356,products!$A$1:$A$49,products!$B$1:$B$49,0)</f>
        <v>Ara</v>
      </c>
      <c r="J356" t="str">
        <f>_xlfn.XLOOKUP(worksheet!D356,products!$A$1:$A$49,products!$C$1:$C$49,0)</f>
        <v>M</v>
      </c>
      <c r="K356" s="5">
        <f>_xlfn.XLOOKUP(worksheet!D356,products!$A$1:$A$49,products!$D$1:$D$49,0)</f>
        <v>2.5</v>
      </c>
      <c r="L356" s="6">
        <f>_xlfn.XLOOKUP(worksheet!D356,products!$A$1:$A$49,products!$E$1:$E$49,0)</f>
        <v>25.874999999999996</v>
      </c>
      <c r="M356" s="6">
        <f>worksheet!E356*worksheet!L356</f>
        <v>155.24999999999997</v>
      </c>
      <c r="N356" t="str">
        <f t="shared" si="10"/>
        <v>Arabica</v>
      </c>
      <c r="O356" t="str">
        <f t="shared" si="11"/>
        <v>Medium</v>
      </c>
      <c r="P356" t="str">
        <f>_xlfn.XLOOKUP(worksheet[[#This Row],[Customer ID]],customers!$A$1:$A$1001,customers!$I$1:$I$1001,0)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
        <v>2495</v>
      </c>
      <c r="H357" s="2" t="str">
        <f>_xlfn.XLOOKUP(C357,customers!$A$1:$A$1001,customers!$G$1:$G$1001,0)</f>
        <v>United States</v>
      </c>
      <c r="I357" t="str">
        <f>_xlfn.XLOOKUP(D357,products!$A$1:$A$49,products!$B$1:$B$49,0)</f>
        <v>Ara</v>
      </c>
      <c r="J357" t="str">
        <f>_xlfn.XLOOKUP(worksheet!D357,products!$A$1:$A$49,products!$C$1:$C$49,0)</f>
        <v>D</v>
      </c>
      <c r="K357" s="5">
        <f>_xlfn.XLOOKUP(worksheet!D357,products!$A$1:$A$49,products!$D$1:$D$49,0)</f>
        <v>2.5</v>
      </c>
      <c r="L357" s="6">
        <f>_xlfn.XLOOKUP(worksheet!D357,products!$A$1:$A$49,products!$E$1:$E$49,0)</f>
        <v>22.884999999999998</v>
      </c>
      <c r="M357" s="6">
        <f>worksheet!E357*worksheet!L357</f>
        <v>114.42499999999998</v>
      </c>
      <c r="N357" t="str">
        <f t="shared" si="10"/>
        <v>Arabica</v>
      </c>
      <c r="O357" t="str">
        <f t="shared" si="11"/>
        <v>Dark</v>
      </c>
      <c r="P357" t="str">
        <f>_xlfn.XLOOKUP(worksheet[[#This Row],[Customer ID]],customers!$A$1:$A$1001,customers!$I$1:$I$1001,0)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
        <v>2501</v>
      </c>
      <c r="H358" s="2" t="str">
        <f>_xlfn.XLOOKUP(C358,customers!$A$1:$A$1001,customers!$G$1:$G$1001,0)</f>
        <v>United States</v>
      </c>
      <c r="I358" t="str">
        <f>_xlfn.XLOOKUP(D358,products!$A$1:$A$49,products!$B$1:$B$49,0)</f>
        <v>Lib</v>
      </c>
      <c r="J358" t="str">
        <f>_xlfn.XLOOKUP(worksheet!D358,products!$A$1:$A$49,products!$C$1:$C$49,0)</f>
        <v>D</v>
      </c>
      <c r="K358" s="5">
        <f>_xlfn.XLOOKUP(worksheet!D358,products!$A$1:$A$49,products!$D$1:$D$49,0)</f>
        <v>1</v>
      </c>
      <c r="L358" s="6">
        <f>_xlfn.XLOOKUP(worksheet!D358,products!$A$1:$A$49,products!$E$1:$E$49,0)</f>
        <v>12.95</v>
      </c>
      <c r="M358" s="6">
        <f>worksheet!E358*worksheet!L358</f>
        <v>51.8</v>
      </c>
      <c r="N358" t="str">
        <f t="shared" si="10"/>
        <v>Liberica</v>
      </c>
      <c r="O358" t="str">
        <f t="shared" si="11"/>
        <v>Dark</v>
      </c>
      <c r="P358" t="str">
        <f>_xlfn.XLOOKUP(worksheet[[#This Row],[Customer ID]],customers!$A$1:$A$1001,customers!$I$1:$I$1001,0)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
        <v>6222</v>
      </c>
      <c r="H359" s="2" t="str">
        <f>_xlfn.XLOOKUP(C359,customers!$A$1:$A$1001,customers!$G$1:$G$1001,0)</f>
        <v>United States</v>
      </c>
      <c r="I359" t="str">
        <f>_xlfn.XLOOKUP(D359,products!$A$1:$A$49,products!$B$1:$B$49,0)</f>
        <v>Ara</v>
      </c>
      <c r="J359" t="str">
        <f>_xlfn.XLOOKUP(worksheet!D359,products!$A$1:$A$49,products!$C$1:$C$49,0)</f>
        <v>M</v>
      </c>
      <c r="K359" s="5">
        <f>_xlfn.XLOOKUP(worksheet!D359,products!$A$1:$A$49,products!$D$1:$D$49,0)</f>
        <v>2.5</v>
      </c>
      <c r="L359" s="6">
        <f>_xlfn.XLOOKUP(worksheet!D359,products!$A$1:$A$49,products!$E$1:$E$49,0)</f>
        <v>25.874999999999996</v>
      </c>
      <c r="M359" s="6">
        <f>worksheet!E359*worksheet!L359</f>
        <v>155.24999999999997</v>
      </c>
      <c r="N359" t="str">
        <f t="shared" si="10"/>
        <v>Arabica</v>
      </c>
      <c r="O359" t="str">
        <f t="shared" si="11"/>
        <v>Medium</v>
      </c>
      <c r="P359" t="str">
        <f>_xlfn.XLOOKUP(worksheet[[#This Row],[Customer ID]],customers!$A$1:$A$1001,customers!$I$1:$I$1001,0)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
        <v>2512</v>
      </c>
      <c r="H360" s="2" t="str">
        <f>_xlfn.XLOOKUP(C360,customers!$A$1:$A$1001,customers!$G$1:$G$1001,0)</f>
        <v>United States</v>
      </c>
      <c r="I360" t="str">
        <f>_xlfn.XLOOKUP(D360,products!$A$1:$A$49,products!$B$1:$B$49,0)</f>
        <v>Ara</v>
      </c>
      <c r="J360" t="str">
        <f>_xlfn.XLOOKUP(worksheet!D360,products!$A$1:$A$49,products!$C$1:$C$49,0)</f>
        <v>L</v>
      </c>
      <c r="K360" s="5">
        <f>_xlfn.XLOOKUP(worksheet!D360,products!$A$1:$A$49,products!$D$1:$D$49,0)</f>
        <v>2.5</v>
      </c>
      <c r="L360" s="6">
        <f>_xlfn.XLOOKUP(worksheet!D360,products!$A$1:$A$49,products!$E$1:$E$49,0)</f>
        <v>29.784999999999997</v>
      </c>
      <c r="M360" s="6">
        <f>worksheet!E360*worksheet!L360</f>
        <v>29.784999999999997</v>
      </c>
      <c r="N360" t="str">
        <f t="shared" si="10"/>
        <v>Arabica</v>
      </c>
      <c r="O360" t="str">
        <f t="shared" si="11"/>
        <v>Light</v>
      </c>
      <c r="P360" t="str">
        <f>_xlfn.XLOOKUP(worksheet[[#This Row],[Customer ID]],customers!$A$1:$A$1001,customers!$I$1:$I$1001,0)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
        <v>2518</v>
      </c>
      <c r="H361" s="2" t="str">
        <f>_xlfn.XLOOKUP(C361,customers!$A$1:$A$1001,customers!$G$1:$G$1001,0)</f>
        <v>United Kingdom</v>
      </c>
      <c r="I361" t="str">
        <f>_xlfn.XLOOKUP(D361,products!$A$1:$A$49,products!$B$1:$B$49,0)</f>
        <v>Rob</v>
      </c>
      <c r="J361" t="str">
        <f>_xlfn.XLOOKUP(worksheet!D361,products!$A$1:$A$49,products!$C$1:$C$49,0)</f>
        <v>L</v>
      </c>
      <c r="K361" s="5">
        <f>_xlfn.XLOOKUP(worksheet!D361,products!$A$1:$A$49,products!$D$1:$D$49,0)</f>
        <v>0.2</v>
      </c>
      <c r="L361" s="6">
        <f>_xlfn.XLOOKUP(worksheet!D361,products!$A$1:$A$49,products!$E$1:$E$49,0)</f>
        <v>3.5849999999999995</v>
      </c>
      <c r="M361" s="6">
        <f>worksheet!E361*worksheet!L361</f>
        <v>21.509999999999998</v>
      </c>
      <c r="N361" t="str">
        <f t="shared" si="10"/>
        <v>Robusta</v>
      </c>
      <c r="O361" t="str">
        <f t="shared" si="11"/>
        <v>Light</v>
      </c>
      <c r="P361" t="str">
        <f>_xlfn.XLOOKUP(worksheet[[#This Row],[Customer ID]],customers!$A$1:$A$1001,customers!$I$1:$I$1001,0)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
        <v>2524</v>
      </c>
      <c r="H362" s="2" t="str">
        <f>_xlfn.XLOOKUP(C362,customers!$A$1:$A$1001,customers!$G$1:$G$1001,0)</f>
        <v>United States</v>
      </c>
      <c r="I362" t="str">
        <f>_xlfn.XLOOKUP(D362,products!$A$1:$A$49,products!$B$1:$B$49,0)</f>
        <v>Rob</v>
      </c>
      <c r="J362" t="str">
        <f>_xlfn.XLOOKUP(worksheet!D362,products!$A$1:$A$49,products!$C$1:$C$49,0)</f>
        <v>D</v>
      </c>
      <c r="K362" s="5">
        <f>_xlfn.XLOOKUP(worksheet!D362,products!$A$1:$A$49,products!$D$1:$D$49,0)</f>
        <v>2.5</v>
      </c>
      <c r="L362" s="6">
        <f>_xlfn.XLOOKUP(worksheet!D362,products!$A$1:$A$49,products!$E$1:$E$49,0)</f>
        <v>20.584999999999997</v>
      </c>
      <c r="M362" s="6">
        <f>worksheet!E362*worksheet!L362</f>
        <v>41.169999999999995</v>
      </c>
      <c r="N362" t="str">
        <f t="shared" si="10"/>
        <v>Robusta</v>
      </c>
      <c r="O362" t="str">
        <f t="shared" si="11"/>
        <v>Dark</v>
      </c>
      <c r="P362" t="str">
        <f>_xlfn.XLOOKUP(worksheet[[#This Row],[Customer ID]],customers!$A$1:$A$1001,customers!$I$1:$I$1001,0)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
        <v>2524</v>
      </c>
      <c r="H363" s="2" t="str">
        <f>_xlfn.XLOOKUP(C363,customers!$A$1:$A$1001,customers!$G$1:$G$1001,0)</f>
        <v>United States</v>
      </c>
      <c r="I363" t="str">
        <f>_xlfn.XLOOKUP(D363,products!$A$1:$A$49,products!$B$1:$B$49,0)</f>
        <v>Rob</v>
      </c>
      <c r="J363" t="str">
        <f>_xlfn.XLOOKUP(worksheet!D363,products!$A$1:$A$49,products!$C$1:$C$49,0)</f>
        <v>M</v>
      </c>
      <c r="K363" s="5">
        <f>_xlfn.XLOOKUP(worksheet!D363,products!$A$1:$A$49,products!$D$1:$D$49,0)</f>
        <v>0.5</v>
      </c>
      <c r="L363" s="6">
        <f>_xlfn.XLOOKUP(worksheet!D363,products!$A$1:$A$49,products!$E$1:$E$49,0)</f>
        <v>5.97</v>
      </c>
      <c r="M363" s="6">
        <f>worksheet!E363*worksheet!L363</f>
        <v>5.97</v>
      </c>
      <c r="N363" t="str">
        <f t="shared" si="10"/>
        <v>Robusta</v>
      </c>
      <c r="O363" t="str">
        <f t="shared" si="11"/>
        <v>Medium</v>
      </c>
      <c r="P363" t="str">
        <f>_xlfn.XLOOKUP(worksheet[[#This Row],[Customer ID]],customers!$A$1:$A$1001,customers!$I$1:$I$1001,0)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
        <v>2535</v>
      </c>
      <c r="H364" s="2" t="str">
        <f>_xlfn.XLOOKUP(C364,customers!$A$1:$A$1001,customers!$G$1:$G$1001,0)</f>
        <v>United States</v>
      </c>
      <c r="I364" t="str">
        <f>_xlfn.XLOOKUP(D364,products!$A$1:$A$49,products!$B$1:$B$49,0)</f>
        <v>Exc</v>
      </c>
      <c r="J364" t="str">
        <f>_xlfn.XLOOKUP(worksheet!D364,products!$A$1:$A$49,products!$C$1:$C$49,0)</f>
        <v>L</v>
      </c>
      <c r="K364" s="5">
        <f>_xlfn.XLOOKUP(worksheet!D364,products!$A$1:$A$49,products!$D$1:$D$49,0)</f>
        <v>1</v>
      </c>
      <c r="L364" s="6">
        <f>_xlfn.XLOOKUP(worksheet!D364,products!$A$1:$A$49,products!$E$1:$E$49,0)</f>
        <v>14.85</v>
      </c>
      <c r="M364" s="6">
        <f>worksheet!E364*worksheet!L364</f>
        <v>74.25</v>
      </c>
      <c r="N364" t="str">
        <f t="shared" si="10"/>
        <v>Excelsa</v>
      </c>
      <c r="O364" t="str">
        <f t="shared" si="11"/>
        <v>Light</v>
      </c>
      <c r="P364" t="str">
        <f>_xlfn.XLOOKUP(worksheet[[#This Row],[Customer ID]],customers!$A$1:$A$1001,customers!$I$1:$I$1001,0)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
        <v>2541</v>
      </c>
      <c r="H365" s="2" t="str">
        <f>_xlfn.XLOOKUP(C365,customers!$A$1:$A$1001,customers!$G$1:$G$1001,0)</f>
        <v>United States</v>
      </c>
      <c r="I365" t="str">
        <f>_xlfn.XLOOKUP(D365,products!$A$1:$A$49,products!$B$1:$B$49,0)</f>
        <v>Lib</v>
      </c>
      <c r="J365" t="str">
        <f>_xlfn.XLOOKUP(worksheet!D365,products!$A$1:$A$49,products!$C$1:$C$49,0)</f>
        <v>M</v>
      </c>
      <c r="K365" s="5">
        <f>_xlfn.XLOOKUP(worksheet!D365,products!$A$1:$A$49,products!$D$1:$D$49,0)</f>
        <v>1</v>
      </c>
      <c r="L365" s="6">
        <f>_xlfn.XLOOKUP(worksheet!D365,products!$A$1:$A$49,products!$E$1:$E$49,0)</f>
        <v>14.55</v>
      </c>
      <c r="M365" s="6">
        <f>worksheet!E365*worksheet!L365</f>
        <v>87.300000000000011</v>
      </c>
      <c r="N365" t="str">
        <f t="shared" si="10"/>
        <v>Liberica</v>
      </c>
      <c r="O365" t="str">
        <f t="shared" si="11"/>
        <v>Medium</v>
      </c>
      <c r="P365" t="str">
        <f>_xlfn.XLOOKUP(worksheet[[#This Row],[Customer ID]],customers!$A$1:$A$1001,customers!$I$1:$I$1001,0)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
        <v>2546</v>
      </c>
      <c r="H366" s="2" t="str">
        <f>_xlfn.XLOOKUP(C366,customers!$A$1:$A$1001,customers!$G$1:$G$1001,0)</f>
        <v>United States</v>
      </c>
      <c r="I366" t="str">
        <f>_xlfn.XLOOKUP(D366,products!$A$1:$A$49,products!$B$1:$B$49,0)</f>
        <v>Exc</v>
      </c>
      <c r="J366" t="str">
        <f>_xlfn.XLOOKUP(worksheet!D366,products!$A$1:$A$49,products!$C$1:$C$49,0)</f>
        <v>D</v>
      </c>
      <c r="K366" s="5">
        <f>_xlfn.XLOOKUP(worksheet!D366,products!$A$1:$A$49,products!$D$1:$D$49,0)</f>
        <v>1</v>
      </c>
      <c r="L366" s="6">
        <f>_xlfn.XLOOKUP(worksheet!D366,products!$A$1:$A$49,products!$E$1:$E$49,0)</f>
        <v>12.15</v>
      </c>
      <c r="M366" s="6">
        <f>worksheet!E366*worksheet!L366</f>
        <v>72.900000000000006</v>
      </c>
      <c r="N366" t="str">
        <f t="shared" si="10"/>
        <v>Excelsa</v>
      </c>
      <c r="O366" t="str">
        <f t="shared" si="11"/>
        <v>Dark</v>
      </c>
      <c r="P366" t="str">
        <f>_xlfn.XLOOKUP(worksheet[[#This Row],[Customer ID]],customers!$A$1:$A$1001,customers!$I$1:$I$1001,0)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
        <v>2552</v>
      </c>
      <c r="H367" s="2" t="str">
        <f>_xlfn.XLOOKUP(C367,customers!$A$1:$A$1001,customers!$G$1:$G$1001,0)</f>
        <v>United States</v>
      </c>
      <c r="I367" t="str">
        <f>_xlfn.XLOOKUP(D367,products!$A$1:$A$49,products!$B$1:$B$49,0)</f>
        <v>Lib</v>
      </c>
      <c r="J367" t="str">
        <f>_xlfn.XLOOKUP(worksheet!D367,products!$A$1:$A$49,products!$C$1:$C$49,0)</f>
        <v>D</v>
      </c>
      <c r="K367" s="5">
        <f>_xlfn.XLOOKUP(worksheet!D367,products!$A$1:$A$49,products!$D$1:$D$49,0)</f>
        <v>0.5</v>
      </c>
      <c r="L367" s="6">
        <f>_xlfn.XLOOKUP(worksheet!D367,products!$A$1:$A$49,products!$E$1:$E$49,0)</f>
        <v>7.77</v>
      </c>
      <c r="M367" s="6">
        <f>worksheet!E367*worksheet!L367</f>
        <v>7.77</v>
      </c>
      <c r="N367" t="str">
        <f t="shared" si="10"/>
        <v>Liberica</v>
      </c>
      <c r="O367" t="str">
        <f t="shared" si="11"/>
        <v>Dark</v>
      </c>
      <c r="P367" t="str">
        <f>_xlfn.XLOOKUP(worksheet[[#This Row],[Customer ID]],customers!$A$1:$A$1001,customers!$I$1:$I$1001,0)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
        <v>6222</v>
      </c>
      <c r="H368" s="2" t="str">
        <f>_xlfn.XLOOKUP(C368,customers!$A$1:$A$1001,customers!$G$1:$G$1001,0)</f>
        <v>United States</v>
      </c>
      <c r="I368" t="str">
        <f>_xlfn.XLOOKUP(D368,products!$A$1:$A$49,products!$B$1:$B$49,0)</f>
        <v>Exc</v>
      </c>
      <c r="J368" t="str">
        <f>_xlfn.XLOOKUP(worksheet!D368,products!$A$1:$A$49,products!$C$1:$C$49,0)</f>
        <v>D</v>
      </c>
      <c r="K368" s="5">
        <f>_xlfn.XLOOKUP(worksheet!D368,products!$A$1:$A$49,products!$D$1:$D$49,0)</f>
        <v>0.5</v>
      </c>
      <c r="L368" s="6">
        <f>_xlfn.XLOOKUP(worksheet!D368,products!$A$1:$A$49,products!$E$1:$E$49,0)</f>
        <v>7.29</v>
      </c>
      <c r="M368" s="6">
        <f>worksheet!E368*worksheet!L368</f>
        <v>43.74</v>
      </c>
      <c r="N368" t="str">
        <f t="shared" si="10"/>
        <v>Excelsa</v>
      </c>
      <c r="O368" t="str">
        <f t="shared" si="11"/>
        <v>Dark</v>
      </c>
      <c r="P368" t="str">
        <f>_xlfn.XLOOKUP(worksheet[[#This Row],[Customer ID]],customers!$A$1:$A$1001,customers!$I$1:$I$1001,0)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
        <v>6222</v>
      </c>
      <c r="H369" s="2" t="str">
        <f>_xlfn.XLOOKUP(C369,customers!$A$1:$A$1001,customers!$G$1:$G$1001,0)</f>
        <v>United States</v>
      </c>
      <c r="I369" t="str">
        <f>_xlfn.XLOOKUP(D369,products!$A$1:$A$49,products!$B$1:$B$49,0)</f>
        <v>Lib</v>
      </c>
      <c r="J369" t="str">
        <f>_xlfn.XLOOKUP(worksheet!D369,products!$A$1:$A$49,products!$C$1:$C$49,0)</f>
        <v>M</v>
      </c>
      <c r="K369" s="5">
        <f>_xlfn.XLOOKUP(worksheet!D369,products!$A$1:$A$49,products!$D$1:$D$49,0)</f>
        <v>0.2</v>
      </c>
      <c r="L369" s="6">
        <f>_xlfn.XLOOKUP(worksheet!D369,products!$A$1:$A$49,products!$E$1:$E$49,0)</f>
        <v>4.3650000000000002</v>
      </c>
      <c r="M369" s="6">
        <f>worksheet!E369*worksheet!L369</f>
        <v>8.73</v>
      </c>
      <c r="N369" t="str">
        <f t="shared" si="10"/>
        <v>Liberica</v>
      </c>
      <c r="O369" t="str">
        <f t="shared" si="11"/>
        <v>Medium</v>
      </c>
      <c r="P369" t="str">
        <f>_xlfn.XLOOKUP(worksheet[[#This Row],[Customer ID]],customers!$A$1:$A$1001,customers!$I$1:$I$1001,0)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
        <v>2566</v>
      </c>
      <c r="H370" s="2" t="str">
        <f>_xlfn.XLOOKUP(C370,customers!$A$1:$A$1001,customers!$G$1:$G$1001,0)</f>
        <v>United States</v>
      </c>
      <c r="I370" t="str">
        <f>_xlfn.XLOOKUP(D370,products!$A$1:$A$49,products!$B$1:$B$49,0)</f>
        <v>Exc</v>
      </c>
      <c r="J370" t="str">
        <f>_xlfn.XLOOKUP(worksheet!D370,products!$A$1:$A$49,products!$C$1:$C$49,0)</f>
        <v>M</v>
      </c>
      <c r="K370" s="5">
        <f>_xlfn.XLOOKUP(worksheet!D370,products!$A$1:$A$49,products!$D$1:$D$49,0)</f>
        <v>2.5</v>
      </c>
      <c r="L370" s="6">
        <f>_xlfn.XLOOKUP(worksheet!D370,products!$A$1:$A$49,products!$E$1:$E$49,0)</f>
        <v>31.624999999999996</v>
      </c>
      <c r="M370" s="6">
        <f>worksheet!E370*worksheet!L370</f>
        <v>63.249999999999993</v>
      </c>
      <c r="N370" t="str">
        <f t="shared" si="10"/>
        <v>Excelsa</v>
      </c>
      <c r="O370" t="str">
        <f t="shared" si="11"/>
        <v>Medium</v>
      </c>
      <c r="P370" t="str">
        <f>_xlfn.XLOOKUP(worksheet[[#This Row],[Customer ID]],customers!$A$1:$A$1001,customers!$I$1:$I$1001,0)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
        <v>6222</v>
      </c>
      <c r="H371" s="2" t="str">
        <f>_xlfn.XLOOKUP(C371,customers!$A$1:$A$1001,customers!$G$1:$G$1001,0)</f>
        <v>United States</v>
      </c>
      <c r="I371" t="str">
        <f>_xlfn.XLOOKUP(D371,products!$A$1:$A$49,products!$B$1:$B$49,0)</f>
        <v>Exc</v>
      </c>
      <c r="J371" t="str">
        <f>_xlfn.XLOOKUP(worksheet!D371,products!$A$1:$A$49,products!$C$1:$C$49,0)</f>
        <v>L</v>
      </c>
      <c r="K371" s="5">
        <f>_xlfn.XLOOKUP(worksheet!D371,products!$A$1:$A$49,products!$D$1:$D$49,0)</f>
        <v>0.5</v>
      </c>
      <c r="L371" s="6">
        <f>_xlfn.XLOOKUP(worksheet!D371,products!$A$1:$A$49,products!$E$1:$E$49,0)</f>
        <v>8.91</v>
      </c>
      <c r="M371" s="6">
        <f>worksheet!E371*worksheet!L371</f>
        <v>8.91</v>
      </c>
      <c r="N371" t="str">
        <f t="shared" si="10"/>
        <v>Excelsa</v>
      </c>
      <c r="O371" t="str">
        <f t="shared" si="11"/>
        <v>Light</v>
      </c>
      <c r="P371" t="str">
        <f>_xlfn.XLOOKUP(worksheet[[#This Row],[Customer ID]],customers!$A$1:$A$1001,customers!$I$1:$I$1001,0)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
        <v>2576</v>
      </c>
      <c r="H372" s="2" t="str">
        <f>_xlfn.XLOOKUP(C372,customers!$A$1:$A$1001,customers!$G$1:$G$1001,0)</f>
        <v>United States</v>
      </c>
      <c r="I372" t="str">
        <f>_xlfn.XLOOKUP(D372,products!$A$1:$A$49,products!$B$1:$B$49,0)</f>
        <v>Exc</v>
      </c>
      <c r="J372" t="str">
        <f>_xlfn.XLOOKUP(worksheet!D372,products!$A$1:$A$49,products!$C$1:$C$49,0)</f>
        <v>D</v>
      </c>
      <c r="K372" s="5">
        <f>_xlfn.XLOOKUP(worksheet!D372,products!$A$1:$A$49,products!$D$1:$D$49,0)</f>
        <v>1</v>
      </c>
      <c r="L372" s="6">
        <f>_xlfn.XLOOKUP(worksheet!D372,products!$A$1:$A$49,products!$E$1:$E$49,0)</f>
        <v>12.15</v>
      </c>
      <c r="M372" s="6">
        <f>worksheet!E372*worksheet!L372</f>
        <v>24.3</v>
      </c>
      <c r="N372" t="str">
        <f t="shared" si="10"/>
        <v>Excelsa</v>
      </c>
      <c r="O372" t="str">
        <f t="shared" si="11"/>
        <v>Dark</v>
      </c>
      <c r="P372" t="str">
        <f>_xlfn.XLOOKUP(worksheet[[#This Row],[Customer ID]],customers!$A$1:$A$1001,customers!$I$1:$I$1001,0)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
        <v>2582</v>
      </c>
      <c r="H373" s="2" t="str">
        <f>_xlfn.XLOOKUP(C373,customers!$A$1:$A$1001,customers!$G$1:$G$1001,0)</f>
        <v>United States</v>
      </c>
      <c r="I373" t="str">
        <f>_xlfn.XLOOKUP(D373,products!$A$1:$A$49,products!$B$1:$B$49,0)</f>
        <v>Ara</v>
      </c>
      <c r="J373" t="str">
        <f>_xlfn.XLOOKUP(worksheet!D373,products!$A$1:$A$49,products!$C$1:$C$49,0)</f>
        <v>L</v>
      </c>
      <c r="K373" s="5">
        <f>_xlfn.XLOOKUP(worksheet!D373,products!$A$1:$A$49,products!$D$1:$D$49,0)</f>
        <v>0.5</v>
      </c>
      <c r="L373" s="6">
        <f>_xlfn.XLOOKUP(worksheet!D373,products!$A$1:$A$49,products!$E$1:$E$49,0)</f>
        <v>7.77</v>
      </c>
      <c r="M373" s="6">
        <f>worksheet!E373*worksheet!L373</f>
        <v>46.62</v>
      </c>
      <c r="N373" t="str">
        <f t="shared" si="10"/>
        <v>Arabica</v>
      </c>
      <c r="O373" t="str">
        <f t="shared" si="11"/>
        <v>Light</v>
      </c>
      <c r="P373" t="str">
        <f>_xlfn.XLOOKUP(worksheet[[#This Row],[Customer ID]],customers!$A$1:$A$1001,customers!$I$1:$I$1001,0)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
        <v>2588</v>
      </c>
      <c r="H374" s="2" t="str">
        <f>_xlfn.XLOOKUP(C374,customers!$A$1:$A$1001,customers!$G$1:$G$1001,0)</f>
        <v>United States</v>
      </c>
      <c r="I374" t="str">
        <f>_xlfn.XLOOKUP(D374,products!$A$1:$A$49,products!$B$1:$B$49,0)</f>
        <v>Rob</v>
      </c>
      <c r="J374" t="str">
        <f>_xlfn.XLOOKUP(worksheet!D374,products!$A$1:$A$49,products!$C$1:$C$49,0)</f>
        <v>L</v>
      </c>
      <c r="K374" s="5">
        <f>_xlfn.XLOOKUP(worksheet!D374,products!$A$1:$A$49,products!$D$1:$D$49,0)</f>
        <v>0.5</v>
      </c>
      <c r="L374" s="6">
        <f>_xlfn.XLOOKUP(worksheet!D374,products!$A$1:$A$49,products!$E$1:$E$49,0)</f>
        <v>7.169999999999999</v>
      </c>
      <c r="M374" s="6">
        <f>worksheet!E374*worksheet!L374</f>
        <v>43.019999999999996</v>
      </c>
      <c r="N374" t="str">
        <f t="shared" si="10"/>
        <v>Robusta</v>
      </c>
      <c r="O374" t="str">
        <f t="shared" si="11"/>
        <v>Light</v>
      </c>
      <c r="P374" t="str">
        <f>_xlfn.XLOOKUP(worksheet[[#This Row],[Customer ID]],customers!$A$1:$A$1001,customers!$I$1:$I$1001,0)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
        <v>6222</v>
      </c>
      <c r="H375" s="2" t="str">
        <f>_xlfn.XLOOKUP(C375,customers!$A$1:$A$1001,customers!$G$1:$G$1001,0)</f>
        <v>Ireland</v>
      </c>
      <c r="I375" t="str">
        <f>_xlfn.XLOOKUP(D375,products!$A$1:$A$49,products!$B$1:$B$49,0)</f>
        <v>Ara</v>
      </c>
      <c r="J375" t="str">
        <f>_xlfn.XLOOKUP(worksheet!D375,products!$A$1:$A$49,products!$C$1:$C$49,0)</f>
        <v>D</v>
      </c>
      <c r="K375" s="5">
        <f>_xlfn.XLOOKUP(worksheet!D375,products!$A$1:$A$49,products!$D$1:$D$49,0)</f>
        <v>0.5</v>
      </c>
      <c r="L375" s="6">
        <f>_xlfn.XLOOKUP(worksheet!D375,products!$A$1:$A$49,products!$E$1:$E$49,0)</f>
        <v>5.97</v>
      </c>
      <c r="M375" s="6">
        <f>worksheet!E375*worksheet!L375</f>
        <v>17.91</v>
      </c>
      <c r="N375" t="str">
        <f t="shared" si="10"/>
        <v>Arabica</v>
      </c>
      <c r="O375" t="str">
        <f t="shared" si="11"/>
        <v>Dark</v>
      </c>
      <c r="P375" t="str">
        <f>_xlfn.XLOOKUP(worksheet[[#This Row],[Customer ID]],customers!$A$1:$A$1001,customers!$I$1:$I$1001,0)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
        <v>2600</v>
      </c>
      <c r="H376" s="2" t="str">
        <f>_xlfn.XLOOKUP(C376,customers!$A$1:$A$1001,customers!$G$1:$G$1001,0)</f>
        <v>United States</v>
      </c>
      <c r="I376" t="str">
        <f>_xlfn.XLOOKUP(D376,products!$A$1:$A$49,products!$B$1:$B$49,0)</f>
        <v>Lib</v>
      </c>
      <c r="J376" t="str">
        <f>_xlfn.XLOOKUP(worksheet!D376,products!$A$1:$A$49,products!$C$1:$C$49,0)</f>
        <v>L</v>
      </c>
      <c r="K376" s="5">
        <f>_xlfn.XLOOKUP(worksheet!D376,products!$A$1:$A$49,products!$D$1:$D$49,0)</f>
        <v>0.5</v>
      </c>
      <c r="L376" s="6">
        <f>_xlfn.XLOOKUP(worksheet!D376,products!$A$1:$A$49,products!$E$1:$E$49,0)</f>
        <v>9.51</v>
      </c>
      <c r="M376" s="6">
        <f>worksheet!E376*worksheet!L376</f>
        <v>38.04</v>
      </c>
      <c r="N376" t="str">
        <f t="shared" si="10"/>
        <v>Liberica</v>
      </c>
      <c r="O376" t="str">
        <f t="shared" si="11"/>
        <v>Light</v>
      </c>
      <c r="P376" t="str">
        <f>_xlfn.XLOOKUP(worksheet[[#This Row],[Customer ID]],customers!$A$1:$A$1001,customers!$I$1:$I$1001,0)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
        <v>2606</v>
      </c>
      <c r="H377" s="2" t="str">
        <f>_xlfn.XLOOKUP(C377,customers!$A$1:$A$1001,customers!$G$1:$G$1001,0)</f>
        <v>United States</v>
      </c>
      <c r="I377" t="str">
        <f>_xlfn.XLOOKUP(D377,products!$A$1:$A$49,products!$B$1:$B$49,0)</f>
        <v>Ara</v>
      </c>
      <c r="J377" t="str">
        <f>_xlfn.XLOOKUP(worksheet!D377,products!$A$1:$A$49,products!$C$1:$C$49,0)</f>
        <v>M</v>
      </c>
      <c r="K377" s="5">
        <f>_xlfn.XLOOKUP(worksheet!D377,products!$A$1:$A$49,products!$D$1:$D$49,0)</f>
        <v>0.2</v>
      </c>
      <c r="L377" s="6">
        <f>_xlfn.XLOOKUP(worksheet!D377,products!$A$1:$A$49,products!$E$1:$E$49,0)</f>
        <v>3.375</v>
      </c>
      <c r="M377" s="6">
        <f>worksheet!E377*worksheet!L377</f>
        <v>6.75</v>
      </c>
      <c r="N377" t="str">
        <f t="shared" si="10"/>
        <v>Arabica</v>
      </c>
      <c r="O377" t="str">
        <f t="shared" si="11"/>
        <v>Medium</v>
      </c>
      <c r="P377" t="str">
        <f>_xlfn.XLOOKUP(worksheet[[#This Row],[Customer ID]],customers!$A$1:$A$1001,customers!$I$1:$I$1001,0)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
        <v>2612</v>
      </c>
      <c r="H378" s="2" t="str">
        <f>_xlfn.XLOOKUP(C378,customers!$A$1:$A$1001,customers!$G$1:$G$1001,0)</f>
        <v>United States</v>
      </c>
      <c r="I378" t="str">
        <f>_xlfn.XLOOKUP(D378,products!$A$1:$A$49,products!$B$1:$B$49,0)</f>
        <v>Rob</v>
      </c>
      <c r="J378" t="str">
        <f>_xlfn.XLOOKUP(worksheet!D378,products!$A$1:$A$49,products!$C$1:$C$49,0)</f>
        <v>M</v>
      </c>
      <c r="K378" s="5">
        <f>_xlfn.XLOOKUP(worksheet!D378,products!$A$1:$A$49,products!$D$1:$D$49,0)</f>
        <v>0.5</v>
      </c>
      <c r="L378" s="6">
        <f>_xlfn.XLOOKUP(worksheet!D378,products!$A$1:$A$49,products!$E$1:$E$49,0)</f>
        <v>5.97</v>
      </c>
      <c r="M378" s="6">
        <f>worksheet!E378*worksheet!L378</f>
        <v>5.97</v>
      </c>
      <c r="N378" t="str">
        <f t="shared" si="10"/>
        <v>Robusta</v>
      </c>
      <c r="O378" t="str">
        <f t="shared" si="11"/>
        <v>Medium</v>
      </c>
      <c r="P378" t="str">
        <f>_xlfn.XLOOKUP(worksheet[[#This Row],[Customer ID]],customers!$A$1:$A$1001,customers!$I$1:$I$1001,0)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
        <v>2618</v>
      </c>
      <c r="H379" s="2" t="str">
        <f>_xlfn.XLOOKUP(C379,customers!$A$1:$A$1001,customers!$G$1:$G$1001,0)</f>
        <v>Ireland</v>
      </c>
      <c r="I379" t="str">
        <f>_xlfn.XLOOKUP(D379,products!$A$1:$A$49,products!$B$1:$B$49,0)</f>
        <v>Rob</v>
      </c>
      <c r="J379" t="str">
        <f>_xlfn.XLOOKUP(worksheet!D379,products!$A$1:$A$49,products!$C$1:$C$49,0)</f>
        <v>D</v>
      </c>
      <c r="K379" s="5">
        <f>_xlfn.XLOOKUP(worksheet!D379,products!$A$1:$A$49,products!$D$1:$D$49,0)</f>
        <v>0.2</v>
      </c>
      <c r="L379" s="6">
        <f>_xlfn.XLOOKUP(worksheet!D379,products!$A$1:$A$49,products!$E$1:$E$49,0)</f>
        <v>2.6849999999999996</v>
      </c>
      <c r="M379" s="6">
        <f>worksheet!E379*worksheet!L379</f>
        <v>8.0549999999999997</v>
      </c>
      <c r="N379" t="str">
        <f t="shared" si="10"/>
        <v>Robusta</v>
      </c>
      <c r="O379" t="str">
        <f t="shared" si="11"/>
        <v>Dark</v>
      </c>
      <c r="P379" t="str">
        <f>_xlfn.XLOOKUP(worksheet[[#This Row],[Customer ID]],customers!$A$1:$A$1001,customers!$I$1:$I$1001,0)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
        <v>2624</v>
      </c>
      <c r="H380" s="2" t="str">
        <f>_xlfn.XLOOKUP(C380,customers!$A$1:$A$1001,customers!$G$1:$G$1001,0)</f>
        <v>Ireland</v>
      </c>
      <c r="I380" t="str">
        <f>_xlfn.XLOOKUP(D380,products!$A$1:$A$49,products!$B$1:$B$49,0)</f>
        <v>Ara</v>
      </c>
      <c r="J380" t="str">
        <f>_xlfn.XLOOKUP(worksheet!D380,products!$A$1:$A$49,products!$C$1:$C$49,0)</f>
        <v>L</v>
      </c>
      <c r="K380" s="5">
        <f>_xlfn.XLOOKUP(worksheet!D380,products!$A$1:$A$49,products!$D$1:$D$49,0)</f>
        <v>0.5</v>
      </c>
      <c r="L380" s="6">
        <f>_xlfn.XLOOKUP(worksheet!D380,products!$A$1:$A$49,products!$E$1:$E$49,0)</f>
        <v>7.77</v>
      </c>
      <c r="M380" s="6">
        <f>worksheet!E380*worksheet!L380</f>
        <v>23.31</v>
      </c>
      <c r="N380" t="str">
        <f t="shared" si="10"/>
        <v>Arabica</v>
      </c>
      <c r="O380" t="str">
        <f t="shared" si="11"/>
        <v>Light</v>
      </c>
      <c r="P380" t="str">
        <f>_xlfn.XLOOKUP(worksheet[[#This Row],[Customer ID]],customers!$A$1:$A$1001,customers!$I$1:$I$1001,0)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
        <v>2630</v>
      </c>
      <c r="H381" s="2" t="str">
        <f>_xlfn.XLOOKUP(C381,customers!$A$1:$A$1001,customers!$G$1:$G$1001,0)</f>
        <v>United Kingdom</v>
      </c>
      <c r="I381" t="str">
        <f>_xlfn.XLOOKUP(D381,products!$A$1:$A$49,products!$B$1:$B$49,0)</f>
        <v>Rob</v>
      </c>
      <c r="J381" t="str">
        <f>_xlfn.XLOOKUP(worksheet!D381,products!$A$1:$A$49,products!$C$1:$C$49,0)</f>
        <v>L</v>
      </c>
      <c r="K381" s="5">
        <f>_xlfn.XLOOKUP(worksheet!D381,products!$A$1:$A$49,products!$D$1:$D$49,0)</f>
        <v>0.5</v>
      </c>
      <c r="L381" s="6">
        <f>_xlfn.XLOOKUP(worksheet!D381,products!$A$1:$A$49,products!$E$1:$E$49,0)</f>
        <v>7.169999999999999</v>
      </c>
      <c r="M381" s="6">
        <f>worksheet!E381*worksheet!L381</f>
        <v>43.019999999999996</v>
      </c>
      <c r="N381" t="str">
        <f t="shared" si="10"/>
        <v>Robusta</v>
      </c>
      <c r="O381" t="str">
        <f t="shared" si="11"/>
        <v>Light</v>
      </c>
      <c r="P381" t="str">
        <f>_xlfn.XLOOKUP(worksheet[[#This Row],[Customer ID]],customers!$A$1:$A$1001,customers!$I$1:$I$1001,0)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
        <v>6222</v>
      </c>
      <c r="H382" s="2" t="str">
        <f>_xlfn.XLOOKUP(C382,customers!$A$1:$A$1001,customers!$G$1:$G$1001,0)</f>
        <v>United States</v>
      </c>
      <c r="I382" t="str">
        <f>_xlfn.XLOOKUP(D382,products!$A$1:$A$49,products!$B$1:$B$49,0)</f>
        <v>Lib</v>
      </c>
      <c r="J382" t="str">
        <f>_xlfn.XLOOKUP(worksheet!D382,products!$A$1:$A$49,products!$C$1:$C$49,0)</f>
        <v>D</v>
      </c>
      <c r="K382" s="5">
        <f>_xlfn.XLOOKUP(worksheet!D382,products!$A$1:$A$49,products!$D$1:$D$49,0)</f>
        <v>0.5</v>
      </c>
      <c r="L382" s="6">
        <f>_xlfn.XLOOKUP(worksheet!D382,products!$A$1:$A$49,products!$E$1:$E$49,0)</f>
        <v>7.77</v>
      </c>
      <c r="M382" s="6">
        <f>worksheet!E382*worksheet!L382</f>
        <v>23.31</v>
      </c>
      <c r="N382" t="str">
        <f t="shared" si="10"/>
        <v>Liberica</v>
      </c>
      <c r="O382" t="str">
        <f t="shared" si="11"/>
        <v>Dark</v>
      </c>
      <c r="P382" t="str">
        <f>_xlfn.XLOOKUP(worksheet[[#This Row],[Customer ID]],customers!$A$1:$A$1001,customers!$I$1:$I$1001,0)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
        <v>2641</v>
      </c>
      <c r="H383" s="2" t="str">
        <f>_xlfn.XLOOKUP(C383,customers!$A$1:$A$1001,customers!$G$1:$G$1001,0)</f>
        <v>United States</v>
      </c>
      <c r="I383" t="str">
        <f>_xlfn.XLOOKUP(D383,products!$A$1:$A$49,products!$B$1:$B$49,0)</f>
        <v>Ara</v>
      </c>
      <c r="J383" t="str">
        <f>_xlfn.XLOOKUP(worksheet!D383,products!$A$1:$A$49,products!$C$1:$C$49,0)</f>
        <v>D</v>
      </c>
      <c r="K383" s="5">
        <f>_xlfn.XLOOKUP(worksheet!D383,products!$A$1:$A$49,products!$D$1:$D$49,0)</f>
        <v>0.2</v>
      </c>
      <c r="L383" s="6">
        <f>_xlfn.XLOOKUP(worksheet!D383,products!$A$1:$A$49,products!$E$1:$E$49,0)</f>
        <v>2.9849999999999999</v>
      </c>
      <c r="M383" s="6">
        <f>worksheet!E383*worksheet!L383</f>
        <v>14.924999999999999</v>
      </c>
      <c r="N383" t="str">
        <f t="shared" si="10"/>
        <v>Arabica</v>
      </c>
      <c r="O383" t="str">
        <f t="shared" si="11"/>
        <v>Dark</v>
      </c>
      <c r="P383" t="str">
        <f>_xlfn.XLOOKUP(worksheet[[#This Row],[Customer ID]],customers!$A$1:$A$1001,customers!$I$1:$I$1001,0)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
        <v>2647</v>
      </c>
      <c r="H384" s="2" t="str">
        <f>_xlfn.XLOOKUP(C384,customers!$A$1:$A$1001,customers!$G$1:$G$1001,0)</f>
        <v>United States</v>
      </c>
      <c r="I384" t="str">
        <f>_xlfn.XLOOKUP(D384,products!$A$1:$A$49,products!$B$1:$B$49,0)</f>
        <v>Exc</v>
      </c>
      <c r="J384" t="str">
        <f>_xlfn.XLOOKUP(worksheet!D384,products!$A$1:$A$49,products!$C$1:$C$49,0)</f>
        <v>D</v>
      </c>
      <c r="K384" s="5">
        <f>_xlfn.XLOOKUP(worksheet!D384,products!$A$1:$A$49,products!$D$1:$D$49,0)</f>
        <v>0.5</v>
      </c>
      <c r="L384" s="6">
        <f>_xlfn.XLOOKUP(worksheet!D384,products!$A$1:$A$49,products!$E$1:$E$49,0)</f>
        <v>7.29</v>
      </c>
      <c r="M384" s="6">
        <f>worksheet!E384*worksheet!L384</f>
        <v>21.87</v>
      </c>
      <c r="N384" t="str">
        <f t="shared" si="10"/>
        <v>Excelsa</v>
      </c>
      <c r="O384" t="str">
        <f t="shared" si="11"/>
        <v>Dark</v>
      </c>
      <c r="P384" t="str">
        <f>_xlfn.XLOOKUP(worksheet[[#This Row],[Customer ID]],customers!$A$1:$A$1001,customers!$I$1:$I$1001,0)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
        <v>6222</v>
      </c>
      <c r="H385" s="2" t="str">
        <f>_xlfn.XLOOKUP(C385,customers!$A$1:$A$1001,customers!$G$1:$G$1001,0)</f>
        <v>United States</v>
      </c>
      <c r="I385" t="str">
        <f>_xlfn.XLOOKUP(D385,products!$A$1:$A$49,products!$B$1:$B$49,0)</f>
        <v>Exc</v>
      </c>
      <c r="J385" t="str">
        <f>_xlfn.XLOOKUP(worksheet!D385,products!$A$1:$A$49,products!$C$1:$C$49,0)</f>
        <v>L</v>
      </c>
      <c r="K385" s="5">
        <f>_xlfn.XLOOKUP(worksheet!D385,products!$A$1:$A$49,products!$D$1:$D$49,0)</f>
        <v>0.5</v>
      </c>
      <c r="L385" s="6">
        <f>_xlfn.XLOOKUP(worksheet!D385,products!$A$1:$A$49,products!$E$1:$E$49,0)</f>
        <v>8.91</v>
      </c>
      <c r="M385" s="6">
        <f>worksheet!E385*worksheet!L385</f>
        <v>53.46</v>
      </c>
      <c r="N385" t="str">
        <f t="shared" si="10"/>
        <v>Excelsa</v>
      </c>
      <c r="O385" t="str">
        <f t="shared" si="11"/>
        <v>Light</v>
      </c>
      <c r="P385" t="str">
        <f>_xlfn.XLOOKUP(worksheet[[#This Row],[Customer ID]],customers!$A$1:$A$1001,customers!$I$1:$I$1001,0)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
        <v>6222</v>
      </c>
      <c r="H386" s="2" t="str">
        <f>_xlfn.XLOOKUP(C386,customers!$A$1:$A$1001,customers!$G$1:$G$1001,0)</f>
        <v>United States</v>
      </c>
      <c r="I386" t="str">
        <f>_xlfn.XLOOKUP(D386,products!$A$1:$A$49,products!$B$1:$B$49,0)</f>
        <v>Ara</v>
      </c>
      <c r="J386" t="str">
        <f>_xlfn.XLOOKUP(worksheet!D386,products!$A$1:$A$49,products!$C$1:$C$49,0)</f>
        <v>L</v>
      </c>
      <c r="K386" s="5">
        <f>_xlfn.XLOOKUP(worksheet!D386,products!$A$1:$A$49,products!$D$1:$D$49,0)</f>
        <v>2.5</v>
      </c>
      <c r="L386" s="6">
        <f>_xlfn.XLOOKUP(worksheet!D386,products!$A$1:$A$49,products!$E$1:$E$49,0)</f>
        <v>29.784999999999997</v>
      </c>
      <c r="M386" s="6">
        <f>worksheet!E386*worksheet!L386</f>
        <v>119.13999999999999</v>
      </c>
      <c r="N386" t="str">
        <f t="shared" si="10"/>
        <v>Arabica</v>
      </c>
      <c r="O386" t="str">
        <f t="shared" si="11"/>
        <v>Light</v>
      </c>
      <c r="P386" t="str">
        <f>_xlfn.XLOOKUP(worksheet[[#This Row],[Customer ID]],customers!$A$1:$A$1001,customers!$I$1:$I$1001,0)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
        <v>2663</v>
      </c>
      <c r="H387" s="2" t="str">
        <f>_xlfn.XLOOKUP(C387,customers!$A$1:$A$1001,customers!$G$1:$G$1001,0)</f>
        <v>United States</v>
      </c>
      <c r="I387" t="str">
        <f>_xlfn.XLOOKUP(D387,products!$A$1:$A$49,products!$B$1:$B$49,0)</f>
        <v>Lib</v>
      </c>
      <c r="J387" t="str">
        <f>_xlfn.XLOOKUP(worksheet!D387,products!$A$1:$A$49,products!$C$1:$C$49,0)</f>
        <v>M</v>
      </c>
      <c r="K387" s="5">
        <f>_xlfn.XLOOKUP(worksheet!D387,products!$A$1:$A$49,products!$D$1:$D$49,0)</f>
        <v>0.5</v>
      </c>
      <c r="L387" s="6">
        <f>_xlfn.XLOOKUP(worksheet!D387,products!$A$1:$A$49,products!$E$1:$E$49,0)</f>
        <v>8.73</v>
      </c>
      <c r="M387" s="6">
        <f>worksheet!E387*worksheet!L387</f>
        <v>43.650000000000006</v>
      </c>
      <c r="N387" t="str">
        <f t="shared" ref="N387:N450" si="12">IF(I387="Rob","Robusta",IF(I387="Exc","Excelsa",IF(I387="Ara","Arabica",IF(I387="Lib","Liberica",""))))</f>
        <v>Liberica</v>
      </c>
      <c r="O387" t="str">
        <f t="shared" ref="O387:O450" si="13">IF(J387="M","Medium",IF(J387="L","Light",IF(J387="D","Dark","")))</f>
        <v>Medium</v>
      </c>
      <c r="P387" t="str">
        <f>_xlfn.XLOOKUP(worksheet[[#This Row],[Customer ID]],customers!$A$1:$A$1001,customers!$I$1:$I$1001,0)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
        <v>6222</v>
      </c>
      <c r="H388" s="2" t="str">
        <f>_xlfn.XLOOKUP(C388,customers!$A$1:$A$1001,customers!$G$1:$G$1001,0)</f>
        <v>United States</v>
      </c>
      <c r="I388" t="str">
        <f>_xlfn.XLOOKUP(D388,products!$A$1:$A$49,products!$B$1:$B$49,0)</f>
        <v>Ara</v>
      </c>
      <c r="J388" t="str">
        <f>_xlfn.XLOOKUP(worksheet!D388,products!$A$1:$A$49,products!$C$1:$C$49,0)</f>
        <v>D</v>
      </c>
      <c r="K388" s="5">
        <f>_xlfn.XLOOKUP(worksheet!D388,products!$A$1:$A$49,products!$D$1:$D$49,0)</f>
        <v>0.2</v>
      </c>
      <c r="L388" s="6">
        <f>_xlfn.XLOOKUP(worksheet!D388,products!$A$1:$A$49,products!$E$1:$E$49,0)</f>
        <v>2.9849999999999999</v>
      </c>
      <c r="M388" s="6">
        <f>worksheet!E388*worksheet!L388</f>
        <v>17.91</v>
      </c>
      <c r="N388" t="str">
        <f t="shared" si="12"/>
        <v>Arabica</v>
      </c>
      <c r="O388" t="str">
        <f t="shared" si="13"/>
        <v>Dark</v>
      </c>
      <c r="P388" t="str">
        <f>_xlfn.XLOOKUP(worksheet[[#This Row],[Customer ID]],customers!$A$1:$A$1001,customers!$I$1:$I$1001,0)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
        <v>2674</v>
      </c>
      <c r="H389" s="2" t="str">
        <f>_xlfn.XLOOKUP(C389,customers!$A$1:$A$1001,customers!$G$1:$G$1001,0)</f>
        <v>United States</v>
      </c>
      <c r="I389" t="str">
        <f>_xlfn.XLOOKUP(D389,products!$A$1:$A$49,products!$B$1:$B$49,0)</f>
        <v>Exc</v>
      </c>
      <c r="J389" t="str">
        <f>_xlfn.XLOOKUP(worksheet!D389,products!$A$1:$A$49,products!$C$1:$C$49,0)</f>
        <v>L</v>
      </c>
      <c r="K389" s="5">
        <f>_xlfn.XLOOKUP(worksheet!D389,products!$A$1:$A$49,products!$D$1:$D$49,0)</f>
        <v>1</v>
      </c>
      <c r="L389" s="6">
        <f>_xlfn.XLOOKUP(worksheet!D389,products!$A$1:$A$49,products!$E$1:$E$49,0)</f>
        <v>14.85</v>
      </c>
      <c r="M389" s="6">
        <f>worksheet!E389*worksheet!L389</f>
        <v>74.25</v>
      </c>
      <c r="N389" t="str">
        <f t="shared" si="12"/>
        <v>Excelsa</v>
      </c>
      <c r="O389" t="str">
        <f t="shared" si="13"/>
        <v>Light</v>
      </c>
      <c r="P389" t="str">
        <f>_xlfn.XLOOKUP(worksheet[[#This Row],[Customer ID]],customers!$A$1:$A$1001,customers!$I$1:$I$1001,0)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
        <v>2680</v>
      </c>
      <c r="H390" s="2" t="str">
        <f>_xlfn.XLOOKUP(C390,customers!$A$1:$A$1001,customers!$G$1:$G$1001,0)</f>
        <v>United States</v>
      </c>
      <c r="I390" t="str">
        <f>_xlfn.XLOOKUP(D390,products!$A$1:$A$49,products!$B$1:$B$49,0)</f>
        <v>Lib</v>
      </c>
      <c r="J390" t="str">
        <f>_xlfn.XLOOKUP(worksheet!D390,products!$A$1:$A$49,products!$C$1:$C$49,0)</f>
        <v>D</v>
      </c>
      <c r="K390" s="5">
        <f>_xlfn.XLOOKUP(worksheet!D390,products!$A$1:$A$49,products!$D$1:$D$49,0)</f>
        <v>0.2</v>
      </c>
      <c r="L390" s="6">
        <f>_xlfn.XLOOKUP(worksheet!D390,products!$A$1:$A$49,products!$E$1:$E$49,0)</f>
        <v>3.8849999999999998</v>
      </c>
      <c r="M390" s="6">
        <f>worksheet!E390*worksheet!L390</f>
        <v>11.654999999999999</v>
      </c>
      <c r="N390" t="str">
        <f t="shared" si="12"/>
        <v>Liberica</v>
      </c>
      <c r="O390" t="str">
        <f t="shared" si="13"/>
        <v>Dark</v>
      </c>
      <c r="P390" t="str">
        <f>_xlfn.XLOOKUP(worksheet[[#This Row],[Customer ID]],customers!$A$1:$A$1001,customers!$I$1:$I$1001,0)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
        <v>2686</v>
      </c>
      <c r="H391" s="2" t="str">
        <f>_xlfn.XLOOKUP(C391,customers!$A$1:$A$1001,customers!$G$1:$G$1001,0)</f>
        <v>United States</v>
      </c>
      <c r="I391" t="str">
        <f>_xlfn.XLOOKUP(D391,products!$A$1:$A$49,products!$B$1:$B$49,0)</f>
        <v>Lib</v>
      </c>
      <c r="J391" t="str">
        <f>_xlfn.XLOOKUP(worksheet!D391,products!$A$1:$A$49,products!$C$1:$C$49,0)</f>
        <v>D</v>
      </c>
      <c r="K391" s="5">
        <f>_xlfn.XLOOKUP(worksheet!D391,products!$A$1:$A$49,products!$D$1:$D$49,0)</f>
        <v>0.5</v>
      </c>
      <c r="L391" s="6">
        <f>_xlfn.XLOOKUP(worksheet!D391,products!$A$1:$A$49,products!$E$1:$E$49,0)</f>
        <v>7.77</v>
      </c>
      <c r="M391" s="6">
        <f>worksheet!E391*worksheet!L391</f>
        <v>23.31</v>
      </c>
      <c r="N391" t="str">
        <f t="shared" si="12"/>
        <v>Liberica</v>
      </c>
      <c r="O391" t="str">
        <f t="shared" si="13"/>
        <v>Dark</v>
      </c>
      <c r="P391" t="str">
        <f>_xlfn.XLOOKUP(worksheet[[#This Row],[Customer ID]],customers!$A$1:$A$1001,customers!$I$1:$I$1001,0)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
        <v>2692</v>
      </c>
      <c r="H392" s="2" t="str">
        <f>_xlfn.XLOOKUP(C392,customers!$A$1:$A$1001,customers!$G$1:$G$1001,0)</f>
        <v>United States</v>
      </c>
      <c r="I392" t="str">
        <f>_xlfn.XLOOKUP(D392,products!$A$1:$A$49,products!$B$1:$B$49,0)</f>
        <v>Exc</v>
      </c>
      <c r="J392" t="str">
        <f>_xlfn.XLOOKUP(worksheet!D392,products!$A$1:$A$49,products!$C$1:$C$49,0)</f>
        <v>D</v>
      </c>
      <c r="K392" s="5">
        <f>_xlfn.XLOOKUP(worksheet!D392,products!$A$1:$A$49,products!$D$1:$D$49,0)</f>
        <v>0.5</v>
      </c>
      <c r="L392" s="6">
        <f>_xlfn.XLOOKUP(worksheet!D392,products!$A$1:$A$49,products!$E$1:$E$49,0)</f>
        <v>7.29</v>
      </c>
      <c r="M392" s="6">
        <f>worksheet!E392*worksheet!L392</f>
        <v>14.58</v>
      </c>
      <c r="N392" t="str">
        <f t="shared" si="12"/>
        <v>Excelsa</v>
      </c>
      <c r="O392" t="str">
        <f t="shared" si="13"/>
        <v>Dark</v>
      </c>
      <c r="P392" t="str">
        <f>_xlfn.XLOOKUP(worksheet[[#This Row],[Customer ID]],customers!$A$1:$A$1001,customers!$I$1:$I$1001,0)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
        <v>2697</v>
      </c>
      <c r="H393" s="2" t="str">
        <f>_xlfn.XLOOKUP(C393,customers!$A$1:$A$1001,customers!$G$1:$G$1001,0)</f>
        <v>United States</v>
      </c>
      <c r="I393" t="str">
        <f>_xlfn.XLOOKUP(D393,products!$A$1:$A$49,products!$B$1:$B$49,0)</f>
        <v>Ara</v>
      </c>
      <c r="J393" t="str">
        <f>_xlfn.XLOOKUP(worksheet!D393,products!$A$1:$A$49,products!$C$1:$C$49,0)</f>
        <v>M</v>
      </c>
      <c r="K393" s="5">
        <f>_xlfn.XLOOKUP(worksheet!D393,products!$A$1:$A$49,products!$D$1:$D$49,0)</f>
        <v>0.5</v>
      </c>
      <c r="L393" s="6">
        <f>_xlfn.XLOOKUP(worksheet!D393,products!$A$1:$A$49,products!$E$1:$E$49,0)</f>
        <v>6.75</v>
      </c>
      <c r="M393" s="6">
        <f>worksheet!E393*worksheet!L393</f>
        <v>13.5</v>
      </c>
      <c r="N393" t="str">
        <f t="shared" si="12"/>
        <v>Arabica</v>
      </c>
      <c r="O393" t="str">
        <f t="shared" si="13"/>
        <v>Medium</v>
      </c>
      <c r="P393" t="str">
        <f>_xlfn.XLOOKUP(worksheet[[#This Row],[Customer ID]],customers!$A$1:$A$1001,customers!$I$1:$I$1001,0)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
        <v>2702</v>
      </c>
      <c r="H394" s="2" t="str">
        <f>_xlfn.XLOOKUP(C394,customers!$A$1:$A$1001,customers!$G$1:$G$1001,0)</f>
        <v>United States</v>
      </c>
      <c r="I394" t="str">
        <f>_xlfn.XLOOKUP(D394,products!$A$1:$A$49,products!$B$1:$B$49,0)</f>
        <v>Exc</v>
      </c>
      <c r="J394" t="str">
        <f>_xlfn.XLOOKUP(worksheet!D394,products!$A$1:$A$49,products!$C$1:$C$49,0)</f>
        <v>L</v>
      </c>
      <c r="K394" s="5">
        <f>_xlfn.XLOOKUP(worksheet!D394,products!$A$1:$A$49,products!$D$1:$D$49,0)</f>
        <v>1</v>
      </c>
      <c r="L394" s="6">
        <f>_xlfn.XLOOKUP(worksheet!D394,products!$A$1:$A$49,products!$E$1:$E$49,0)</f>
        <v>14.85</v>
      </c>
      <c r="M394" s="6">
        <f>worksheet!E394*worksheet!L394</f>
        <v>89.1</v>
      </c>
      <c r="N394" t="str">
        <f t="shared" si="12"/>
        <v>Excelsa</v>
      </c>
      <c r="O394" t="str">
        <f t="shared" si="13"/>
        <v>Light</v>
      </c>
      <c r="P394" t="str">
        <f>_xlfn.XLOOKUP(worksheet[[#This Row],[Customer ID]],customers!$A$1:$A$1001,customers!$I$1:$I$1001,0)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
        <v>2702</v>
      </c>
      <c r="H395" s="2" t="str">
        <f>_xlfn.XLOOKUP(C395,customers!$A$1:$A$1001,customers!$G$1:$G$1001,0)</f>
        <v>United States</v>
      </c>
      <c r="I395" t="str">
        <f>_xlfn.XLOOKUP(D395,products!$A$1:$A$49,products!$B$1:$B$49,0)</f>
        <v>Ara</v>
      </c>
      <c r="J395" t="str">
        <f>_xlfn.XLOOKUP(worksheet!D395,products!$A$1:$A$49,products!$C$1:$C$49,0)</f>
        <v>L</v>
      </c>
      <c r="K395" s="5">
        <f>_xlfn.XLOOKUP(worksheet!D395,products!$A$1:$A$49,products!$D$1:$D$49,0)</f>
        <v>0.2</v>
      </c>
      <c r="L395" s="6">
        <f>_xlfn.XLOOKUP(worksheet!D395,products!$A$1:$A$49,products!$E$1:$E$49,0)</f>
        <v>3.8849999999999998</v>
      </c>
      <c r="M395" s="6">
        <f>worksheet!E395*worksheet!L395</f>
        <v>3.8849999999999998</v>
      </c>
      <c r="N395" t="str">
        <f t="shared" si="12"/>
        <v>Arabica</v>
      </c>
      <c r="O395" t="str">
        <f t="shared" si="13"/>
        <v>Light</v>
      </c>
      <c r="P395" t="str">
        <f>_xlfn.XLOOKUP(worksheet[[#This Row],[Customer ID]],customers!$A$1:$A$1001,customers!$I$1:$I$1001,0)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
        <v>2713</v>
      </c>
      <c r="H396" s="2" t="str">
        <f>_xlfn.XLOOKUP(C396,customers!$A$1:$A$1001,customers!$G$1:$G$1001,0)</f>
        <v>United States</v>
      </c>
      <c r="I396" t="str">
        <f>_xlfn.XLOOKUP(D396,products!$A$1:$A$49,products!$B$1:$B$49,0)</f>
        <v>Rob</v>
      </c>
      <c r="J396" t="str">
        <f>_xlfn.XLOOKUP(worksheet!D396,products!$A$1:$A$49,products!$C$1:$C$49,0)</f>
        <v>L</v>
      </c>
      <c r="K396" s="5">
        <f>_xlfn.XLOOKUP(worksheet!D396,products!$A$1:$A$49,products!$D$1:$D$49,0)</f>
        <v>2.5</v>
      </c>
      <c r="L396" s="6">
        <f>_xlfn.XLOOKUP(worksheet!D396,products!$A$1:$A$49,products!$E$1:$E$49,0)</f>
        <v>27.484999999999996</v>
      </c>
      <c r="M396" s="6">
        <f>worksheet!E396*worksheet!L396</f>
        <v>109.93999999999998</v>
      </c>
      <c r="N396" t="str">
        <f t="shared" si="12"/>
        <v>Robusta</v>
      </c>
      <c r="O396" t="str">
        <f t="shared" si="13"/>
        <v>Light</v>
      </c>
      <c r="P396" t="str">
        <f>_xlfn.XLOOKUP(worksheet[[#This Row],[Customer ID]],customers!$A$1:$A$1001,customers!$I$1:$I$1001,0)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
        <v>2719</v>
      </c>
      <c r="H397" s="2" t="str">
        <f>_xlfn.XLOOKUP(C397,customers!$A$1:$A$1001,customers!$G$1:$G$1001,0)</f>
        <v>United States</v>
      </c>
      <c r="I397" t="str">
        <f>_xlfn.XLOOKUP(D397,products!$A$1:$A$49,products!$B$1:$B$49,0)</f>
        <v>Lib</v>
      </c>
      <c r="J397" t="str">
        <f>_xlfn.XLOOKUP(worksheet!D397,products!$A$1:$A$49,products!$C$1:$C$49,0)</f>
        <v>D</v>
      </c>
      <c r="K397" s="5">
        <f>_xlfn.XLOOKUP(worksheet!D397,products!$A$1:$A$49,products!$D$1:$D$49,0)</f>
        <v>0.5</v>
      </c>
      <c r="L397" s="6">
        <f>_xlfn.XLOOKUP(worksheet!D397,products!$A$1:$A$49,products!$E$1:$E$49,0)</f>
        <v>7.77</v>
      </c>
      <c r="M397" s="6">
        <f>worksheet!E397*worksheet!L397</f>
        <v>46.62</v>
      </c>
      <c r="N397" t="str">
        <f t="shared" si="12"/>
        <v>Liberica</v>
      </c>
      <c r="O397" t="str">
        <f t="shared" si="13"/>
        <v>Dark</v>
      </c>
      <c r="P397" t="str">
        <f>_xlfn.XLOOKUP(worksheet[[#This Row],[Customer ID]],customers!$A$1:$A$1001,customers!$I$1:$I$1001,0)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
        <v>2724</v>
      </c>
      <c r="H398" s="2" t="str">
        <f>_xlfn.XLOOKUP(C398,customers!$A$1:$A$1001,customers!$G$1:$G$1001,0)</f>
        <v>United States</v>
      </c>
      <c r="I398" t="str">
        <f>_xlfn.XLOOKUP(D398,products!$A$1:$A$49,products!$B$1:$B$49,0)</f>
        <v>Ara</v>
      </c>
      <c r="J398" t="str">
        <f>_xlfn.XLOOKUP(worksheet!D398,products!$A$1:$A$49,products!$C$1:$C$49,0)</f>
        <v>L</v>
      </c>
      <c r="K398" s="5">
        <f>_xlfn.XLOOKUP(worksheet!D398,products!$A$1:$A$49,products!$D$1:$D$49,0)</f>
        <v>0.5</v>
      </c>
      <c r="L398" s="6">
        <f>_xlfn.XLOOKUP(worksheet!D398,products!$A$1:$A$49,products!$E$1:$E$49,0)</f>
        <v>7.77</v>
      </c>
      <c r="M398" s="6">
        <f>worksheet!E398*worksheet!L398</f>
        <v>38.849999999999994</v>
      </c>
      <c r="N398" t="str">
        <f t="shared" si="12"/>
        <v>Arabica</v>
      </c>
      <c r="O398" t="str">
        <f t="shared" si="13"/>
        <v>Light</v>
      </c>
      <c r="P398" t="str">
        <f>_xlfn.XLOOKUP(worksheet[[#This Row],[Customer ID]],customers!$A$1:$A$1001,customers!$I$1:$I$1001,0)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
        <v>2730</v>
      </c>
      <c r="H399" s="2" t="str">
        <f>_xlfn.XLOOKUP(C399,customers!$A$1:$A$1001,customers!$G$1:$G$1001,0)</f>
        <v>United States</v>
      </c>
      <c r="I399" t="str">
        <f>_xlfn.XLOOKUP(D399,products!$A$1:$A$49,products!$B$1:$B$49,0)</f>
        <v>Lib</v>
      </c>
      <c r="J399" t="str">
        <f>_xlfn.XLOOKUP(worksheet!D399,products!$A$1:$A$49,products!$C$1:$C$49,0)</f>
        <v>D</v>
      </c>
      <c r="K399" s="5">
        <f>_xlfn.XLOOKUP(worksheet!D399,products!$A$1:$A$49,products!$D$1:$D$49,0)</f>
        <v>0.5</v>
      </c>
      <c r="L399" s="6">
        <f>_xlfn.XLOOKUP(worksheet!D399,products!$A$1:$A$49,products!$E$1:$E$49,0)</f>
        <v>7.77</v>
      </c>
      <c r="M399" s="6">
        <f>worksheet!E399*worksheet!L399</f>
        <v>31.08</v>
      </c>
      <c r="N399" t="str">
        <f t="shared" si="12"/>
        <v>Liberica</v>
      </c>
      <c r="O399" t="str">
        <f t="shared" si="13"/>
        <v>Dark</v>
      </c>
      <c r="P399" t="str">
        <f>_xlfn.XLOOKUP(worksheet[[#This Row],[Customer ID]],customers!$A$1:$A$1001,customers!$I$1:$I$1001,0)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
        <v>2736</v>
      </c>
      <c r="H400" s="2" t="str">
        <f>_xlfn.XLOOKUP(C400,customers!$A$1:$A$1001,customers!$G$1:$G$1001,0)</f>
        <v>United States</v>
      </c>
      <c r="I400" t="str">
        <f>_xlfn.XLOOKUP(D400,products!$A$1:$A$49,products!$B$1:$B$49,0)</f>
        <v>Ara</v>
      </c>
      <c r="J400" t="str">
        <f>_xlfn.XLOOKUP(worksheet!D400,products!$A$1:$A$49,products!$C$1:$C$49,0)</f>
        <v>D</v>
      </c>
      <c r="K400" s="5">
        <f>_xlfn.XLOOKUP(worksheet!D400,products!$A$1:$A$49,products!$D$1:$D$49,0)</f>
        <v>0.2</v>
      </c>
      <c r="L400" s="6">
        <f>_xlfn.XLOOKUP(worksheet!D400,products!$A$1:$A$49,products!$E$1:$E$49,0)</f>
        <v>2.9849999999999999</v>
      </c>
      <c r="M400" s="6">
        <f>worksheet!E400*worksheet!L400</f>
        <v>17.91</v>
      </c>
      <c r="N400" t="str">
        <f t="shared" si="12"/>
        <v>Arabica</v>
      </c>
      <c r="O400" t="str">
        <f t="shared" si="13"/>
        <v>Dark</v>
      </c>
      <c r="P400" t="str">
        <f>_xlfn.XLOOKUP(worksheet[[#This Row],[Customer ID]],customers!$A$1:$A$1001,customers!$I$1:$I$1001,0)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
        <v>2742</v>
      </c>
      <c r="H401" s="2" t="str">
        <f>_xlfn.XLOOKUP(C401,customers!$A$1:$A$1001,customers!$G$1:$G$1001,0)</f>
        <v>United Kingdom</v>
      </c>
      <c r="I401" t="str">
        <f>_xlfn.XLOOKUP(D401,products!$A$1:$A$49,products!$B$1:$B$49,0)</f>
        <v>Exc</v>
      </c>
      <c r="J401" t="str">
        <f>_xlfn.XLOOKUP(worksheet!D401,products!$A$1:$A$49,products!$C$1:$C$49,0)</f>
        <v>D</v>
      </c>
      <c r="K401" s="5">
        <f>_xlfn.XLOOKUP(worksheet!D401,products!$A$1:$A$49,products!$D$1:$D$49,0)</f>
        <v>2.5</v>
      </c>
      <c r="L401" s="6">
        <f>_xlfn.XLOOKUP(worksheet!D401,products!$A$1:$A$49,products!$E$1:$E$49,0)</f>
        <v>27.945</v>
      </c>
      <c r="M401" s="6">
        <f>worksheet!E401*worksheet!L401</f>
        <v>167.67000000000002</v>
      </c>
      <c r="N401" t="str">
        <f t="shared" si="12"/>
        <v>Excelsa</v>
      </c>
      <c r="O401" t="str">
        <f t="shared" si="13"/>
        <v>Dark</v>
      </c>
      <c r="P401" t="str">
        <f>_xlfn.XLOOKUP(worksheet[[#This Row],[Customer ID]],customers!$A$1:$A$1001,customers!$I$1:$I$1001,0)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
        <v>2748</v>
      </c>
      <c r="H402" s="2" t="str">
        <f>_xlfn.XLOOKUP(C402,customers!$A$1:$A$1001,customers!$G$1:$G$1001,0)</f>
        <v>United States</v>
      </c>
      <c r="I402" t="str">
        <f>_xlfn.XLOOKUP(D402,products!$A$1:$A$49,products!$B$1:$B$49,0)</f>
        <v>Lib</v>
      </c>
      <c r="J402" t="str">
        <f>_xlfn.XLOOKUP(worksheet!D402,products!$A$1:$A$49,products!$C$1:$C$49,0)</f>
        <v>L</v>
      </c>
      <c r="K402" s="5">
        <f>_xlfn.XLOOKUP(worksheet!D402,products!$A$1:$A$49,products!$D$1:$D$49,0)</f>
        <v>1</v>
      </c>
      <c r="L402" s="6">
        <f>_xlfn.XLOOKUP(worksheet!D402,products!$A$1:$A$49,products!$E$1:$E$49,0)</f>
        <v>15.85</v>
      </c>
      <c r="M402" s="6">
        <f>worksheet!E402*worksheet!L402</f>
        <v>63.4</v>
      </c>
      <c r="N402" t="str">
        <f t="shared" si="12"/>
        <v>Liberica</v>
      </c>
      <c r="O402" t="str">
        <f t="shared" si="13"/>
        <v>Light</v>
      </c>
      <c r="P402" t="str">
        <f>_xlfn.XLOOKUP(worksheet[[#This Row],[Customer ID]],customers!$A$1:$A$1001,customers!$I$1:$I$1001,0)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
        <v>2754</v>
      </c>
      <c r="H403" s="2" t="str">
        <f>_xlfn.XLOOKUP(C403,customers!$A$1:$A$1001,customers!$G$1:$G$1001,0)</f>
        <v>United States</v>
      </c>
      <c r="I403" t="str">
        <f>_xlfn.XLOOKUP(D403,products!$A$1:$A$49,products!$B$1:$B$49,0)</f>
        <v>Lib</v>
      </c>
      <c r="J403" t="str">
        <f>_xlfn.XLOOKUP(worksheet!D403,products!$A$1:$A$49,products!$C$1:$C$49,0)</f>
        <v>M</v>
      </c>
      <c r="K403" s="5">
        <f>_xlfn.XLOOKUP(worksheet!D403,products!$A$1:$A$49,products!$D$1:$D$49,0)</f>
        <v>0.2</v>
      </c>
      <c r="L403" s="6">
        <f>_xlfn.XLOOKUP(worksheet!D403,products!$A$1:$A$49,products!$E$1:$E$49,0)</f>
        <v>4.3650000000000002</v>
      </c>
      <c r="M403" s="6">
        <f>worksheet!E403*worksheet!L403</f>
        <v>8.73</v>
      </c>
      <c r="N403" t="str">
        <f t="shared" si="12"/>
        <v>Liberica</v>
      </c>
      <c r="O403" t="str">
        <f t="shared" si="13"/>
        <v>Medium</v>
      </c>
      <c r="P403" t="str">
        <f>_xlfn.XLOOKUP(worksheet[[#This Row],[Customer ID]],customers!$A$1:$A$1001,customers!$I$1:$I$1001,0)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
        <v>2760</v>
      </c>
      <c r="H404" s="2" t="str">
        <f>_xlfn.XLOOKUP(C404,customers!$A$1:$A$1001,customers!$G$1:$G$1001,0)</f>
        <v>United States</v>
      </c>
      <c r="I404" t="str">
        <f>_xlfn.XLOOKUP(D404,products!$A$1:$A$49,products!$B$1:$B$49,0)</f>
        <v>Rob</v>
      </c>
      <c r="J404" t="str">
        <f>_xlfn.XLOOKUP(worksheet!D404,products!$A$1:$A$49,products!$C$1:$C$49,0)</f>
        <v>D</v>
      </c>
      <c r="K404" s="5">
        <f>_xlfn.XLOOKUP(worksheet!D404,products!$A$1:$A$49,products!$D$1:$D$49,0)</f>
        <v>1</v>
      </c>
      <c r="L404" s="6">
        <f>_xlfn.XLOOKUP(worksheet!D404,products!$A$1:$A$49,products!$E$1:$E$49,0)</f>
        <v>8.9499999999999993</v>
      </c>
      <c r="M404" s="6">
        <f>worksheet!E404*worksheet!L404</f>
        <v>26.849999999999998</v>
      </c>
      <c r="N404" t="str">
        <f t="shared" si="12"/>
        <v>Robusta</v>
      </c>
      <c r="O404" t="str">
        <f t="shared" si="13"/>
        <v>Dark</v>
      </c>
      <c r="P404" t="str">
        <f>_xlfn.XLOOKUP(worksheet[[#This Row],[Customer ID]],customers!$A$1:$A$1001,customers!$I$1:$I$1001,0)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
        <v>2766</v>
      </c>
      <c r="H405" s="2" t="str">
        <f>_xlfn.XLOOKUP(C405,customers!$A$1:$A$1001,customers!$G$1:$G$1001,0)</f>
        <v>United States</v>
      </c>
      <c r="I405" t="str">
        <f>_xlfn.XLOOKUP(D405,products!$A$1:$A$49,products!$B$1:$B$49,0)</f>
        <v>Lib</v>
      </c>
      <c r="J405" t="str">
        <f>_xlfn.XLOOKUP(worksheet!D405,products!$A$1:$A$49,products!$C$1:$C$49,0)</f>
        <v>L</v>
      </c>
      <c r="K405" s="5">
        <f>_xlfn.XLOOKUP(worksheet!D405,products!$A$1:$A$49,products!$D$1:$D$49,0)</f>
        <v>0.2</v>
      </c>
      <c r="L405" s="6">
        <f>_xlfn.XLOOKUP(worksheet!D405,products!$A$1:$A$49,products!$E$1:$E$49,0)</f>
        <v>4.7549999999999999</v>
      </c>
      <c r="M405" s="6">
        <f>worksheet!E405*worksheet!L405</f>
        <v>9.51</v>
      </c>
      <c r="N405" t="str">
        <f t="shared" si="12"/>
        <v>Liberica</v>
      </c>
      <c r="O405" t="str">
        <f t="shared" si="13"/>
        <v>Light</v>
      </c>
      <c r="P405" t="str">
        <f>_xlfn.XLOOKUP(worksheet[[#This Row],[Customer ID]],customers!$A$1:$A$1001,customers!$I$1:$I$1001,0)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
        <v>2772</v>
      </c>
      <c r="H406" s="2" t="str">
        <f>_xlfn.XLOOKUP(C406,customers!$A$1:$A$1001,customers!$G$1:$G$1001,0)</f>
        <v>Ireland</v>
      </c>
      <c r="I406" t="str">
        <f>_xlfn.XLOOKUP(D406,products!$A$1:$A$49,products!$B$1:$B$49,0)</f>
        <v>Ara</v>
      </c>
      <c r="J406" t="str">
        <f>_xlfn.XLOOKUP(worksheet!D406,products!$A$1:$A$49,products!$C$1:$C$49,0)</f>
        <v>D</v>
      </c>
      <c r="K406" s="5">
        <f>_xlfn.XLOOKUP(worksheet!D406,products!$A$1:$A$49,products!$D$1:$D$49,0)</f>
        <v>1</v>
      </c>
      <c r="L406" s="6">
        <f>_xlfn.XLOOKUP(worksheet!D406,products!$A$1:$A$49,products!$E$1:$E$49,0)</f>
        <v>9.9499999999999993</v>
      </c>
      <c r="M406" s="6">
        <f>worksheet!E406*worksheet!L406</f>
        <v>39.799999999999997</v>
      </c>
      <c r="N406" t="str">
        <f t="shared" si="12"/>
        <v>Arabica</v>
      </c>
      <c r="O406" t="str">
        <f t="shared" si="13"/>
        <v>Dark</v>
      </c>
      <c r="P406" t="str">
        <f>_xlfn.XLOOKUP(worksheet[[#This Row],[Customer ID]],customers!$A$1:$A$1001,customers!$I$1:$I$1001,0)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
        <v>2778</v>
      </c>
      <c r="H407" s="2" t="str">
        <f>_xlfn.XLOOKUP(C407,customers!$A$1:$A$1001,customers!$G$1:$G$1001,0)</f>
        <v>United States</v>
      </c>
      <c r="I407" t="str">
        <f>_xlfn.XLOOKUP(D407,products!$A$1:$A$49,products!$B$1:$B$49,0)</f>
        <v>Exc</v>
      </c>
      <c r="J407" t="str">
        <f>_xlfn.XLOOKUP(worksheet!D407,products!$A$1:$A$49,products!$C$1:$C$49,0)</f>
        <v>M</v>
      </c>
      <c r="K407" s="5">
        <f>_xlfn.XLOOKUP(worksheet!D407,products!$A$1:$A$49,products!$D$1:$D$49,0)</f>
        <v>0.5</v>
      </c>
      <c r="L407" s="6">
        <f>_xlfn.XLOOKUP(worksheet!D407,products!$A$1:$A$49,products!$E$1:$E$49,0)</f>
        <v>8.25</v>
      </c>
      <c r="M407" s="6">
        <f>worksheet!E407*worksheet!L407</f>
        <v>24.75</v>
      </c>
      <c r="N407" t="str">
        <f t="shared" si="12"/>
        <v>Excelsa</v>
      </c>
      <c r="O407" t="str">
        <f t="shared" si="13"/>
        <v>Medium</v>
      </c>
      <c r="P407" t="str">
        <f>_xlfn.XLOOKUP(worksheet[[#This Row],[Customer ID]],customers!$A$1:$A$1001,customers!$I$1:$I$1001,0)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
        <v>2784</v>
      </c>
      <c r="H408" s="2" t="str">
        <f>_xlfn.XLOOKUP(C408,customers!$A$1:$A$1001,customers!$G$1:$G$1001,0)</f>
        <v>United States</v>
      </c>
      <c r="I408" t="str">
        <f>_xlfn.XLOOKUP(D408,products!$A$1:$A$49,products!$B$1:$B$49,0)</f>
        <v>Exc</v>
      </c>
      <c r="J408" t="str">
        <f>_xlfn.XLOOKUP(worksheet!D408,products!$A$1:$A$49,products!$C$1:$C$49,0)</f>
        <v>M</v>
      </c>
      <c r="K408" s="5">
        <f>_xlfn.XLOOKUP(worksheet!D408,products!$A$1:$A$49,products!$D$1:$D$49,0)</f>
        <v>1</v>
      </c>
      <c r="L408" s="6">
        <f>_xlfn.XLOOKUP(worksheet!D408,products!$A$1:$A$49,products!$E$1:$E$49,0)</f>
        <v>13.75</v>
      </c>
      <c r="M408" s="6">
        <f>worksheet!E408*worksheet!L408</f>
        <v>68.75</v>
      </c>
      <c r="N408" t="str">
        <f t="shared" si="12"/>
        <v>Excelsa</v>
      </c>
      <c r="O408" t="str">
        <f t="shared" si="13"/>
        <v>Medium</v>
      </c>
      <c r="P408" t="str">
        <f>_xlfn.XLOOKUP(worksheet[[#This Row],[Customer ID]],customers!$A$1:$A$1001,customers!$I$1:$I$1001,0)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
        <v>6222</v>
      </c>
      <c r="H409" s="2" t="str">
        <f>_xlfn.XLOOKUP(C409,customers!$A$1:$A$1001,customers!$G$1:$G$1001,0)</f>
        <v>Ireland</v>
      </c>
      <c r="I409" t="str">
        <f>_xlfn.XLOOKUP(D409,products!$A$1:$A$49,products!$B$1:$B$49,0)</f>
        <v>Exc</v>
      </c>
      <c r="J409" t="str">
        <f>_xlfn.XLOOKUP(worksheet!D409,products!$A$1:$A$49,products!$C$1:$C$49,0)</f>
        <v>M</v>
      </c>
      <c r="K409" s="5">
        <f>_xlfn.XLOOKUP(worksheet!D409,products!$A$1:$A$49,products!$D$1:$D$49,0)</f>
        <v>0.5</v>
      </c>
      <c r="L409" s="6">
        <f>_xlfn.XLOOKUP(worksheet!D409,products!$A$1:$A$49,products!$E$1:$E$49,0)</f>
        <v>8.25</v>
      </c>
      <c r="M409" s="6">
        <f>worksheet!E409*worksheet!L409</f>
        <v>49.5</v>
      </c>
      <c r="N409" t="str">
        <f t="shared" si="12"/>
        <v>Excelsa</v>
      </c>
      <c r="O409" t="str">
        <f t="shared" si="13"/>
        <v>Medium</v>
      </c>
      <c r="P409" t="str">
        <f>_xlfn.XLOOKUP(worksheet[[#This Row],[Customer ID]],customers!$A$1:$A$1001,customers!$I$1:$I$1001,0)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
        <v>2795</v>
      </c>
      <c r="H410" s="2" t="str">
        <f>_xlfn.XLOOKUP(C410,customers!$A$1:$A$1001,customers!$G$1:$G$1001,0)</f>
        <v>United States</v>
      </c>
      <c r="I410" t="str">
        <f>_xlfn.XLOOKUP(D410,products!$A$1:$A$49,products!$B$1:$B$49,0)</f>
        <v>Ara</v>
      </c>
      <c r="J410" t="str">
        <f>_xlfn.XLOOKUP(worksheet!D410,products!$A$1:$A$49,products!$C$1:$C$49,0)</f>
        <v>M</v>
      </c>
      <c r="K410" s="5">
        <f>_xlfn.XLOOKUP(worksheet!D410,products!$A$1:$A$49,products!$D$1:$D$49,0)</f>
        <v>2.5</v>
      </c>
      <c r="L410" s="6">
        <f>_xlfn.XLOOKUP(worksheet!D410,products!$A$1:$A$49,products!$E$1:$E$49,0)</f>
        <v>25.874999999999996</v>
      </c>
      <c r="M410" s="6">
        <f>worksheet!E410*worksheet!L410</f>
        <v>51.749999999999993</v>
      </c>
      <c r="N410" t="str">
        <f t="shared" si="12"/>
        <v>Arabica</v>
      </c>
      <c r="O410" t="str">
        <f t="shared" si="13"/>
        <v>Medium</v>
      </c>
      <c r="P410" t="str">
        <f>_xlfn.XLOOKUP(worksheet[[#This Row],[Customer ID]],customers!$A$1:$A$1001,customers!$I$1:$I$1001,0)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
        <v>6222</v>
      </c>
      <c r="H411" s="2" t="str">
        <f>_xlfn.XLOOKUP(C411,customers!$A$1:$A$1001,customers!$G$1:$G$1001,0)</f>
        <v>Ireland</v>
      </c>
      <c r="I411" t="str">
        <f>_xlfn.XLOOKUP(D411,products!$A$1:$A$49,products!$B$1:$B$49,0)</f>
        <v>Lib</v>
      </c>
      <c r="J411" t="str">
        <f>_xlfn.XLOOKUP(worksheet!D411,products!$A$1:$A$49,products!$C$1:$C$49,0)</f>
        <v>L</v>
      </c>
      <c r="K411" s="5">
        <f>_xlfn.XLOOKUP(worksheet!D411,products!$A$1:$A$49,products!$D$1:$D$49,0)</f>
        <v>1</v>
      </c>
      <c r="L411" s="6">
        <f>_xlfn.XLOOKUP(worksheet!D411,products!$A$1:$A$49,products!$E$1:$E$49,0)</f>
        <v>15.85</v>
      </c>
      <c r="M411" s="6">
        <f>worksheet!E411*worksheet!L411</f>
        <v>47.55</v>
      </c>
      <c r="N411" t="str">
        <f t="shared" si="12"/>
        <v>Liberica</v>
      </c>
      <c r="O411" t="str">
        <f t="shared" si="13"/>
        <v>Light</v>
      </c>
      <c r="P411" t="str">
        <f>_xlfn.XLOOKUP(worksheet[[#This Row],[Customer ID]],customers!$A$1:$A$1001,customers!$I$1:$I$1001,0)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
        <v>6222</v>
      </c>
      <c r="H412" s="2" t="str">
        <f>_xlfn.XLOOKUP(C412,customers!$A$1:$A$1001,customers!$G$1:$G$1001,0)</f>
        <v>United States</v>
      </c>
      <c r="I412" t="str">
        <f>_xlfn.XLOOKUP(D412,products!$A$1:$A$49,products!$B$1:$B$49,0)</f>
        <v>Ara</v>
      </c>
      <c r="J412" t="str">
        <f>_xlfn.XLOOKUP(worksheet!D412,products!$A$1:$A$49,products!$C$1:$C$49,0)</f>
        <v>L</v>
      </c>
      <c r="K412" s="5">
        <f>_xlfn.XLOOKUP(worksheet!D412,products!$A$1:$A$49,products!$D$1:$D$49,0)</f>
        <v>0.2</v>
      </c>
      <c r="L412" s="6">
        <f>_xlfn.XLOOKUP(worksheet!D412,products!$A$1:$A$49,products!$E$1:$E$49,0)</f>
        <v>3.8849999999999998</v>
      </c>
      <c r="M412" s="6">
        <f>worksheet!E412*worksheet!L412</f>
        <v>15.54</v>
      </c>
      <c r="N412" t="str">
        <f t="shared" si="12"/>
        <v>Arabica</v>
      </c>
      <c r="O412" t="str">
        <f t="shared" si="13"/>
        <v>Light</v>
      </c>
      <c r="P412" t="str">
        <f>_xlfn.XLOOKUP(worksheet[[#This Row],[Customer ID]],customers!$A$1:$A$1001,customers!$I$1:$I$1001,0)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
        <v>6222</v>
      </c>
      <c r="H413" s="2" t="str">
        <f>_xlfn.XLOOKUP(C413,customers!$A$1:$A$1001,customers!$G$1:$G$1001,0)</f>
        <v>United States</v>
      </c>
      <c r="I413" t="str">
        <f>_xlfn.XLOOKUP(D413,products!$A$1:$A$49,products!$B$1:$B$49,0)</f>
        <v>Lib</v>
      </c>
      <c r="J413" t="str">
        <f>_xlfn.XLOOKUP(worksheet!D413,products!$A$1:$A$49,products!$C$1:$C$49,0)</f>
        <v>M</v>
      </c>
      <c r="K413" s="5">
        <f>_xlfn.XLOOKUP(worksheet!D413,products!$A$1:$A$49,products!$D$1:$D$49,0)</f>
        <v>1</v>
      </c>
      <c r="L413" s="6">
        <f>_xlfn.XLOOKUP(worksheet!D413,products!$A$1:$A$49,products!$E$1:$E$49,0)</f>
        <v>14.55</v>
      </c>
      <c r="M413" s="6">
        <f>worksheet!E413*worksheet!L413</f>
        <v>87.300000000000011</v>
      </c>
      <c r="N413" t="str">
        <f t="shared" si="12"/>
        <v>Liberica</v>
      </c>
      <c r="O413" t="str">
        <f t="shared" si="13"/>
        <v>Medium</v>
      </c>
      <c r="P413" t="str">
        <f>_xlfn.XLOOKUP(worksheet[[#This Row],[Customer ID]],customers!$A$1:$A$1001,customers!$I$1:$I$1001,0)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
        <v>6222</v>
      </c>
      <c r="H414" s="2" t="str">
        <f>_xlfn.XLOOKUP(C414,customers!$A$1:$A$1001,customers!$G$1:$G$1001,0)</f>
        <v>United States</v>
      </c>
      <c r="I414" t="str">
        <f>_xlfn.XLOOKUP(D414,products!$A$1:$A$49,products!$B$1:$B$49,0)</f>
        <v>Ara</v>
      </c>
      <c r="J414" t="str">
        <f>_xlfn.XLOOKUP(worksheet!D414,products!$A$1:$A$49,products!$C$1:$C$49,0)</f>
        <v>M</v>
      </c>
      <c r="K414" s="5">
        <f>_xlfn.XLOOKUP(worksheet!D414,products!$A$1:$A$49,products!$D$1:$D$49,0)</f>
        <v>1</v>
      </c>
      <c r="L414" s="6">
        <f>_xlfn.XLOOKUP(worksheet!D414,products!$A$1:$A$49,products!$E$1:$E$49,0)</f>
        <v>11.25</v>
      </c>
      <c r="M414" s="6">
        <f>worksheet!E414*worksheet!L414</f>
        <v>56.25</v>
      </c>
      <c r="N414" t="str">
        <f t="shared" si="12"/>
        <v>Arabica</v>
      </c>
      <c r="O414" t="str">
        <f t="shared" si="13"/>
        <v>Medium</v>
      </c>
      <c r="P414" t="str">
        <f>_xlfn.XLOOKUP(worksheet[[#This Row],[Customer ID]],customers!$A$1:$A$1001,customers!$I$1:$I$1001,0)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
        <v>2821</v>
      </c>
      <c r="H415" s="2" t="str">
        <f>_xlfn.XLOOKUP(C415,customers!$A$1:$A$1001,customers!$G$1:$G$1001,0)</f>
        <v>United States</v>
      </c>
      <c r="I415" t="str">
        <f>_xlfn.XLOOKUP(D415,products!$A$1:$A$49,products!$B$1:$B$49,0)</f>
        <v>Lib</v>
      </c>
      <c r="J415" t="str">
        <f>_xlfn.XLOOKUP(worksheet!D415,products!$A$1:$A$49,products!$C$1:$C$49,0)</f>
        <v>L</v>
      </c>
      <c r="K415" s="5">
        <f>_xlfn.XLOOKUP(worksheet!D415,products!$A$1:$A$49,products!$D$1:$D$49,0)</f>
        <v>2.5</v>
      </c>
      <c r="L415" s="6">
        <f>_xlfn.XLOOKUP(worksheet!D415,products!$A$1:$A$49,products!$E$1:$E$49,0)</f>
        <v>36.454999999999998</v>
      </c>
      <c r="M415" s="6">
        <f>worksheet!E415*worksheet!L415</f>
        <v>36.454999999999998</v>
      </c>
      <c r="N415" t="str">
        <f t="shared" si="12"/>
        <v>Liberica</v>
      </c>
      <c r="O415" t="str">
        <f t="shared" si="13"/>
        <v>Light</v>
      </c>
      <c r="P415" t="str">
        <f>_xlfn.XLOOKUP(worksheet[[#This Row],[Customer ID]],customers!$A$1:$A$1001,customers!$I$1:$I$1001,0)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
        <v>6222</v>
      </c>
      <c r="H416" s="2" t="str">
        <f>_xlfn.XLOOKUP(C416,customers!$A$1:$A$1001,customers!$G$1:$G$1001,0)</f>
        <v>United States</v>
      </c>
      <c r="I416" t="str">
        <f>_xlfn.XLOOKUP(D416,products!$A$1:$A$49,products!$B$1:$B$49,0)</f>
        <v>Rob</v>
      </c>
      <c r="J416" t="str">
        <f>_xlfn.XLOOKUP(worksheet!D416,products!$A$1:$A$49,products!$C$1:$C$49,0)</f>
        <v>L</v>
      </c>
      <c r="K416" s="5">
        <f>_xlfn.XLOOKUP(worksheet!D416,products!$A$1:$A$49,products!$D$1:$D$49,0)</f>
        <v>0.2</v>
      </c>
      <c r="L416" s="6">
        <f>_xlfn.XLOOKUP(worksheet!D416,products!$A$1:$A$49,products!$E$1:$E$49,0)</f>
        <v>3.5849999999999995</v>
      </c>
      <c r="M416" s="6">
        <f>worksheet!E416*worksheet!L416</f>
        <v>10.754999999999999</v>
      </c>
      <c r="N416" t="str">
        <f t="shared" si="12"/>
        <v>Robusta</v>
      </c>
      <c r="O416" t="str">
        <f t="shared" si="13"/>
        <v>Light</v>
      </c>
      <c r="P416" t="str">
        <f>_xlfn.XLOOKUP(worksheet[[#This Row],[Customer ID]],customers!$A$1:$A$1001,customers!$I$1:$I$1001,0)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
        <v>2832</v>
      </c>
      <c r="H417" s="2" t="str">
        <f>_xlfn.XLOOKUP(C417,customers!$A$1:$A$1001,customers!$G$1:$G$1001,0)</f>
        <v>United States</v>
      </c>
      <c r="I417" t="str">
        <f>_xlfn.XLOOKUP(D417,products!$A$1:$A$49,products!$B$1:$B$49,0)</f>
        <v>Rob</v>
      </c>
      <c r="J417" t="str">
        <f>_xlfn.XLOOKUP(worksheet!D417,products!$A$1:$A$49,products!$C$1:$C$49,0)</f>
        <v>M</v>
      </c>
      <c r="K417" s="5">
        <f>_xlfn.XLOOKUP(worksheet!D417,products!$A$1:$A$49,products!$D$1:$D$49,0)</f>
        <v>0.2</v>
      </c>
      <c r="L417" s="6">
        <f>_xlfn.XLOOKUP(worksheet!D417,products!$A$1:$A$49,products!$E$1:$E$49,0)</f>
        <v>2.9849999999999999</v>
      </c>
      <c r="M417" s="6">
        <f>worksheet!E417*worksheet!L417</f>
        <v>8.9550000000000001</v>
      </c>
      <c r="N417" t="str">
        <f t="shared" si="12"/>
        <v>Robusta</v>
      </c>
      <c r="O417" t="str">
        <f t="shared" si="13"/>
        <v>Medium</v>
      </c>
      <c r="P417" t="str">
        <f>_xlfn.XLOOKUP(worksheet[[#This Row],[Customer ID]],customers!$A$1:$A$1001,customers!$I$1:$I$1001,0)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
        <v>6222</v>
      </c>
      <c r="H418" s="2" t="str">
        <f>_xlfn.XLOOKUP(C418,customers!$A$1:$A$1001,customers!$G$1:$G$1001,0)</f>
        <v>United States</v>
      </c>
      <c r="I418" t="str">
        <f>_xlfn.XLOOKUP(D418,products!$A$1:$A$49,products!$B$1:$B$49,0)</f>
        <v>Ara</v>
      </c>
      <c r="J418" t="str">
        <f>_xlfn.XLOOKUP(worksheet!D418,products!$A$1:$A$49,products!$C$1:$C$49,0)</f>
        <v>L</v>
      </c>
      <c r="K418" s="5">
        <f>_xlfn.XLOOKUP(worksheet!D418,products!$A$1:$A$49,products!$D$1:$D$49,0)</f>
        <v>0.5</v>
      </c>
      <c r="L418" s="6">
        <f>_xlfn.XLOOKUP(worksheet!D418,products!$A$1:$A$49,products!$E$1:$E$49,0)</f>
        <v>7.77</v>
      </c>
      <c r="M418" s="6">
        <f>worksheet!E418*worksheet!L418</f>
        <v>23.31</v>
      </c>
      <c r="N418" t="str">
        <f t="shared" si="12"/>
        <v>Arabica</v>
      </c>
      <c r="O418" t="str">
        <f t="shared" si="13"/>
        <v>Light</v>
      </c>
      <c r="P418" t="str">
        <f>_xlfn.XLOOKUP(worksheet[[#This Row],[Customer ID]],customers!$A$1:$A$1001,customers!$I$1:$I$1001,0)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
        <v>6222</v>
      </c>
      <c r="H419" s="2" t="str">
        <f>_xlfn.XLOOKUP(C419,customers!$A$1:$A$1001,customers!$G$1:$G$1001,0)</f>
        <v>United States</v>
      </c>
      <c r="I419" t="str">
        <f>_xlfn.XLOOKUP(D419,products!$A$1:$A$49,products!$B$1:$B$49,0)</f>
        <v>Ara</v>
      </c>
      <c r="J419" t="str">
        <f>_xlfn.XLOOKUP(worksheet!D419,products!$A$1:$A$49,products!$C$1:$C$49,0)</f>
        <v>L</v>
      </c>
      <c r="K419" s="5">
        <f>_xlfn.XLOOKUP(worksheet!D419,products!$A$1:$A$49,products!$D$1:$D$49,0)</f>
        <v>2.5</v>
      </c>
      <c r="L419" s="6">
        <f>_xlfn.XLOOKUP(worksheet!D419,products!$A$1:$A$49,products!$E$1:$E$49,0)</f>
        <v>29.784999999999997</v>
      </c>
      <c r="M419" s="6">
        <f>worksheet!E419*worksheet!L419</f>
        <v>29.784999999999997</v>
      </c>
      <c r="N419" t="str">
        <f t="shared" si="12"/>
        <v>Arabica</v>
      </c>
      <c r="O419" t="str">
        <f t="shared" si="13"/>
        <v>Light</v>
      </c>
      <c r="P419" t="str">
        <f>_xlfn.XLOOKUP(worksheet[[#This Row],[Customer ID]],customers!$A$1:$A$1001,customers!$I$1:$I$1001,0)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
        <v>2847</v>
      </c>
      <c r="H420" s="2" t="str">
        <f>_xlfn.XLOOKUP(C420,customers!$A$1:$A$1001,customers!$G$1:$G$1001,0)</f>
        <v>United States</v>
      </c>
      <c r="I420" t="str">
        <f>_xlfn.XLOOKUP(D420,products!$A$1:$A$49,products!$B$1:$B$49,0)</f>
        <v>Ara</v>
      </c>
      <c r="J420" t="str">
        <f>_xlfn.XLOOKUP(worksheet!D420,products!$A$1:$A$49,products!$C$1:$C$49,0)</f>
        <v>L</v>
      </c>
      <c r="K420" s="5">
        <f>_xlfn.XLOOKUP(worksheet!D420,products!$A$1:$A$49,products!$D$1:$D$49,0)</f>
        <v>2.5</v>
      </c>
      <c r="L420" s="6">
        <f>_xlfn.XLOOKUP(worksheet!D420,products!$A$1:$A$49,products!$E$1:$E$49,0)</f>
        <v>29.784999999999997</v>
      </c>
      <c r="M420" s="6">
        <f>worksheet!E420*worksheet!L420</f>
        <v>148.92499999999998</v>
      </c>
      <c r="N420" t="str">
        <f t="shared" si="12"/>
        <v>Arabica</v>
      </c>
      <c r="O420" t="str">
        <f t="shared" si="13"/>
        <v>Light</v>
      </c>
      <c r="P420" t="str">
        <f>_xlfn.XLOOKUP(worksheet[[#This Row],[Customer ID]],customers!$A$1:$A$1001,customers!$I$1:$I$1001,0)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
        <v>2852</v>
      </c>
      <c r="H421" s="2" t="str">
        <f>_xlfn.XLOOKUP(C421,customers!$A$1:$A$1001,customers!$G$1:$G$1001,0)</f>
        <v>United States</v>
      </c>
      <c r="I421" t="str">
        <f>_xlfn.XLOOKUP(D421,products!$A$1:$A$49,products!$B$1:$B$49,0)</f>
        <v>Lib</v>
      </c>
      <c r="J421" t="str">
        <f>_xlfn.XLOOKUP(worksheet!D421,products!$A$1:$A$49,products!$C$1:$C$49,0)</f>
        <v>M</v>
      </c>
      <c r="K421" s="5">
        <f>_xlfn.XLOOKUP(worksheet!D421,products!$A$1:$A$49,products!$D$1:$D$49,0)</f>
        <v>0.5</v>
      </c>
      <c r="L421" s="6">
        <f>_xlfn.XLOOKUP(worksheet!D421,products!$A$1:$A$49,products!$E$1:$E$49,0)</f>
        <v>8.73</v>
      </c>
      <c r="M421" s="6">
        <f>worksheet!E421*worksheet!L421</f>
        <v>8.73</v>
      </c>
      <c r="N421" t="str">
        <f t="shared" si="12"/>
        <v>Liberica</v>
      </c>
      <c r="O421" t="str">
        <f t="shared" si="13"/>
        <v>Medium</v>
      </c>
      <c r="P421" t="str">
        <f>_xlfn.XLOOKUP(worksheet[[#This Row],[Customer ID]],customers!$A$1:$A$1001,customers!$I$1:$I$1001,0)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
        <v>2588</v>
      </c>
      <c r="H422" s="2" t="str">
        <f>_xlfn.XLOOKUP(C422,customers!$A$1:$A$1001,customers!$G$1:$G$1001,0)</f>
        <v>United States</v>
      </c>
      <c r="I422" t="str">
        <f>_xlfn.XLOOKUP(D422,products!$A$1:$A$49,products!$B$1:$B$49,0)</f>
        <v>Lib</v>
      </c>
      <c r="J422" t="str">
        <f>_xlfn.XLOOKUP(worksheet!D422,products!$A$1:$A$49,products!$C$1:$C$49,0)</f>
        <v>D</v>
      </c>
      <c r="K422" s="5">
        <f>_xlfn.XLOOKUP(worksheet!D422,products!$A$1:$A$49,products!$D$1:$D$49,0)</f>
        <v>0.5</v>
      </c>
      <c r="L422" s="6">
        <f>_xlfn.XLOOKUP(worksheet!D422,products!$A$1:$A$49,products!$E$1:$E$49,0)</f>
        <v>7.77</v>
      </c>
      <c r="M422" s="6">
        <f>worksheet!E422*worksheet!L422</f>
        <v>31.08</v>
      </c>
      <c r="N422" t="str">
        <f t="shared" si="12"/>
        <v>Liberica</v>
      </c>
      <c r="O422" t="str">
        <f t="shared" si="13"/>
        <v>Dark</v>
      </c>
      <c r="P422" t="str">
        <f>_xlfn.XLOOKUP(worksheet[[#This Row],[Customer ID]],customers!$A$1:$A$1001,customers!$I$1:$I$1001,0)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
        <v>2588</v>
      </c>
      <c r="H423" s="2" t="str">
        <f>_xlfn.XLOOKUP(C423,customers!$A$1:$A$1001,customers!$G$1:$G$1001,0)</f>
        <v>United States</v>
      </c>
      <c r="I423" t="str">
        <f>_xlfn.XLOOKUP(D423,products!$A$1:$A$49,products!$B$1:$B$49,0)</f>
        <v>Ara</v>
      </c>
      <c r="J423" t="str">
        <f>_xlfn.XLOOKUP(worksheet!D423,products!$A$1:$A$49,products!$C$1:$C$49,0)</f>
        <v>D</v>
      </c>
      <c r="K423" s="5">
        <f>_xlfn.XLOOKUP(worksheet!D423,products!$A$1:$A$49,products!$D$1:$D$49,0)</f>
        <v>2.5</v>
      </c>
      <c r="L423" s="6">
        <f>_xlfn.XLOOKUP(worksheet!D423,products!$A$1:$A$49,products!$E$1:$E$49,0)</f>
        <v>22.884999999999998</v>
      </c>
      <c r="M423" s="6">
        <f>worksheet!E423*worksheet!L423</f>
        <v>137.31</v>
      </c>
      <c r="N423" t="str">
        <f t="shared" si="12"/>
        <v>Arabica</v>
      </c>
      <c r="O423" t="str">
        <f t="shared" si="13"/>
        <v>Dark</v>
      </c>
      <c r="P423" t="str">
        <f>_xlfn.XLOOKUP(worksheet[[#This Row],[Customer ID]],customers!$A$1:$A$1001,customers!$I$1:$I$1001,0)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
        <v>6222</v>
      </c>
      <c r="H424" s="2" t="str">
        <f>_xlfn.XLOOKUP(C424,customers!$A$1:$A$1001,customers!$G$1:$G$1001,0)</f>
        <v>United States</v>
      </c>
      <c r="I424" t="str">
        <f>_xlfn.XLOOKUP(D424,products!$A$1:$A$49,products!$B$1:$B$49,0)</f>
        <v>Ara</v>
      </c>
      <c r="J424" t="str">
        <f>_xlfn.XLOOKUP(worksheet!D424,products!$A$1:$A$49,products!$C$1:$C$49,0)</f>
        <v>D</v>
      </c>
      <c r="K424" s="5">
        <f>_xlfn.XLOOKUP(worksheet!D424,products!$A$1:$A$49,products!$D$1:$D$49,0)</f>
        <v>0.5</v>
      </c>
      <c r="L424" s="6">
        <f>_xlfn.XLOOKUP(worksheet!D424,products!$A$1:$A$49,products!$E$1:$E$49,0)</f>
        <v>5.97</v>
      </c>
      <c r="M424" s="6">
        <f>worksheet!E424*worksheet!L424</f>
        <v>29.849999999999998</v>
      </c>
      <c r="N424" t="str">
        <f t="shared" si="12"/>
        <v>Arabica</v>
      </c>
      <c r="O424" t="str">
        <f t="shared" si="13"/>
        <v>Dark</v>
      </c>
      <c r="P424" t="str">
        <f>_xlfn.XLOOKUP(worksheet[[#This Row],[Customer ID]],customers!$A$1:$A$1001,customers!$I$1:$I$1001,0)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
        <v>6222</v>
      </c>
      <c r="H425" s="2" t="str">
        <f>_xlfn.XLOOKUP(C425,customers!$A$1:$A$1001,customers!$G$1:$G$1001,0)</f>
        <v>United States</v>
      </c>
      <c r="I425" t="str">
        <f>_xlfn.XLOOKUP(D425,products!$A$1:$A$49,products!$B$1:$B$49,0)</f>
        <v>Rob</v>
      </c>
      <c r="J425" t="str">
        <f>_xlfn.XLOOKUP(worksheet!D425,products!$A$1:$A$49,products!$C$1:$C$49,0)</f>
        <v>M</v>
      </c>
      <c r="K425" s="5">
        <f>_xlfn.XLOOKUP(worksheet!D425,products!$A$1:$A$49,products!$D$1:$D$49,0)</f>
        <v>0.5</v>
      </c>
      <c r="L425" s="6">
        <f>_xlfn.XLOOKUP(worksheet!D425,products!$A$1:$A$49,products!$E$1:$E$49,0)</f>
        <v>5.97</v>
      </c>
      <c r="M425" s="6">
        <f>worksheet!E425*worksheet!L425</f>
        <v>17.91</v>
      </c>
      <c r="N425" t="str">
        <f t="shared" si="12"/>
        <v>Robusta</v>
      </c>
      <c r="O425" t="str">
        <f t="shared" si="13"/>
        <v>Medium</v>
      </c>
      <c r="P425" t="str">
        <f>_xlfn.XLOOKUP(worksheet[[#This Row],[Customer ID]],customers!$A$1:$A$1001,customers!$I$1:$I$1001,0)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
        <v>2879</v>
      </c>
      <c r="H426" s="2" t="str">
        <f>_xlfn.XLOOKUP(C426,customers!$A$1:$A$1001,customers!$G$1:$G$1001,0)</f>
        <v>United States</v>
      </c>
      <c r="I426" t="str">
        <f>_xlfn.XLOOKUP(D426,products!$A$1:$A$49,products!$B$1:$B$49,0)</f>
        <v>Exc</v>
      </c>
      <c r="J426" t="str">
        <f>_xlfn.XLOOKUP(worksheet!D426,products!$A$1:$A$49,products!$C$1:$C$49,0)</f>
        <v>L</v>
      </c>
      <c r="K426" s="5">
        <f>_xlfn.XLOOKUP(worksheet!D426,products!$A$1:$A$49,products!$D$1:$D$49,0)</f>
        <v>0.5</v>
      </c>
      <c r="L426" s="6">
        <f>_xlfn.XLOOKUP(worksheet!D426,products!$A$1:$A$49,products!$E$1:$E$49,0)</f>
        <v>8.91</v>
      </c>
      <c r="M426" s="6">
        <f>worksheet!E426*worksheet!L426</f>
        <v>26.73</v>
      </c>
      <c r="N426" t="str">
        <f t="shared" si="12"/>
        <v>Excelsa</v>
      </c>
      <c r="O426" t="str">
        <f t="shared" si="13"/>
        <v>Light</v>
      </c>
      <c r="P426" t="str">
        <f>_xlfn.XLOOKUP(worksheet[[#This Row],[Customer ID]],customers!$A$1:$A$1001,customers!$I$1:$I$1001,0)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
        <v>2885</v>
      </c>
      <c r="H427" s="2" t="str">
        <f>_xlfn.XLOOKUP(C427,customers!$A$1:$A$1001,customers!$G$1:$G$1001,0)</f>
        <v>United States</v>
      </c>
      <c r="I427" t="str">
        <f>_xlfn.XLOOKUP(D427,products!$A$1:$A$49,products!$B$1:$B$49,0)</f>
        <v>Rob</v>
      </c>
      <c r="J427" t="str">
        <f>_xlfn.XLOOKUP(worksheet!D427,products!$A$1:$A$49,products!$C$1:$C$49,0)</f>
        <v>D</v>
      </c>
      <c r="K427" s="5">
        <f>_xlfn.XLOOKUP(worksheet!D427,products!$A$1:$A$49,products!$D$1:$D$49,0)</f>
        <v>1</v>
      </c>
      <c r="L427" s="6">
        <f>_xlfn.XLOOKUP(worksheet!D427,products!$A$1:$A$49,products!$E$1:$E$49,0)</f>
        <v>8.9499999999999993</v>
      </c>
      <c r="M427" s="6">
        <f>worksheet!E427*worksheet!L427</f>
        <v>17.899999999999999</v>
      </c>
      <c r="N427" t="str">
        <f t="shared" si="12"/>
        <v>Robusta</v>
      </c>
      <c r="O427" t="str">
        <f t="shared" si="13"/>
        <v>Dark</v>
      </c>
      <c r="P427" t="str">
        <f>_xlfn.XLOOKUP(worksheet[[#This Row],[Customer ID]],customers!$A$1:$A$1001,customers!$I$1:$I$1001,0)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
        <v>2891</v>
      </c>
      <c r="H428" s="2" t="str">
        <f>_xlfn.XLOOKUP(C428,customers!$A$1:$A$1001,customers!$G$1:$G$1001,0)</f>
        <v>Ireland</v>
      </c>
      <c r="I428" t="str">
        <f>_xlfn.XLOOKUP(D428,products!$A$1:$A$49,products!$B$1:$B$49,0)</f>
        <v>Rob</v>
      </c>
      <c r="J428" t="str">
        <f>_xlfn.XLOOKUP(worksheet!D428,products!$A$1:$A$49,products!$C$1:$C$49,0)</f>
        <v>L</v>
      </c>
      <c r="K428" s="5">
        <f>_xlfn.XLOOKUP(worksheet!D428,products!$A$1:$A$49,products!$D$1:$D$49,0)</f>
        <v>0.2</v>
      </c>
      <c r="L428" s="6">
        <f>_xlfn.XLOOKUP(worksheet!D428,products!$A$1:$A$49,products!$E$1:$E$49,0)</f>
        <v>3.5849999999999995</v>
      </c>
      <c r="M428" s="6">
        <f>worksheet!E428*worksheet!L428</f>
        <v>14.339999999999998</v>
      </c>
      <c r="N428" t="str">
        <f t="shared" si="12"/>
        <v>Robusta</v>
      </c>
      <c r="O428" t="str">
        <f t="shared" si="13"/>
        <v>Light</v>
      </c>
      <c r="P428" t="str">
        <f>_xlfn.XLOOKUP(worksheet[[#This Row],[Customer ID]],customers!$A$1:$A$1001,customers!$I$1:$I$1001,0)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
        <v>6222</v>
      </c>
      <c r="H429" s="2" t="str">
        <f>_xlfn.XLOOKUP(C429,customers!$A$1:$A$1001,customers!$G$1:$G$1001,0)</f>
        <v>United States</v>
      </c>
      <c r="I429" t="str">
        <f>_xlfn.XLOOKUP(D429,products!$A$1:$A$49,products!$B$1:$B$49,0)</f>
        <v>Ara</v>
      </c>
      <c r="J429" t="str">
        <f>_xlfn.XLOOKUP(worksheet!D429,products!$A$1:$A$49,products!$C$1:$C$49,0)</f>
        <v>M</v>
      </c>
      <c r="K429" s="5">
        <f>_xlfn.XLOOKUP(worksheet!D429,products!$A$1:$A$49,products!$D$1:$D$49,0)</f>
        <v>2.5</v>
      </c>
      <c r="L429" s="6">
        <f>_xlfn.XLOOKUP(worksheet!D429,products!$A$1:$A$49,products!$E$1:$E$49,0)</f>
        <v>25.874999999999996</v>
      </c>
      <c r="M429" s="6">
        <f>worksheet!E429*worksheet!L429</f>
        <v>77.624999999999986</v>
      </c>
      <c r="N429" t="str">
        <f t="shared" si="12"/>
        <v>Arabica</v>
      </c>
      <c r="O429" t="str">
        <f t="shared" si="13"/>
        <v>Medium</v>
      </c>
      <c r="P429" t="str">
        <f>_xlfn.XLOOKUP(worksheet[[#This Row],[Customer ID]],customers!$A$1:$A$1001,customers!$I$1:$I$1001,0)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
        <v>2902</v>
      </c>
      <c r="H430" s="2" t="str">
        <f>_xlfn.XLOOKUP(C430,customers!$A$1:$A$1001,customers!$G$1:$G$1001,0)</f>
        <v>United States</v>
      </c>
      <c r="I430" t="str">
        <f>_xlfn.XLOOKUP(D430,products!$A$1:$A$49,products!$B$1:$B$49,0)</f>
        <v>Rob</v>
      </c>
      <c r="J430" t="str">
        <f>_xlfn.XLOOKUP(worksheet!D430,products!$A$1:$A$49,products!$C$1:$C$49,0)</f>
        <v>L</v>
      </c>
      <c r="K430" s="5">
        <f>_xlfn.XLOOKUP(worksheet!D430,products!$A$1:$A$49,products!$D$1:$D$49,0)</f>
        <v>1</v>
      </c>
      <c r="L430" s="6">
        <f>_xlfn.XLOOKUP(worksheet!D430,products!$A$1:$A$49,products!$E$1:$E$49,0)</f>
        <v>11.95</v>
      </c>
      <c r="M430" s="6">
        <f>worksheet!E430*worksheet!L430</f>
        <v>59.75</v>
      </c>
      <c r="N430" t="str">
        <f t="shared" si="12"/>
        <v>Robusta</v>
      </c>
      <c r="O430" t="str">
        <f t="shared" si="13"/>
        <v>Light</v>
      </c>
      <c r="P430" t="str">
        <f>_xlfn.XLOOKUP(worksheet[[#This Row],[Customer ID]],customers!$A$1:$A$1001,customers!$I$1:$I$1001,0)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
        <v>2588</v>
      </c>
      <c r="H431" s="2" t="str">
        <f>_xlfn.XLOOKUP(C431,customers!$A$1:$A$1001,customers!$G$1:$G$1001,0)</f>
        <v>United States</v>
      </c>
      <c r="I431" t="str">
        <f>_xlfn.XLOOKUP(D431,products!$A$1:$A$49,products!$B$1:$B$49,0)</f>
        <v>Ara</v>
      </c>
      <c r="J431" t="str">
        <f>_xlfn.XLOOKUP(worksheet!D431,products!$A$1:$A$49,products!$C$1:$C$49,0)</f>
        <v>L</v>
      </c>
      <c r="K431" s="5">
        <f>_xlfn.XLOOKUP(worksheet!D431,products!$A$1:$A$49,products!$D$1:$D$49,0)</f>
        <v>1</v>
      </c>
      <c r="L431" s="6">
        <f>_xlfn.XLOOKUP(worksheet!D431,products!$A$1:$A$49,products!$E$1:$E$49,0)</f>
        <v>12.95</v>
      </c>
      <c r="M431" s="6">
        <f>worksheet!E431*worksheet!L431</f>
        <v>77.699999999999989</v>
      </c>
      <c r="N431" t="str">
        <f t="shared" si="12"/>
        <v>Arabica</v>
      </c>
      <c r="O431" t="str">
        <f t="shared" si="13"/>
        <v>Light</v>
      </c>
      <c r="P431" t="str">
        <f>_xlfn.XLOOKUP(worksheet[[#This Row],[Customer ID]],customers!$A$1:$A$1001,customers!$I$1:$I$1001,0)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
        <v>2914</v>
      </c>
      <c r="H432" s="2" t="str">
        <f>_xlfn.XLOOKUP(C432,customers!$A$1:$A$1001,customers!$G$1:$G$1001,0)</f>
        <v>United States</v>
      </c>
      <c r="I432" t="str">
        <f>_xlfn.XLOOKUP(D432,products!$A$1:$A$49,products!$B$1:$B$49,0)</f>
        <v>Rob</v>
      </c>
      <c r="J432" t="str">
        <f>_xlfn.XLOOKUP(worksheet!D432,products!$A$1:$A$49,products!$C$1:$C$49,0)</f>
        <v>D</v>
      </c>
      <c r="K432" s="5">
        <f>_xlfn.XLOOKUP(worksheet!D432,products!$A$1:$A$49,products!$D$1:$D$49,0)</f>
        <v>0.2</v>
      </c>
      <c r="L432" s="6">
        <f>_xlfn.XLOOKUP(worksheet!D432,products!$A$1:$A$49,products!$E$1:$E$49,0)</f>
        <v>2.6849999999999996</v>
      </c>
      <c r="M432" s="6">
        <f>worksheet!E432*worksheet!L432</f>
        <v>5.3699999999999992</v>
      </c>
      <c r="N432" t="str">
        <f t="shared" si="12"/>
        <v>Robusta</v>
      </c>
      <c r="O432" t="str">
        <f t="shared" si="13"/>
        <v>Dark</v>
      </c>
      <c r="P432" t="str">
        <f>_xlfn.XLOOKUP(worksheet[[#This Row],[Customer ID]],customers!$A$1:$A$1001,customers!$I$1:$I$1001,0)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
        <v>2920</v>
      </c>
      <c r="H433" s="2" t="str">
        <f>_xlfn.XLOOKUP(C433,customers!$A$1:$A$1001,customers!$G$1:$G$1001,0)</f>
        <v>Ireland</v>
      </c>
      <c r="I433" t="str">
        <f>_xlfn.XLOOKUP(D433,products!$A$1:$A$49,products!$B$1:$B$49,0)</f>
        <v>Exc</v>
      </c>
      <c r="J433" t="str">
        <f>_xlfn.XLOOKUP(worksheet!D433,products!$A$1:$A$49,products!$C$1:$C$49,0)</f>
        <v>D</v>
      </c>
      <c r="K433" s="5">
        <f>_xlfn.XLOOKUP(worksheet!D433,products!$A$1:$A$49,products!$D$1:$D$49,0)</f>
        <v>2.5</v>
      </c>
      <c r="L433" s="6">
        <f>_xlfn.XLOOKUP(worksheet!D433,products!$A$1:$A$49,products!$E$1:$E$49,0)</f>
        <v>27.945</v>
      </c>
      <c r="M433" s="6">
        <f>worksheet!E433*worksheet!L433</f>
        <v>83.835000000000008</v>
      </c>
      <c r="N433" t="str">
        <f t="shared" si="12"/>
        <v>Excelsa</v>
      </c>
      <c r="O433" t="str">
        <f t="shared" si="13"/>
        <v>Dark</v>
      </c>
      <c r="P433" t="str">
        <f>_xlfn.XLOOKUP(worksheet[[#This Row],[Customer ID]],customers!$A$1:$A$1001,customers!$I$1:$I$1001,0)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
        <v>6222</v>
      </c>
      <c r="H434" s="2" t="str">
        <f>_xlfn.XLOOKUP(C434,customers!$A$1:$A$1001,customers!$G$1:$G$1001,0)</f>
        <v>United States</v>
      </c>
      <c r="I434" t="str">
        <f>_xlfn.XLOOKUP(D434,products!$A$1:$A$49,products!$B$1:$B$49,0)</f>
        <v>Ara</v>
      </c>
      <c r="J434" t="str">
        <f>_xlfn.XLOOKUP(worksheet!D434,products!$A$1:$A$49,products!$C$1:$C$49,0)</f>
        <v>M</v>
      </c>
      <c r="K434" s="5">
        <f>_xlfn.XLOOKUP(worksheet!D434,products!$A$1:$A$49,products!$D$1:$D$49,0)</f>
        <v>1</v>
      </c>
      <c r="L434" s="6">
        <f>_xlfn.XLOOKUP(worksheet!D434,products!$A$1:$A$49,products!$E$1:$E$49,0)</f>
        <v>11.25</v>
      </c>
      <c r="M434" s="6">
        <f>worksheet!E434*worksheet!L434</f>
        <v>22.5</v>
      </c>
      <c r="N434" t="str">
        <f t="shared" si="12"/>
        <v>Arabica</v>
      </c>
      <c r="O434" t="str">
        <f t="shared" si="13"/>
        <v>Medium</v>
      </c>
      <c r="P434" t="str">
        <f>_xlfn.XLOOKUP(worksheet[[#This Row],[Customer ID]],customers!$A$1:$A$1001,customers!$I$1:$I$1001,0)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
        <v>2931</v>
      </c>
      <c r="H435" s="2" t="str">
        <f>_xlfn.XLOOKUP(C435,customers!$A$1:$A$1001,customers!$G$1:$G$1001,0)</f>
        <v>United States</v>
      </c>
      <c r="I435" t="str">
        <f>_xlfn.XLOOKUP(D435,products!$A$1:$A$49,products!$B$1:$B$49,0)</f>
        <v>Lib</v>
      </c>
      <c r="J435" t="str">
        <f>_xlfn.XLOOKUP(worksheet!D435,products!$A$1:$A$49,products!$C$1:$C$49,0)</f>
        <v>M</v>
      </c>
      <c r="K435" s="5">
        <f>_xlfn.XLOOKUP(worksheet!D435,products!$A$1:$A$49,products!$D$1:$D$49,0)</f>
        <v>2.5</v>
      </c>
      <c r="L435" s="6">
        <f>_xlfn.XLOOKUP(worksheet!D435,products!$A$1:$A$49,products!$E$1:$E$49,0)</f>
        <v>33.464999999999996</v>
      </c>
      <c r="M435" s="6">
        <f>worksheet!E435*worksheet!L435</f>
        <v>200.78999999999996</v>
      </c>
      <c r="N435" t="str">
        <f t="shared" si="12"/>
        <v>Liberica</v>
      </c>
      <c r="O435" t="str">
        <f t="shared" si="13"/>
        <v>Medium</v>
      </c>
      <c r="P435" t="str">
        <f>_xlfn.XLOOKUP(worksheet[[#This Row],[Customer ID]],customers!$A$1:$A$1001,customers!$I$1:$I$1001,0)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
        <v>6222</v>
      </c>
      <c r="H436" s="2" t="str">
        <f>_xlfn.XLOOKUP(C436,customers!$A$1:$A$1001,customers!$G$1:$G$1001,0)</f>
        <v>United States</v>
      </c>
      <c r="I436" t="str">
        <f>_xlfn.XLOOKUP(D436,products!$A$1:$A$49,products!$B$1:$B$49,0)</f>
        <v>Ara</v>
      </c>
      <c r="J436" t="str">
        <f>_xlfn.XLOOKUP(worksheet!D436,products!$A$1:$A$49,products!$C$1:$C$49,0)</f>
        <v>M</v>
      </c>
      <c r="K436" s="5">
        <f>_xlfn.XLOOKUP(worksheet!D436,products!$A$1:$A$49,products!$D$1:$D$49,0)</f>
        <v>1</v>
      </c>
      <c r="L436" s="6">
        <f>_xlfn.XLOOKUP(worksheet!D436,products!$A$1:$A$49,products!$E$1:$E$49,0)</f>
        <v>11.25</v>
      </c>
      <c r="M436" s="6">
        <f>worksheet!E436*worksheet!L436</f>
        <v>67.5</v>
      </c>
      <c r="N436" t="str">
        <f t="shared" si="12"/>
        <v>Arabica</v>
      </c>
      <c r="O436" t="str">
        <f t="shared" si="13"/>
        <v>Medium</v>
      </c>
      <c r="P436" t="str">
        <f>_xlfn.XLOOKUP(worksheet[[#This Row],[Customer ID]],customers!$A$1:$A$1001,customers!$I$1:$I$1001,0)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
        <v>2942</v>
      </c>
      <c r="H437" s="2" t="str">
        <f>_xlfn.XLOOKUP(C437,customers!$A$1:$A$1001,customers!$G$1:$G$1001,0)</f>
        <v>United States</v>
      </c>
      <c r="I437" t="str">
        <f>_xlfn.XLOOKUP(D437,products!$A$1:$A$49,products!$B$1:$B$49,0)</f>
        <v>Exc</v>
      </c>
      <c r="J437" t="str">
        <f>_xlfn.XLOOKUP(worksheet!D437,products!$A$1:$A$49,products!$C$1:$C$49,0)</f>
        <v>M</v>
      </c>
      <c r="K437" s="5">
        <f>_xlfn.XLOOKUP(worksheet!D437,products!$A$1:$A$49,products!$D$1:$D$49,0)</f>
        <v>0.5</v>
      </c>
      <c r="L437" s="6">
        <f>_xlfn.XLOOKUP(worksheet!D437,products!$A$1:$A$49,products!$E$1:$E$49,0)</f>
        <v>8.25</v>
      </c>
      <c r="M437" s="6">
        <f>worksheet!E437*worksheet!L437</f>
        <v>8.25</v>
      </c>
      <c r="N437" t="str">
        <f t="shared" si="12"/>
        <v>Excelsa</v>
      </c>
      <c r="O437" t="str">
        <f t="shared" si="13"/>
        <v>Medium</v>
      </c>
      <c r="P437" t="str">
        <f>_xlfn.XLOOKUP(worksheet[[#This Row],[Customer ID]],customers!$A$1:$A$1001,customers!$I$1:$I$1001,0)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
        <v>2948</v>
      </c>
      <c r="H438" s="2" t="str">
        <f>_xlfn.XLOOKUP(C438,customers!$A$1:$A$1001,customers!$G$1:$G$1001,0)</f>
        <v>United States</v>
      </c>
      <c r="I438" t="str">
        <f>_xlfn.XLOOKUP(D438,products!$A$1:$A$49,products!$B$1:$B$49,0)</f>
        <v>Lib</v>
      </c>
      <c r="J438" t="str">
        <f>_xlfn.XLOOKUP(worksheet!D438,products!$A$1:$A$49,products!$C$1:$C$49,0)</f>
        <v>L</v>
      </c>
      <c r="K438" s="5">
        <f>_xlfn.XLOOKUP(worksheet!D438,products!$A$1:$A$49,products!$D$1:$D$49,0)</f>
        <v>0.2</v>
      </c>
      <c r="L438" s="6">
        <f>_xlfn.XLOOKUP(worksheet!D438,products!$A$1:$A$49,products!$E$1:$E$49,0)</f>
        <v>4.7549999999999999</v>
      </c>
      <c r="M438" s="6">
        <f>worksheet!E438*worksheet!L438</f>
        <v>9.51</v>
      </c>
      <c r="N438" t="str">
        <f t="shared" si="12"/>
        <v>Liberica</v>
      </c>
      <c r="O438" t="str">
        <f t="shared" si="13"/>
        <v>Light</v>
      </c>
      <c r="P438" t="str">
        <f>_xlfn.XLOOKUP(worksheet[[#This Row],[Customer ID]],customers!$A$1:$A$1001,customers!$I$1:$I$1001,0)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
        <v>6222</v>
      </c>
      <c r="H439" s="2" t="str">
        <f>_xlfn.XLOOKUP(C439,customers!$A$1:$A$1001,customers!$G$1:$G$1001,0)</f>
        <v>United States</v>
      </c>
      <c r="I439" t="str">
        <f>_xlfn.XLOOKUP(D439,products!$A$1:$A$49,products!$B$1:$B$49,0)</f>
        <v>Lib</v>
      </c>
      <c r="J439" t="str">
        <f>_xlfn.XLOOKUP(worksheet!D439,products!$A$1:$A$49,products!$C$1:$C$49,0)</f>
        <v>D</v>
      </c>
      <c r="K439" s="5">
        <f>_xlfn.XLOOKUP(worksheet!D439,products!$A$1:$A$49,products!$D$1:$D$49,0)</f>
        <v>2.5</v>
      </c>
      <c r="L439" s="6">
        <f>_xlfn.XLOOKUP(worksheet!D439,products!$A$1:$A$49,products!$E$1:$E$49,0)</f>
        <v>29.784999999999997</v>
      </c>
      <c r="M439" s="6">
        <f>worksheet!E439*worksheet!L439</f>
        <v>29.784999999999997</v>
      </c>
      <c r="N439" t="str">
        <f t="shared" si="12"/>
        <v>Liberica</v>
      </c>
      <c r="O439" t="str">
        <f t="shared" si="13"/>
        <v>Dark</v>
      </c>
      <c r="P439" t="str">
        <f>_xlfn.XLOOKUP(worksheet[[#This Row],[Customer ID]],customers!$A$1:$A$1001,customers!$I$1:$I$1001,0)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
        <v>3044</v>
      </c>
      <c r="H440" s="2" t="str">
        <f>_xlfn.XLOOKUP(C440,customers!$A$1:$A$1001,customers!$G$1:$G$1001,0)</f>
        <v>United States</v>
      </c>
      <c r="I440" t="str">
        <f>_xlfn.XLOOKUP(D440,products!$A$1:$A$49,products!$B$1:$B$49,0)</f>
        <v>Lib</v>
      </c>
      <c r="J440" t="str">
        <f>_xlfn.XLOOKUP(worksheet!D440,products!$A$1:$A$49,products!$C$1:$C$49,0)</f>
        <v>D</v>
      </c>
      <c r="K440" s="5">
        <f>_xlfn.XLOOKUP(worksheet!D440,products!$A$1:$A$49,products!$D$1:$D$49,0)</f>
        <v>0.5</v>
      </c>
      <c r="L440" s="6">
        <f>_xlfn.XLOOKUP(worksheet!D440,products!$A$1:$A$49,products!$E$1:$E$49,0)</f>
        <v>7.77</v>
      </c>
      <c r="M440" s="6">
        <f>worksheet!E440*worksheet!L440</f>
        <v>15.54</v>
      </c>
      <c r="N440" t="str">
        <f t="shared" si="12"/>
        <v>Liberica</v>
      </c>
      <c r="O440" t="str">
        <f t="shared" si="13"/>
        <v>Dark</v>
      </c>
      <c r="P440" t="str">
        <f>_xlfn.XLOOKUP(worksheet[[#This Row],[Customer ID]],customers!$A$1:$A$1001,customers!$I$1:$I$1001,0)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
        <v>2965</v>
      </c>
      <c r="H441" s="2" t="str">
        <f>_xlfn.XLOOKUP(C441,customers!$A$1:$A$1001,customers!$G$1:$G$1001,0)</f>
        <v>Ireland</v>
      </c>
      <c r="I441" t="str">
        <f>_xlfn.XLOOKUP(D441,products!$A$1:$A$49,products!$B$1:$B$49,0)</f>
        <v>Exc</v>
      </c>
      <c r="J441" t="str">
        <f>_xlfn.XLOOKUP(worksheet!D441,products!$A$1:$A$49,products!$C$1:$C$49,0)</f>
        <v>L</v>
      </c>
      <c r="K441" s="5">
        <f>_xlfn.XLOOKUP(worksheet!D441,products!$A$1:$A$49,products!$D$1:$D$49,0)</f>
        <v>0.5</v>
      </c>
      <c r="L441" s="6">
        <f>_xlfn.XLOOKUP(worksheet!D441,products!$A$1:$A$49,products!$E$1:$E$49,0)</f>
        <v>8.91</v>
      </c>
      <c r="M441" s="6">
        <f>worksheet!E441*worksheet!L441</f>
        <v>35.64</v>
      </c>
      <c r="N441" t="str">
        <f t="shared" si="12"/>
        <v>Excelsa</v>
      </c>
      <c r="O441" t="str">
        <f t="shared" si="13"/>
        <v>Light</v>
      </c>
      <c r="P441" t="str">
        <f>_xlfn.XLOOKUP(worksheet[[#This Row],[Customer ID]],customers!$A$1:$A$1001,customers!$I$1:$I$1001,0)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
        <v>2971</v>
      </c>
      <c r="H442" s="2" t="str">
        <f>_xlfn.XLOOKUP(C442,customers!$A$1:$A$1001,customers!$G$1:$G$1001,0)</f>
        <v>United States</v>
      </c>
      <c r="I442" t="str">
        <f>_xlfn.XLOOKUP(D442,products!$A$1:$A$49,products!$B$1:$B$49,0)</f>
        <v>Ara</v>
      </c>
      <c r="J442" t="str">
        <f>_xlfn.XLOOKUP(worksheet!D442,products!$A$1:$A$49,products!$C$1:$C$49,0)</f>
        <v>M</v>
      </c>
      <c r="K442" s="5">
        <f>_xlfn.XLOOKUP(worksheet!D442,products!$A$1:$A$49,products!$D$1:$D$49,0)</f>
        <v>2.5</v>
      </c>
      <c r="L442" s="6">
        <f>_xlfn.XLOOKUP(worksheet!D442,products!$A$1:$A$49,products!$E$1:$E$49,0)</f>
        <v>25.874999999999996</v>
      </c>
      <c r="M442" s="6">
        <f>worksheet!E442*worksheet!L442</f>
        <v>103.49999999999999</v>
      </c>
      <c r="N442" t="str">
        <f t="shared" si="12"/>
        <v>Arabica</v>
      </c>
      <c r="O442" t="str">
        <f t="shared" si="13"/>
        <v>Medium</v>
      </c>
      <c r="P442" t="str">
        <f>_xlfn.XLOOKUP(worksheet[[#This Row],[Customer ID]],customers!$A$1:$A$1001,customers!$I$1:$I$1001,0)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
        <v>2977</v>
      </c>
      <c r="H443" s="2" t="str">
        <f>_xlfn.XLOOKUP(C443,customers!$A$1:$A$1001,customers!$G$1:$G$1001,0)</f>
        <v>Ireland</v>
      </c>
      <c r="I443" t="str">
        <f>_xlfn.XLOOKUP(D443,products!$A$1:$A$49,products!$B$1:$B$49,0)</f>
        <v>Exc</v>
      </c>
      <c r="J443" t="str">
        <f>_xlfn.XLOOKUP(worksheet!D443,products!$A$1:$A$49,products!$C$1:$C$49,0)</f>
        <v>D</v>
      </c>
      <c r="K443" s="5">
        <f>_xlfn.XLOOKUP(worksheet!D443,products!$A$1:$A$49,products!$D$1:$D$49,0)</f>
        <v>1</v>
      </c>
      <c r="L443" s="6">
        <f>_xlfn.XLOOKUP(worksheet!D443,products!$A$1:$A$49,products!$E$1:$E$49,0)</f>
        <v>12.15</v>
      </c>
      <c r="M443" s="6">
        <f>worksheet!E443*worksheet!L443</f>
        <v>36.450000000000003</v>
      </c>
      <c r="N443" t="str">
        <f t="shared" si="12"/>
        <v>Excelsa</v>
      </c>
      <c r="O443" t="str">
        <f t="shared" si="13"/>
        <v>Dark</v>
      </c>
      <c r="P443" t="str">
        <f>_xlfn.XLOOKUP(worksheet[[#This Row],[Customer ID]],customers!$A$1:$A$1001,customers!$I$1:$I$1001,0)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
        <v>2983</v>
      </c>
      <c r="H444" s="2" t="str">
        <f>_xlfn.XLOOKUP(C444,customers!$A$1:$A$1001,customers!$G$1:$G$1001,0)</f>
        <v>United States</v>
      </c>
      <c r="I444" t="str">
        <f>_xlfn.XLOOKUP(D444,products!$A$1:$A$49,products!$B$1:$B$49,0)</f>
        <v>Rob</v>
      </c>
      <c r="J444" t="str">
        <f>_xlfn.XLOOKUP(worksheet!D444,products!$A$1:$A$49,products!$C$1:$C$49,0)</f>
        <v>L</v>
      </c>
      <c r="K444" s="5">
        <f>_xlfn.XLOOKUP(worksheet!D444,products!$A$1:$A$49,products!$D$1:$D$49,0)</f>
        <v>0.5</v>
      </c>
      <c r="L444" s="6">
        <f>_xlfn.XLOOKUP(worksheet!D444,products!$A$1:$A$49,products!$E$1:$E$49,0)</f>
        <v>7.169999999999999</v>
      </c>
      <c r="M444" s="6">
        <f>worksheet!E444*worksheet!L444</f>
        <v>35.849999999999994</v>
      </c>
      <c r="N444" t="str">
        <f t="shared" si="12"/>
        <v>Robusta</v>
      </c>
      <c r="O444" t="str">
        <f t="shared" si="13"/>
        <v>Light</v>
      </c>
      <c r="P444" t="str">
        <f>_xlfn.XLOOKUP(worksheet[[#This Row],[Customer ID]],customers!$A$1:$A$1001,customers!$I$1:$I$1001,0)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
        <v>2989</v>
      </c>
      <c r="H445" s="2" t="str">
        <f>_xlfn.XLOOKUP(C445,customers!$A$1:$A$1001,customers!$G$1:$G$1001,0)</f>
        <v>Ireland</v>
      </c>
      <c r="I445" t="str">
        <f>_xlfn.XLOOKUP(D445,products!$A$1:$A$49,products!$B$1:$B$49,0)</f>
        <v>Exc</v>
      </c>
      <c r="J445" t="str">
        <f>_xlfn.XLOOKUP(worksheet!D445,products!$A$1:$A$49,products!$C$1:$C$49,0)</f>
        <v>L</v>
      </c>
      <c r="K445" s="5">
        <f>_xlfn.XLOOKUP(worksheet!D445,products!$A$1:$A$49,products!$D$1:$D$49,0)</f>
        <v>0.2</v>
      </c>
      <c r="L445" s="6">
        <f>_xlfn.XLOOKUP(worksheet!D445,products!$A$1:$A$49,products!$E$1:$E$49,0)</f>
        <v>4.4550000000000001</v>
      </c>
      <c r="M445" s="6">
        <f>worksheet!E445*worksheet!L445</f>
        <v>22.274999999999999</v>
      </c>
      <c r="N445" t="str">
        <f t="shared" si="12"/>
        <v>Excelsa</v>
      </c>
      <c r="O445" t="str">
        <f t="shared" si="13"/>
        <v>Light</v>
      </c>
      <c r="P445" t="str">
        <f>_xlfn.XLOOKUP(worksheet[[#This Row],[Customer ID]],customers!$A$1:$A$1001,customers!$I$1:$I$1001,0)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
        <v>2995</v>
      </c>
      <c r="H446" s="2" t="str">
        <f>_xlfn.XLOOKUP(C446,customers!$A$1:$A$1001,customers!$G$1:$G$1001,0)</f>
        <v>Ireland</v>
      </c>
      <c r="I446" t="str">
        <f>_xlfn.XLOOKUP(D446,products!$A$1:$A$49,products!$B$1:$B$49,0)</f>
        <v>Exc</v>
      </c>
      <c r="J446" t="str">
        <f>_xlfn.XLOOKUP(worksheet!D446,products!$A$1:$A$49,products!$C$1:$C$49,0)</f>
        <v>M</v>
      </c>
      <c r="K446" s="5">
        <f>_xlfn.XLOOKUP(worksheet!D446,products!$A$1:$A$49,products!$D$1:$D$49,0)</f>
        <v>0.2</v>
      </c>
      <c r="L446" s="6">
        <f>_xlfn.XLOOKUP(worksheet!D446,products!$A$1:$A$49,products!$E$1:$E$49,0)</f>
        <v>4.125</v>
      </c>
      <c r="M446" s="6">
        <f>worksheet!E446*worksheet!L446</f>
        <v>24.75</v>
      </c>
      <c r="N446" t="str">
        <f t="shared" si="12"/>
        <v>Excelsa</v>
      </c>
      <c r="O446" t="str">
        <f t="shared" si="13"/>
        <v>Medium</v>
      </c>
      <c r="P446" t="str">
        <f>_xlfn.XLOOKUP(worksheet[[#This Row],[Customer ID]],customers!$A$1:$A$1001,customers!$I$1:$I$1001,0)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
        <v>3002</v>
      </c>
      <c r="H447" s="2" t="str">
        <f>_xlfn.XLOOKUP(C447,customers!$A$1:$A$1001,customers!$G$1:$G$1001,0)</f>
        <v>Ireland</v>
      </c>
      <c r="I447" t="str">
        <f>_xlfn.XLOOKUP(D447,products!$A$1:$A$49,products!$B$1:$B$49,0)</f>
        <v>Lib</v>
      </c>
      <c r="J447" t="str">
        <f>_xlfn.XLOOKUP(worksheet!D447,products!$A$1:$A$49,products!$C$1:$C$49,0)</f>
        <v>M</v>
      </c>
      <c r="K447" s="5">
        <f>_xlfn.XLOOKUP(worksheet!D447,products!$A$1:$A$49,products!$D$1:$D$49,0)</f>
        <v>2.5</v>
      </c>
      <c r="L447" s="6">
        <f>_xlfn.XLOOKUP(worksheet!D447,products!$A$1:$A$49,products!$E$1:$E$49,0)</f>
        <v>33.464999999999996</v>
      </c>
      <c r="M447" s="6">
        <f>worksheet!E447*worksheet!L447</f>
        <v>66.929999999999993</v>
      </c>
      <c r="N447" t="str">
        <f t="shared" si="12"/>
        <v>Liberica</v>
      </c>
      <c r="O447" t="str">
        <f t="shared" si="13"/>
        <v>Medium</v>
      </c>
      <c r="P447" t="str">
        <f>_xlfn.XLOOKUP(worksheet[[#This Row],[Customer ID]],customers!$A$1:$A$1001,customers!$I$1:$I$1001,0)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
        <v>3007</v>
      </c>
      <c r="H448" s="2" t="str">
        <f>_xlfn.XLOOKUP(C448,customers!$A$1:$A$1001,customers!$G$1:$G$1001,0)</f>
        <v>United Kingdom</v>
      </c>
      <c r="I448" t="str">
        <f>_xlfn.XLOOKUP(D448,products!$A$1:$A$49,products!$B$1:$B$49,0)</f>
        <v>Lib</v>
      </c>
      <c r="J448" t="str">
        <f>_xlfn.XLOOKUP(worksheet!D448,products!$A$1:$A$49,products!$C$1:$C$49,0)</f>
        <v>M</v>
      </c>
      <c r="K448" s="5">
        <f>_xlfn.XLOOKUP(worksheet!D448,products!$A$1:$A$49,products!$D$1:$D$49,0)</f>
        <v>0.5</v>
      </c>
      <c r="L448" s="6">
        <f>_xlfn.XLOOKUP(worksheet!D448,products!$A$1:$A$49,products!$E$1:$E$49,0)</f>
        <v>8.73</v>
      </c>
      <c r="M448" s="6">
        <f>worksheet!E448*worksheet!L448</f>
        <v>8.73</v>
      </c>
      <c r="N448" t="str">
        <f t="shared" si="12"/>
        <v>Liberica</v>
      </c>
      <c r="O448" t="str">
        <f t="shared" si="13"/>
        <v>Medium</v>
      </c>
      <c r="P448" t="str">
        <f>_xlfn.XLOOKUP(worksheet[[#This Row],[Customer ID]],customers!$A$1:$A$1001,customers!$I$1:$I$1001,0)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
        <v>3013</v>
      </c>
      <c r="H449" s="2" t="str">
        <f>_xlfn.XLOOKUP(C449,customers!$A$1:$A$1001,customers!$G$1:$G$1001,0)</f>
        <v>United States</v>
      </c>
      <c r="I449" t="str">
        <f>_xlfn.XLOOKUP(D449,products!$A$1:$A$49,products!$B$1:$B$49,0)</f>
        <v>Rob</v>
      </c>
      <c r="J449" t="str">
        <f>_xlfn.XLOOKUP(worksheet!D449,products!$A$1:$A$49,products!$C$1:$C$49,0)</f>
        <v>M</v>
      </c>
      <c r="K449" s="5">
        <f>_xlfn.XLOOKUP(worksheet!D449,products!$A$1:$A$49,products!$D$1:$D$49,0)</f>
        <v>0.5</v>
      </c>
      <c r="L449" s="6">
        <f>_xlfn.XLOOKUP(worksheet!D449,products!$A$1:$A$49,products!$E$1:$E$49,0)</f>
        <v>5.97</v>
      </c>
      <c r="M449" s="6">
        <f>worksheet!E449*worksheet!L449</f>
        <v>17.91</v>
      </c>
      <c r="N449" t="str">
        <f t="shared" si="12"/>
        <v>Robusta</v>
      </c>
      <c r="O449" t="str">
        <f t="shared" si="13"/>
        <v>Medium</v>
      </c>
      <c r="P449" t="str">
        <f>_xlfn.XLOOKUP(worksheet[[#This Row],[Customer ID]],customers!$A$1:$A$1001,customers!$I$1:$I$1001,0)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
        <v>3018</v>
      </c>
      <c r="H450" s="2" t="str">
        <f>_xlfn.XLOOKUP(C450,customers!$A$1:$A$1001,customers!$G$1:$G$1001,0)</f>
        <v>Ireland</v>
      </c>
      <c r="I450" t="str">
        <f>_xlfn.XLOOKUP(D450,products!$A$1:$A$49,products!$B$1:$B$49,0)</f>
        <v>Rob</v>
      </c>
      <c r="J450" t="str">
        <f>_xlfn.XLOOKUP(worksheet!D450,products!$A$1:$A$49,products!$C$1:$C$49,0)</f>
        <v>L</v>
      </c>
      <c r="K450" s="5">
        <f>_xlfn.XLOOKUP(worksheet!D450,products!$A$1:$A$49,products!$D$1:$D$49,0)</f>
        <v>0.5</v>
      </c>
      <c r="L450" s="6">
        <f>_xlfn.XLOOKUP(worksheet!D450,products!$A$1:$A$49,products!$E$1:$E$49,0)</f>
        <v>7.169999999999999</v>
      </c>
      <c r="M450" s="6">
        <f>worksheet!E450*worksheet!L450</f>
        <v>7.169999999999999</v>
      </c>
      <c r="N450" t="str">
        <f t="shared" si="12"/>
        <v>Robusta</v>
      </c>
      <c r="O450" t="str">
        <f t="shared" si="13"/>
        <v>Light</v>
      </c>
      <c r="P450" t="str">
        <f>_xlfn.XLOOKUP(worksheet[[#This Row],[Customer ID]],customers!$A$1:$A$1001,customers!$I$1:$I$1001,0)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
        <v>3024</v>
      </c>
      <c r="H451" s="2" t="str">
        <f>_xlfn.XLOOKUP(C451,customers!$A$1:$A$1001,customers!$G$1:$G$1001,0)</f>
        <v>United States</v>
      </c>
      <c r="I451" t="str">
        <f>_xlfn.XLOOKUP(D451,products!$A$1:$A$49,products!$B$1:$B$49,0)</f>
        <v>Rob</v>
      </c>
      <c r="J451" t="str">
        <f>_xlfn.XLOOKUP(worksheet!D451,products!$A$1:$A$49,products!$C$1:$C$49,0)</f>
        <v>D</v>
      </c>
      <c r="K451" s="5">
        <f>_xlfn.XLOOKUP(worksheet!D451,products!$A$1:$A$49,products!$D$1:$D$49,0)</f>
        <v>0.2</v>
      </c>
      <c r="L451" s="6">
        <f>_xlfn.XLOOKUP(worksheet!D451,products!$A$1:$A$49,products!$E$1:$E$49,0)</f>
        <v>2.6849999999999996</v>
      </c>
      <c r="M451" s="6">
        <f>worksheet!E451*worksheet!L451</f>
        <v>5.3699999999999992</v>
      </c>
      <c r="N451" t="str">
        <f t="shared" ref="N451:N514" si="14">IF(I451="Rob","Robusta",IF(I451="Exc","Excelsa",IF(I451="Ara","Arabica",IF(I451="Lib","Liberica",""))))</f>
        <v>Robusta</v>
      </c>
      <c r="O451" t="str">
        <f t="shared" ref="O451:O514" si="15">IF(J451="M","Medium",IF(J451="L","Light",IF(J451="D","Dark","")))</f>
        <v>Dark</v>
      </c>
      <c r="P451" t="str">
        <f>_xlfn.XLOOKUP(worksheet[[#This Row],[Customer ID]],customers!$A$1:$A$1001,customers!$I$1:$I$1001,0)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
        <v>3030</v>
      </c>
      <c r="H452" s="2" t="str">
        <f>_xlfn.XLOOKUP(C452,customers!$A$1:$A$1001,customers!$G$1:$G$1001,0)</f>
        <v>Ireland</v>
      </c>
      <c r="I452" t="str">
        <f>_xlfn.XLOOKUP(D452,products!$A$1:$A$49,products!$B$1:$B$49,0)</f>
        <v>Lib</v>
      </c>
      <c r="J452" t="str">
        <f>_xlfn.XLOOKUP(worksheet!D452,products!$A$1:$A$49,products!$C$1:$C$49,0)</f>
        <v>L</v>
      </c>
      <c r="K452" s="5">
        <f>_xlfn.XLOOKUP(worksheet!D452,products!$A$1:$A$49,products!$D$1:$D$49,0)</f>
        <v>0.2</v>
      </c>
      <c r="L452" s="6">
        <f>_xlfn.XLOOKUP(worksheet!D452,products!$A$1:$A$49,products!$E$1:$E$49,0)</f>
        <v>4.7549999999999999</v>
      </c>
      <c r="M452" s="6">
        <f>worksheet!E452*worksheet!L452</f>
        <v>23.774999999999999</v>
      </c>
      <c r="N452" t="str">
        <f t="shared" si="14"/>
        <v>Liberica</v>
      </c>
      <c r="O452" t="str">
        <f t="shared" si="15"/>
        <v>Light</v>
      </c>
      <c r="P452" t="str">
        <f>_xlfn.XLOOKUP(worksheet[[#This Row],[Customer ID]],customers!$A$1:$A$1001,customers!$I$1:$I$1001,0)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
        <v>3038</v>
      </c>
      <c r="H453" s="2" t="str">
        <f>_xlfn.XLOOKUP(C453,customers!$A$1:$A$1001,customers!$G$1:$G$1001,0)</f>
        <v>United States</v>
      </c>
      <c r="I453" t="str">
        <f>_xlfn.XLOOKUP(D453,products!$A$1:$A$49,products!$B$1:$B$49,0)</f>
        <v>Rob</v>
      </c>
      <c r="J453" t="str">
        <f>_xlfn.XLOOKUP(worksheet!D453,products!$A$1:$A$49,products!$C$1:$C$49,0)</f>
        <v>D</v>
      </c>
      <c r="K453" s="5">
        <f>_xlfn.XLOOKUP(worksheet!D453,products!$A$1:$A$49,products!$D$1:$D$49,0)</f>
        <v>2.5</v>
      </c>
      <c r="L453" s="6">
        <f>_xlfn.XLOOKUP(worksheet!D453,products!$A$1:$A$49,products!$E$1:$E$49,0)</f>
        <v>20.584999999999997</v>
      </c>
      <c r="M453" s="6">
        <f>worksheet!E453*worksheet!L453</f>
        <v>41.169999999999995</v>
      </c>
      <c r="N453" t="str">
        <f t="shared" si="14"/>
        <v>Robusta</v>
      </c>
      <c r="O453" t="str">
        <f t="shared" si="15"/>
        <v>Dark</v>
      </c>
      <c r="P453" t="str">
        <f>_xlfn.XLOOKUP(worksheet[[#This Row],[Customer ID]],customers!$A$1:$A$1001,customers!$I$1:$I$1001,0)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
        <v>3044</v>
      </c>
      <c r="H454" s="2" t="str">
        <f>_xlfn.XLOOKUP(C454,customers!$A$1:$A$1001,customers!$G$1:$G$1001,0)</f>
        <v>United States</v>
      </c>
      <c r="I454" t="str">
        <f>_xlfn.XLOOKUP(D454,products!$A$1:$A$49,products!$B$1:$B$49,0)</f>
        <v>Ara</v>
      </c>
      <c r="J454" t="str">
        <f>_xlfn.XLOOKUP(worksheet!D454,products!$A$1:$A$49,products!$C$1:$C$49,0)</f>
        <v>L</v>
      </c>
      <c r="K454" s="5">
        <f>_xlfn.XLOOKUP(worksheet!D454,products!$A$1:$A$49,products!$D$1:$D$49,0)</f>
        <v>0.2</v>
      </c>
      <c r="L454" s="6">
        <f>_xlfn.XLOOKUP(worksheet!D454,products!$A$1:$A$49,products!$E$1:$E$49,0)</f>
        <v>3.8849999999999998</v>
      </c>
      <c r="M454" s="6">
        <f>worksheet!E454*worksheet!L454</f>
        <v>11.654999999999999</v>
      </c>
      <c r="N454" t="str">
        <f t="shared" si="14"/>
        <v>Arabica</v>
      </c>
      <c r="O454" t="str">
        <f t="shared" si="15"/>
        <v>Light</v>
      </c>
      <c r="P454" t="str">
        <f>_xlfn.XLOOKUP(worksheet[[#This Row],[Customer ID]],customers!$A$1:$A$1001,customers!$I$1:$I$1001,0)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
        <v>3050</v>
      </c>
      <c r="H455" s="2" t="str">
        <f>_xlfn.XLOOKUP(C455,customers!$A$1:$A$1001,customers!$G$1:$G$1001,0)</f>
        <v>United States</v>
      </c>
      <c r="I455" t="str">
        <f>_xlfn.XLOOKUP(D455,products!$A$1:$A$49,products!$B$1:$B$49,0)</f>
        <v>Lib</v>
      </c>
      <c r="J455" t="str">
        <f>_xlfn.XLOOKUP(worksheet!D455,products!$A$1:$A$49,products!$C$1:$C$49,0)</f>
        <v>L</v>
      </c>
      <c r="K455" s="5">
        <f>_xlfn.XLOOKUP(worksheet!D455,products!$A$1:$A$49,products!$D$1:$D$49,0)</f>
        <v>0.5</v>
      </c>
      <c r="L455" s="6">
        <f>_xlfn.XLOOKUP(worksheet!D455,products!$A$1:$A$49,products!$E$1:$E$49,0)</f>
        <v>9.51</v>
      </c>
      <c r="M455" s="6">
        <f>worksheet!E455*worksheet!L455</f>
        <v>38.04</v>
      </c>
      <c r="N455" t="str">
        <f t="shared" si="14"/>
        <v>Liberica</v>
      </c>
      <c r="O455" t="str">
        <f t="shared" si="15"/>
        <v>Light</v>
      </c>
      <c r="P455" t="str">
        <f>_xlfn.XLOOKUP(worksheet[[#This Row],[Customer ID]],customers!$A$1:$A$1001,customers!$I$1:$I$1001,0)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
        <v>3056</v>
      </c>
      <c r="H456" s="2" t="str">
        <f>_xlfn.XLOOKUP(C456,customers!$A$1:$A$1001,customers!$G$1:$G$1001,0)</f>
        <v>Ireland</v>
      </c>
      <c r="I456" t="str">
        <f>_xlfn.XLOOKUP(D456,products!$A$1:$A$49,products!$B$1:$B$49,0)</f>
        <v>Rob</v>
      </c>
      <c r="J456" t="str">
        <f>_xlfn.XLOOKUP(worksheet!D456,products!$A$1:$A$49,products!$C$1:$C$49,0)</f>
        <v>D</v>
      </c>
      <c r="K456" s="5">
        <f>_xlfn.XLOOKUP(worksheet!D456,products!$A$1:$A$49,products!$D$1:$D$49,0)</f>
        <v>2.5</v>
      </c>
      <c r="L456" s="6">
        <f>_xlfn.XLOOKUP(worksheet!D456,products!$A$1:$A$49,products!$E$1:$E$49,0)</f>
        <v>20.584999999999997</v>
      </c>
      <c r="M456" s="6">
        <f>worksheet!E456*worksheet!L456</f>
        <v>82.339999999999989</v>
      </c>
      <c r="N456" t="str">
        <f t="shared" si="14"/>
        <v>Robusta</v>
      </c>
      <c r="O456" t="str">
        <f t="shared" si="15"/>
        <v>Dark</v>
      </c>
      <c r="P456" t="str">
        <f>_xlfn.XLOOKUP(worksheet[[#This Row],[Customer ID]],customers!$A$1:$A$1001,customers!$I$1:$I$1001,0)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
        <v>3061</v>
      </c>
      <c r="H457" s="2" t="str">
        <f>_xlfn.XLOOKUP(C457,customers!$A$1:$A$1001,customers!$G$1:$G$1001,0)</f>
        <v>Ireland</v>
      </c>
      <c r="I457" t="str">
        <f>_xlfn.XLOOKUP(D457,products!$A$1:$A$49,products!$B$1:$B$49,0)</f>
        <v>Lib</v>
      </c>
      <c r="J457" t="str">
        <f>_xlfn.XLOOKUP(worksheet!D457,products!$A$1:$A$49,products!$C$1:$C$49,0)</f>
        <v>L</v>
      </c>
      <c r="K457" s="5">
        <f>_xlfn.XLOOKUP(worksheet!D457,products!$A$1:$A$49,products!$D$1:$D$49,0)</f>
        <v>0.2</v>
      </c>
      <c r="L457" s="6">
        <f>_xlfn.XLOOKUP(worksheet!D457,products!$A$1:$A$49,products!$E$1:$E$49,0)</f>
        <v>4.7549999999999999</v>
      </c>
      <c r="M457" s="6">
        <f>worksheet!E457*worksheet!L457</f>
        <v>9.51</v>
      </c>
      <c r="N457" t="str">
        <f t="shared" si="14"/>
        <v>Liberica</v>
      </c>
      <c r="O457" t="str">
        <f t="shared" si="15"/>
        <v>Light</v>
      </c>
      <c r="P457" t="str">
        <f>_xlfn.XLOOKUP(worksheet[[#This Row],[Customer ID]],customers!$A$1:$A$1001,customers!$I$1:$I$1001,0)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
        <v>3067</v>
      </c>
      <c r="H458" s="2" t="str">
        <f>_xlfn.XLOOKUP(C458,customers!$A$1:$A$1001,customers!$G$1:$G$1001,0)</f>
        <v>United Kingdom</v>
      </c>
      <c r="I458" t="str">
        <f>_xlfn.XLOOKUP(D458,products!$A$1:$A$49,products!$B$1:$B$49,0)</f>
        <v>Rob</v>
      </c>
      <c r="J458" t="str">
        <f>_xlfn.XLOOKUP(worksheet!D458,products!$A$1:$A$49,products!$C$1:$C$49,0)</f>
        <v>D</v>
      </c>
      <c r="K458" s="5">
        <f>_xlfn.XLOOKUP(worksheet!D458,products!$A$1:$A$49,products!$D$1:$D$49,0)</f>
        <v>2.5</v>
      </c>
      <c r="L458" s="6">
        <f>_xlfn.XLOOKUP(worksheet!D458,products!$A$1:$A$49,products!$E$1:$E$49,0)</f>
        <v>20.584999999999997</v>
      </c>
      <c r="M458" s="6">
        <f>worksheet!E458*worksheet!L458</f>
        <v>41.169999999999995</v>
      </c>
      <c r="N458" t="str">
        <f t="shared" si="14"/>
        <v>Robusta</v>
      </c>
      <c r="O458" t="str">
        <f t="shared" si="15"/>
        <v>Dark</v>
      </c>
      <c r="P458" t="str">
        <f>_xlfn.XLOOKUP(worksheet[[#This Row],[Customer ID]],customers!$A$1:$A$1001,customers!$I$1:$I$1001,0)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
        <v>3073</v>
      </c>
      <c r="H459" s="2" t="str">
        <f>_xlfn.XLOOKUP(C459,customers!$A$1:$A$1001,customers!$G$1:$G$1001,0)</f>
        <v>United States</v>
      </c>
      <c r="I459" t="str">
        <f>_xlfn.XLOOKUP(D459,products!$A$1:$A$49,products!$B$1:$B$49,0)</f>
        <v>Lib</v>
      </c>
      <c r="J459" t="str">
        <f>_xlfn.XLOOKUP(worksheet!D459,products!$A$1:$A$49,products!$C$1:$C$49,0)</f>
        <v>L</v>
      </c>
      <c r="K459" s="5">
        <f>_xlfn.XLOOKUP(worksheet!D459,products!$A$1:$A$49,products!$D$1:$D$49,0)</f>
        <v>0.5</v>
      </c>
      <c r="L459" s="6">
        <f>_xlfn.XLOOKUP(worksheet!D459,products!$A$1:$A$49,products!$E$1:$E$49,0)</f>
        <v>9.51</v>
      </c>
      <c r="M459" s="6">
        <f>worksheet!E459*worksheet!L459</f>
        <v>47.55</v>
      </c>
      <c r="N459" t="str">
        <f t="shared" si="14"/>
        <v>Liberica</v>
      </c>
      <c r="O459" t="str">
        <f t="shared" si="15"/>
        <v>Light</v>
      </c>
      <c r="P459" t="str">
        <f>_xlfn.XLOOKUP(worksheet[[#This Row],[Customer ID]],customers!$A$1:$A$1001,customers!$I$1:$I$1001,0)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
        <v>3079</v>
      </c>
      <c r="H460" s="2" t="str">
        <f>_xlfn.XLOOKUP(C460,customers!$A$1:$A$1001,customers!$G$1:$G$1001,0)</f>
        <v>United States</v>
      </c>
      <c r="I460" t="str">
        <f>_xlfn.XLOOKUP(D460,products!$A$1:$A$49,products!$B$1:$B$49,0)</f>
        <v>Ara</v>
      </c>
      <c r="J460" t="str">
        <f>_xlfn.XLOOKUP(worksheet!D460,products!$A$1:$A$49,products!$C$1:$C$49,0)</f>
        <v>M</v>
      </c>
      <c r="K460" s="5">
        <f>_xlfn.XLOOKUP(worksheet!D460,products!$A$1:$A$49,products!$D$1:$D$49,0)</f>
        <v>1</v>
      </c>
      <c r="L460" s="6">
        <f>_xlfn.XLOOKUP(worksheet!D460,products!$A$1:$A$49,products!$E$1:$E$49,0)</f>
        <v>11.25</v>
      </c>
      <c r="M460" s="6">
        <f>worksheet!E460*worksheet!L460</f>
        <v>45</v>
      </c>
      <c r="N460" t="str">
        <f t="shared" si="14"/>
        <v>Arabica</v>
      </c>
      <c r="O460" t="str">
        <f t="shared" si="15"/>
        <v>Medium</v>
      </c>
      <c r="P460" t="str">
        <f>_xlfn.XLOOKUP(worksheet[[#This Row],[Customer ID]],customers!$A$1:$A$1001,customers!$I$1:$I$1001,0)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
        <v>3085</v>
      </c>
      <c r="H461" s="2" t="str">
        <f>_xlfn.XLOOKUP(C461,customers!$A$1:$A$1001,customers!$G$1:$G$1001,0)</f>
        <v>United States</v>
      </c>
      <c r="I461" t="str">
        <f>_xlfn.XLOOKUP(D461,products!$A$1:$A$49,products!$B$1:$B$49,0)</f>
        <v>Lib</v>
      </c>
      <c r="J461" t="str">
        <f>_xlfn.XLOOKUP(worksheet!D461,products!$A$1:$A$49,products!$C$1:$C$49,0)</f>
        <v>L</v>
      </c>
      <c r="K461" s="5">
        <f>_xlfn.XLOOKUP(worksheet!D461,products!$A$1:$A$49,products!$D$1:$D$49,0)</f>
        <v>0.2</v>
      </c>
      <c r="L461" s="6">
        <f>_xlfn.XLOOKUP(worksheet!D461,products!$A$1:$A$49,products!$E$1:$E$49,0)</f>
        <v>4.7549999999999999</v>
      </c>
      <c r="M461" s="6">
        <f>worksheet!E461*worksheet!L461</f>
        <v>23.774999999999999</v>
      </c>
      <c r="N461" t="str">
        <f t="shared" si="14"/>
        <v>Liberica</v>
      </c>
      <c r="O461" t="str">
        <f t="shared" si="15"/>
        <v>Light</v>
      </c>
      <c r="P461" t="str">
        <f>_xlfn.XLOOKUP(worksheet[[#This Row],[Customer ID]],customers!$A$1:$A$1001,customers!$I$1:$I$1001,0)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
        <v>3091</v>
      </c>
      <c r="H462" s="2" t="str">
        <f>_xlfn.XLOOKUP(C462,customers!$A$1:$A$1001,customers!$G$1:$G$1001,0)</f>
        <v>Ireland</v>
      </c>
      <c r="I462" t="str">
        <f>_xlfn.XLOOKUP(D462,products!$A$1:$A$49,products!$B$1:$B$49,0)</f>
        <v>Rob</v>
      </c>
      <c r="J462" t="str">
        <f>_xlfn.XLOOKUP(worksheet!D462,products!$A$1:$A$49,products!$C$1:$C$49,0)</f>
        <v>D</v>
      </c>
      <c r="K462" s="5">
        <f>_xlfn.XLOOKUP(worksheet!D462,products!$A$1:$A$49,products!$D$1:$D$49,0)</f>
        <v>0.5</v>
      </c>
      <c r="L462" s="6">
        <f>_xlfn.XLOOKUP(worksheet!D462,products!$A$1:$A$49,products!$E$1:$E$49,0)</f>
        <v>5.3699999999999992</v>
      </c>
      <c r="M462" s="6">
        <f>worksheet!E462*worksheet!L462</f>
        <v>16.11</v>
      </c>
      <c r="N462" t="str">
        <f t="shared" si="14"/>
        <v>Robusta</v>
      </c>
      <c r="O462" t="str">
        <f t="shared" si="15"/>
        <v>Dark</v>
      </c>
      <c r="P462" t="str">
        <f>_xlfn.XLOOKUP(worksheet[[#This Row],[Customer ID]],customers!$A$1:$A$1001,customers!$I$1:$I$1001,0)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
        <v>3097</v>
      </c>
      <c r="H463" s="2" t="str">
        <f>_xlfn.XLOOKUP(C463,customers!$A$1:$A$1001,customers!$G$1:$G$1001,0)</f>
        <v>United Kingdom</v>
      </c>
      <c r="I463" t="str">
        <f>_xlfn.XLOOKUP(D463,products!$A$1:$A$49,products!$B$1:$B$49,0)</f>
        <v>Rob</v>
      </c>
      <c r="J463" t="str">
        <f>_xlfn.XLOOKUP(worksheet!D463,products!$A$1:$A$49,products!$C$1:$C$49,0)</f>
        <v>D</v>
      </c>
      <c r="K463" s="5">
        <f>_xlfn.XLOOKUP(worksheet!D463,products!$A$1:$A$49,products!$D$1:$D$49,0)</f>
        <v>0.2</v>
      </c>
      <c r="L463" s="6">
        <f>_xlfn.XLOOKUP(worksheet!D463,products!$A$1:$A$49,products!$E$1:$E$49,0)</f>
        <v>2.6849999999999996</v>
      </c>
      <c r="M463" s="6">
        <f>worksheet!E463*worksheet!L463</f>
        <v>10.739999999999998</v>
      </c>
      <c r="N463" t="str">
        <f t="shared" si="14"/>
        <v>Robusta</v>
      </c>
      <c r="O463" t="str">
        <f t="shared" si="15"/>
        <v>Dark</v>
      </c>
      <c r="P463" t="str">
        <f>_xlfn.XLOOKUP(worksheet[[#This Row],[Customer ID]],customers!$A$1:$A$1001,customers!$I$1:$I$1001,0)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
        <v>3103</v>
      </c>
      <c r="H464" s="2" t="str">
        <f>_xlfn.XLOOKUP(C464,customers!$A$1:$A$1001,customers!$G$1:$G$1001,0)</f>
        <v>United States</v>
      </c>
      <c r="I464" t="str">
        <f>_xlfn.XLOOKUP(D464,products!$A$1:$A$49,products!$B$1:$B$49,0)</f>
        <v>Ara</v>
      </c>
      <c r="J464" t="str">
        <f>_xlfn.XLOOKUP(worksheet!D464,products!$A$1:$A$49,products!$C$1:$C$49,0)</f>
        <v>D</v>
      </c>
      <c r="K464" s="5">
        <f>_xlfn.XLOOKUP(worksheet!D464,products!$A$1:$A$49,products!$D$1:$D$49,0)</f>
        <v>1</v>
      </c>
      <c r="L464" s="6">
        <f>_xlfn.XLOOKUP(worksheet!D464,products!$A$1:$A$49,products!$E$1:$E$49,0)</f>
        <v>9.9499999999999993</v>
      </c>
      <c r="M464" s="6">
        <f>worksheet!E464*worksheet!L464</f>
        <v>49.75</v>
      </c>
      <c r="N464" t="str">
        <f t="shared" si="14"/>
        <v>Arabica</v>
      </c>
      <c r="O464" t="str">
        <f t="shared" si="15"/>
        <v>Dark</v>
      </c>
      <c r="P464" t="str">
        <f>_xlfn.XLOOKUP(worksheet[[#This Row],[Customer ID]],customers!$A$1:$A$1001,customers!$I$1:$I$1001,0)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
        <v>3109</v>
      </c>
      <c r="H465" s="2" t="str">
        <f>_xlfn.XLOOKUP(C465,customers!$A$1:$A$1001,customers!$G$1:$G$1001,0)</f>
        <v>Ireland</v>
      </c>
      <c r="I465" t="str">
        <f>_xlfn.XLOOKUP(D465,products!$A$1:$A$49,products!$B$1:$B$49,0)</f>
        <v>Exc</v>
      </c>
      <c r="J465" t="str">
        <f>_xlfn.XLOOKUP(worksheet!D465,products!$A$1:$A$49,products!$C$1:$C$49,0)</f>
        <v>M</v>
      </c>
      <c r="K465" s="5">
        <f>_xlfn.XLOOKUP(worksheet!D465,products!$A$1:$A$49,products!$D$1:$D$49,0)</f>
        <v>1</v>
      </c>
      <c r="L465" s="6">
        <f>_xlfn.XLOOKUP(worksheet!D465,products!$A$1:$A$49,products!$E$1:$E$49,0)</f>
        <v>13.75</v>
      </c>
      <c r="M465" s="6">
        <f>worksheet!E465*worksheet!L465</f>
        <v>27.5</v>
      </c>
      <c r="N465" t="str">
        <f t="shared" si="14"/>
        <v>Excelsa</v>
      </c>
      <c r="O465" t="str">
        <f t="shared" si="15"/>
        <v>Medium</v>
      </c>
      <c r="P465" t="str">
        <f>_xlfn.XLOOKUP(worksheet[[#This Row],[Customer ID]],customers!$A$1:$A$1001,customers!$I$1:$I$1001,0)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
        <v>3115</v>
      </c>
      <c r="H466" s="2" t="str">
        <f>_xlfn.XLOOKUP(C466,customers!$A$1:$A$1001,customers!$G$1:$G$1001,0)</f>
        <v>United Kingdom</v>
      </c>
      <c r="I466" t="str">
        <f>_xlfn.XLOOKUP(D466,products!$A$1:$A$49,products!$B$1:$B$49,0)</f>
        <v>Lib</v>
      </c>
      <c r="J466" t="str">
        <f>_xlfn.XLOOKUP(worksheet!D466,products!$A$1:$A$49,products!$C$1:$C$49,0)</f>
        <v>D</v>
      </c>
      <c r="K466" s="5">
        <f>_xlfn.XLOOKUP(worksheet!D466,products!$A$1:$A$49,products!$D$1:$D$49,0)</f>
        <v>2.5</v>
      </c>
      <c r="L466" s="6">
        <f>_xlfn.XLOOKUP(worksheet!D466,products!$A$1:$A$49,products!$E$1:$E$49,0)</f>
        <v>29.784999999999997</v>
      </c>
      <c r="M466" s="6">
        <f>worksheet!E466*worksheet!L466</f>
        <v>119.13999999999999</v>
      </c>
      <c r="N466" t="str">
        <f t="shared" si="14"/>
        <v>Liberica</v>
      </c>
      <c r="O466" t="str">
        <f t="shared" si="15"/>
        <v>Dark</v>
      </c>
      <c r="P466" t="str">
        <f>_xlfn.XLOOKUP(worksheet[[#This Row],[Customer ID]],customers!$A$1:$A$1001,customers!$I$1:$I$1001,0)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
        <v>3121</v>
      </c>
      <c r="H467" s="2" t="str">
        <f>_xlfn.XLOOKUP(C467,customers!$A$1:$A$1001,customers!$G$1:$G$1001,0)</f>
        <v>United States</v>
      </c>
      <c r="I467" t="str">
        <f>_xlfn.XLOOKUP(D467,products!$A$1:$A$49,products!$B$1:$B$49,0)</f>
        <v>Rob</v>
      </c>
      <c r="J467" t="str">
        <f>_xlfn.XLOOKUP(worksheet!D467,products!$A$1:$A$49,products!$C$1:$C$49,0)</f>
        <v>D</v>
      </c>
      <c r="K467" s="5">
        <f>_xlfn.XLOOKUP(worksheet!D467,products!$A$1:$A$49,products!$D$1:$D$49,0)</f>
        <v>2.5</v>
      </c>
      <c r="L467" s="6">
        <f>_xlfn.XLOOKUP(worksheet!D467,products!$A$1:$A$49,products!$E$1:$E$49,0)</f>
        <v>20.584999999999997</v>
      </c>
      <c r="M467" s="6">
        <f>worksheet!E467*worksheet!L467</f>
        <v>20.584999999999997</v>
      </c>
      <c r="N467" t="str">
        <f t="shared" si="14"/>
        <v>Robusta</v>
      </c>
      <c r="O467" t="str">
        <f t="shared" si="15"/>
        <v>Dark</v>
      </c>
      <c r="P467" t="str">
        <f>_xlfn.XLOOKUP(worksheet[[#This Row],[Customer ID]],customers!$A$1:$A$1001,customers!$I$1:$I$1001,0)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
        <v>3127</v>
      </c>
      <c r="H468" s="2" t="str">
        <f>_xlfn.XLOOKUP(C468,customers!$A$1:$A$1001,customers!$G$1:$G$1001,0)</f>
        <v>United States</v>
      </c>
      <c r="I468" t="str">
        <f>_xlfn.XLOOKUP(D468,products!$A$1:$A$49,products!$B$1:$B$49,0)</f>
        <v>Ara</v>
      </c>
      <c r="J468" t="str">
        <f>_xlfn.XLOOKUP(worksheet!D468,products!$A$1:$A$49,products!$C$1:$C$49,0)</f>
        <v>D</v>
      </c>
      <c r="K468" s="5">
        <f>_xlfn.XLOOKUP(worksheet!D468,products!$A$1:$A$49,products!$D$1:$D$49,0)</f>
        <v>0.2</v>
      </c>
      <c r="L468" s="6">
        <f>_xlfn.XLOOKUP(worksheet!D468,products!$A$1:$A$49,products!$E$1:$E$49,0)</f>
        <v>2.9849999999999999</v>
      </c>
      <c r="M468" s="6">
        <f>worksheet!E468*worksheet!L468</f>
        <v>8.9550000000000001</v>
      </c>
      <c r="N468" t="str">
        <f t="shared" si="14"/>
        <v>Arabica</v>
      </c>
      <c r="O468" t="str">
        <f t="shared" si="15"/>
        <v>Dark</v>
      </c>
      <c r="P468" t="str">
        <f>_xlfn.XLOOKUP(worksheet[[#This Row],[Customer ID]],customers!$A$1:$A$1001,customers!$I$1:$I$1001,0)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
        <v>3133</v>
      </c>
      <c r="H469" s="2" t="str">
        <f>_xlfn.XLOOKUP(C469,customers!$A$1:$A$1001,customers!$G$1:$G$1001,0)</f>
        <v>United States</v>
      </c>
      <c r="I469" t="str">
        <f>_xlfn.XLOOKUP(D469,products!$A$1:$A$49,products!$B$1:$B$49,0)</f>
        <v>Ara</v>
      </c>
      <c r="J469" t="str">
        <f>_xlfn.XLOOKUP(worksheet!D469,products!$A$1:$A$49,products!$C$1:$C$49,0)</f>
        <v>D</v>
      </c>
      <c r="K469" s="5">
        <f>_xlfn.XLOOKUP(worksheet!D469,products!$A$1:$A$49,products!$D$1:$D$49,0)</f>
        <v>0.5</v>
      </c>
      <c r="L469" s="6">
        <f>_xlfn.XLOOKUP(worksheet!D469,products!$A$1:$A$49,products!$E$1:$E$49,0)</f>
        <v>5.97</v>
      </c>
      <c r="M469" s="6">
        <f>worksheet!E469*worksheet!L469</f>
        <v>5.97</v>
      </c>
      <c r="N469" t="str">
        <f t="shared" si="14"/>
        <v>Arabica</v>
      </c>
      <c r="O469" t="str">
        <f t="shared" si="15"/>
        <v>Dark</v>
      </c>
      <c r="P469" t="str">
        <f>_xlfn.XLOOKUP(worksheet[[#This Row],[Customer ID]],customers!$A$1:$A$1001,customers!$I$1:$I$1001,0)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
        <v>3139</v>
      </c>
      <c r="H470" s="2" t="str">
        <f>_xlfn.XLOOKUP(C470,customers!$A$1:$A$1001,customers!$G$1:$G$1001,0)</f>
        <v>United States</v>
      </c>
      <c r="I470" t="str">
        <f>_xlfn.XLOOKUP(D470,products!$A$1:$A$49,products!$B$1:$B$49,0)</f>
        <v>Exc</v>
      </c>
      <c r="J470" t="str">
        <f>_xlfn.XLOOKUP(worksheet!D470,products!$A$1:$A$49,products!$C$1:$C$49,0)</f>
        <v>M</v>
      </c>
      <c r="K470" s="5">
        <f>_xlfn.XLOOKUP(worksheet!D470,products!$A$1:$A$49,products!$D$1:$D$49,0)</f>
        <v>1</v>
      </c>
      <c r="L470" s="6">
        <f>_xlfn.XLOOKUP(worksheet!D470,products!$A$1:$A$49,products!$E$1:$E$49,0)</f>
        <v>13.75</v>
      </c>
      <c r="M470" s="6">
        <f>worksheet!E470*worksheet!L470</f>
        <v>41.25</v>
      </c>
      <c r="N470" t="str">
        <f t="shared" si="14"/>
        <v>Excelsa</v>
      </c>
      <c r="O470" t="str">
        <f t="shared" si="15"/>
        <v>Medium</v>
      </c>
      <c r="P470" t="str">
        <f>_xlfn.XLOOKUP(worksheet[[#This Row],[Customer ID]],customers!$A$1:$A$1001,customers!$I$1:$I$1001,0)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
        <v>3196</v>
      </c>
      <c r="H471" s="2" t="str">
        <f>_xlfn.XLOOKUP(C471,customers!$A$1:$A$1001,customers!$G$1:$G$1001,0)</f>
        <v>United States</v>
      </c>
      <c r="I471" t="str">
        <f>_xlfn.XLOOKUP(D471,products!$A$1:$A$49,products!$B$1:$B$49,0)</f>
        <v>Exc</v>
      </c>
      <c r="J471" t="str">
        <f>_xlfn.XLOOKUP(worksheet!D471,products!$A$1:$A$49,products!$C$1:$C$49,0)</f>
        <v>L</v>
      </c>
      <c r="K471" s="5">
        <f>_xlfn.XLOOKUP(worksheet!D471,products!$A$1:$A$49,products!$D$1:$D$49,0)</f>
        <v>0.2</v>
      </c>
      <c r="L471" s="6">
        <f>_xlfn.XLOOKUP(worksheet!D471,products!$A$1:$A$49,products!$E$1:$E$49,0)</f>
        <v>4.4550000000000001</v>
      </c>
      <c r="M471" s="6">
        <f>worksheet!E471*worksheet!L471</f>
        <v>22.274999999999999</v>
      </c>
      <c r="N471" t="str">
        <f t="shared" si="14"/>
        <v>Excelsa</v>
      </c>
      <c r="O471" t="str">
        <f t="shared" si="15"/>
        <v>Light</v>
      </c>
      <c r="P471" t="str">
        <f>_xlfn.XLOOKUP(worksheet[[#This Row],[Customer ID]],customers!$A$1:$A$1001,customers!$I$1:$I$1001,0)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
        <v>3150</v>
      </c>
      <c r="H472" s="2" t="str">
        <f>_xlfn.XLOOKUP(C472,customers!$A$1:$A$1001,customers!$G$1:$G$1001,0)</f>
        <v>United States</v>
      </c>
      <c r="I472" t="str">
        <f>_xlfn.XLOOKUP(D472,products!$A$1:$A$49,products!$B$1:$B$49,0)</f>
        <v>Ara</v>
      </c>
      <c r="J472" t="str">
        <f>_xlfn.XLOOKUP(worksheet!D472,products!$A$1:$A$49,products!$C$1:$C$49,0)</f>
        <v>M</v>
      </c>
      <c r="K472" s="5">
        <f>_xlfn.XLOOKUP(worksheet!D472,products!$A$1:$A$49,products!$D$1:$D$49,0)</f>
        <v>0.5</v>
      </c>
      <c r="L472" s="6">
        <f>_xlfn.XLOOKUP(worksheet!D472,products!$A$1:$A$49,products!$E$1:$E$49,0)</f>
        <v>6.75</v>
      </c>
      <c r="M472" s="6">
        <f>worksheet!E472*worksheet!L472</f>
        <v>6.75</v>
      </c>
      <c r="N472" t="str">
        <f t="shared" si="14"/>
        <v>Arabica</v>
      </c>
      <c r="O472" t="str">
        <f t="shared" si="15"/>
        <v>Medium</v>
      </c>
      <c r="P472" t="str">
        <f>_xlfn.XLOOKUP(worksheet[[#This Row],[Customer ID]],customers!$A$1:$A$1001,customers!$I$1:$I$1001,0)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
        <v>6222</v>
      </c>
      <c r="H473" s="2" t="str">
        <f>_xlfn.XLOOKUP(C473,customers!$A$1:$A$1001,customers!$G$1:$G$1001,0)</f>
        <v>United States</v>
      </c>
      <c r="I473" t="str">
        <f>_xlfn.XLOOKUP(D473,products!$A$1:$A$49,products!$B$1:$B$49,0)</f>
        <v>Lib</v>
      </c>
      <c r="J473" t="str">
        <f>_xlfn.XLOOKUP(worksheet!D473,products!$A$1:$A$49,products!$C$1:$C$49,0)</f>
        <v>M</v>
      </c>
      <c r="K473" s="5">
        <f>_xlfn.XLOOKUP(worksheet!D473,products!$A$1:$A$49,products!$D$1:$D$49,0)</f>
        <v>2.5</v>
      </c>
      <c r="L473" s="6">
        <f>_xlfn.XLOOKUP(worksheet!D473,products!$A$1:$A$49,products!$E$1:$E$49,0)</f>
        <v>33.464999999999996</v>
      </c>
      <c r="M473" s="6">
        <f>worksheet!E473*worksheet!L473</f>
        <v>133.85999999999999</v>
      </c>
      <c r="N473" t="str">
        <f t="shared" si="14"/>
        <v>Liberica</v>
      </c>
      <c r="O473" t="str">
        <f t="shared" si="15"/>
        <v>Medium</v>
      </c>
      <c r="P473" t="str">
        <f>_xlfn.XLOOKUP(worksheet[[#This Row],[Customer ID]],customers!$A$1:$A$1001,customers!$I$1:$I$1001,0)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
        <v>3161</v>
      </c>
      <c r="H474" s="2" t="str">
        <f>_xlfn.XLOOKUP(C474,customers!$A$1:$A$1001,customers!$G$1:$G$1001,0)</f>
        <v>United States</v>
      </c>
      <c r="I474" t="str">
        <f>_xlfn.XLOOKUP(D474,products!$A$1:$A$49,products!$B$1:$B$49,0)</f>
        <v>Ara</v>
      </c>
      <c r="J474" t="str">
        <f>_xlfn.XLOOKUP(worksheet!D474,products!$A$1:$A$49,products!$C$1:$C$49,0)</f>
        <v>D</v>
      </c>
      <c r="K474" s="5">
        <f>_xlfn.XLOOKUP(worksheet!D474,products!$A$1:$A$49,products!$D$1:$D$49,0)</f>
        <v>0.2</v>
      </c>
      <c r="L474" s="6">
        <f>_xlfn.XLOOKUP(worksheet!D474,products!$A$1:$A$49,products!$E$1:$E$49,0)</f>
        <v>2.9849999999999999</v>
      </c>
      <c r="M474" s="6">
        <f>worksheet!E474*worksheet!L474</f>
        <v>5.97</v>
      </c>
      <c r="N474" t="str">
        <f t="shared" si="14"/>
        <v>Arabica</v>
      </c>
      <c r="O474" t="str">
        <f t="shared" si="15"/>
        <v>Dark</v>
      </c>
      <c r="P474" t="str">
        <f>_xlfn.XLOOKUP(worksheet[[#This Row],[Customer ID]],customers!$A$1:$A$1001,customers!$I$1:$I$1001,0)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
        <v>3167</v>
      </c>
      <c r="H475" s="2" t="str">
        <f>_xlfn.XLOOKUP(C475,customers!$A$1:$A$1001,customers!$G$1:$G$1001,0)</f>
        <v>United States</v>
      </c>
      <c r="I475" t="str">
        <f>_xlfn.XLOOKUP(D475,products!$A$1:$A$49,products!$B$1:$B$49,0)</f>
        <v>Ara</v>
      </c>
      <c r="J475" t="str">
        <f>_xlfn.XLOOKUP(worksheet!D475,products!$A$1:$A$49,products!$C$1:$C$49,0)</f>
        <v>L</v>
      </c>
      <c r="K475" s="5">
        <f>_xlfn.XLOOKUP(worksheet!D475,products!$A$1:$A$49,products!$D$1:$D$49,0)</f>
        <v>1</v>
      </c>
      <c r="L475" s="6">
        <f>_xlfn.XLOOKUP(worksheet!D475,products!$A$1:$A$49,products!$E$1:$E$49,0)</f>
        <v>12.95</v>
      </c>
      <c r="M475" s="6">
        <f>worksheet!E475*worksheet!L475</f>
        <v>25.9</v>
      </c>
      <c r="N475" t="str">
        <f t="shared" si="14"/>
        <v>Arabica</v>
      </c>
      <c r="O475" t="str">
        <f t="shared" si="15"/>
        <v>Light</v>
      </c>
      <c r="P475" t="str">
        <f>_xlfn.XLOOKUP(worksheet[[#This Row],[Customer ID]],customers!$A$1:$A$1001,customers!$I$1:$I$1001,0)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
        <v>3173</v>
      </c>
      <c r="H476" s="2" t="str">
        <f>_xlfn.XLOOKUP(C476,customers!$A$1:$A$1001,customers!$G$1:$G$1001,0)</f>
        <v>Ireland</v>
      </c>
      <c r="I476" t="str">
        <f>_xlfn.XLOOKUP(D476,products!$A$1:$A$49,products!$B$1:$B$49,0)</f>
        <v>Exc</v>
      </c>
      <c r="J476" t="str">
        <f>_xlfn.XLOOKUP(worksheet!D476,products!$A$1:$A$49,products!$C$1:$C$49,0)</f>
        <v>M</v>
      </c>
      <c r="K476" s="5">
        <f>_xlfn.XLOOKUP(worksheet!D476,products!$A$1:$A$49,products!$D$1:$D$49,0)</f>
        <v>2.5</v>
      </c>
      <c r="L476" s="6">
        <f>_xlfn.XLOOKUP(worksheet!D476,products!$A$1:$A$49,products!$E$1:$E$49,0)</f>
        <v>31.624999999999996</v>
      </c>
      <c r="M476" s="6">
        <f>worksheet!E476*worksheet!L476</f>
        <v>31.624999999999996</v>
      </c>
      <c r="N476" t="str">
        <f t="shared" si="14"/>
        <v>Excelsa</v>
      </c>
      <c r="O476" t="str">
        <f t="shared" si="15"/>
        <v>Medium</v>
      </c>
      <c r="P476" t="str">
        <f>_xlfn.XLOOKUP(worksheet[[#This Row],[Customer ID]],customers!$A$1:$A$1001,customers!$I$1:$I$1001,0)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
        <v>3179</v>
      </c>
      <c r="H477" s="2" t="str">
        <f>_xlfn.XLOOKUP(C477,customers!$A$1:$A$1001,customers!$G$1:$G$1001,0)</f>
        <v>United States</v>
      </c>
      <c r="I477" t="str">
        <f>_xlfn.XLOOKUP(D477,products!$A$1:$A$49,products!$B$1:$B$49,0)</f>
        <v>Lib</v>
      </c>
      <c r="J477" t="str">
        <f>_xlfn.XLOOKUP(worksheet!D477,products!$A$1:$A$49,products!$C$1:$C$49,0)</f>
        <v>M</v>
      </c>
      <c r="K477" s="5">
        <f>_xlfn.XLOOKUP(worksheet!D477,products!$A$1:$A$49,products!$D$1:$D$49,0)</f>
        <v>0.2</v>
      </c>
      <c r="L477" s="6">
        <f>_xlfn.XLOOKUP(worksheet!D477,products!$A$1:$A$49,products!$E$1:$E$49,0)</f>
        <v>4.3650000000000002</v>
      </c>
      <c r="M477" s="6">
        <f>worksheet!E477*worksheet!L477</f>
        <v>8.73</v>
      </c>
      <c r="N477" t="str">
        <f t="shared" si="14"/>
        <v>Liberica</v>
      </c>
      <c r="O477" t="str">
        <f t="shared" si="15"/>
        <v>Medium</v>
      </c>
      <c r="P477" t="str">
        <f>_xlfn.XLOOKUP(worksheet[[#This Row],[Customer ID]],customers!$A$1:$A$1001,customers!$I$1:$I$1001,0)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
        <v>3184</v>
      </c>
      <c r="H478" s="2" t="str">
        <f>_xlfn.XLOOKUP(C478,customers!$A$1:$A$1001,customers!$G$1:$G$1001,0)</f>
        <v>United States</v>
      </c>
      <c r="I478" t="str">
        <f>_xlfn.XLOOKUP(D478,products!$A$1:$A$49,products!$B$1:$B$49,0)</f>
        <v>Exc</v>
      </c>
      <c r="J478" t="str">
        <f>_xlfn.XLOOKUP(worksheet!D478,products!$A$1:$A$49,products!$C$1:$C$49,0)</f>
        <v>L</v>
      </c>
      <c r="K478" s="5">
        <f>_xlfn.XLOOKUP(worksheet!D478,products!$A$1:$A$49,products!$D$1:$D$49,0)</f>
        <v>0.2</v>
      </c>
      <c r="L478" s="6">
        <f>_xlfn.XLOOKUP(worksheet!D478,products!$A$1:$A$49,products!$E$1:$E$49,0)</f>
        <v>4.4550000000000001</v>
      </c>
      <c r="M478" s="6">
        <f>worksheet!E478*worksheet!L478</f>
        <v>26.73</v>
      </c>
      <c r="N478" t="str">
        <f t="shared" si="14"/>
        <v>Excelsa</v>
      </c>
      <c r="O478" t="str">
        <f t="shared" si="15"/>
        <v>Light</v>
      </c>
      <c r="P478" t="str">
        <f>_xlfn.XLOOKUP(worksheet[[#This Row],[Customer ID]],customers!$A$1:$A$1001,customers!$I$1:$I$1001,0)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
        <v>3190</v>
      </c>
      <c r="H479" s="2" t="str">
        <f>_xlfn.XLOOKUP(C479,customers!$A$1:$A$1001,customers!$G$1:$G$1001,0)</f>
        <v>United States</v>
      </c>
      <c r="I479" t="str">
        <f>_xlfn.XLOOKUP(D479,products!$A$1:$A$49,products!$B$1:$B$49,0)</f>
        <v>Lib</v>
      </c>
      <c r="J479" t="str">
        <f>_xlfn.XLOOKUP(worksheet!D479,products!$A$1:$A$49,products!$C$1:$C$49,0)</f>
        <v>M</v>
      </c>
      <c r="K479" s="5">
        <f>_xlfn.XLOOKUP(worksheet!D479,products!$A$1:$A$49,products!$D$1:$D$49,0)</f>
        <v>0.2</v>
      </c>
      <c r="L479" s="6">
        <f>_xlfn.XLOOKUP(worksheet!D479,products!$A$1:$A$49,products!$E$1:$E$49,0)</f>
        <v>4.3650000000000002</v>
      </c>
      <c r="M479" s="6">
        <f>worksheet!E479*worksheet!L479</f>
        <v>26.19</v>
      </c>
      <c r="N479" t="str">
        <f t="shared" si="14"/>
        <v>Liberica</v>
      </c>
      <c r="O479" t="str">
        <f t="shared" si="15"/>
        <v>Medium</v>
      </c>
      <c r="P479" t="str">
        <f>_xlfn.XLOOKUP(worksheet[[#This Row],[Customer ID]],customers!$A$1:$A$1001,customers!$I$1:$I$1001,0)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
        <v>3196</v>
      </c>
      <c r="H480" s="2" t="str">
        <f>_xlfn.XLOOKUP(C480,customers!$A$1:$A$1001,customers!$G$1:$G$1001,0)</f>
        <v>United States</v>
      </c>
      <c r="I480" t="str">
        <f>_xlfn.XLOOKUP(D480,products!$A$1:$A$49,products!$B$1:$B$49,0)</f>
        <v>Rob</v>
      </c>
      <c r="J480" t="str">
        <f>_xlfn.XLOOKUP(worksheet!D480,products!$A$1:$A$49,products!$C$1:$C$49,0)</f>
        <v>D</v>
      </c>
      <c r="K480" s="5">
        <f>_xlfn.XLOOKUP(worksheet!D480,products!$A$1:$A$49,products!$D$1:$D$49,0)</f>
        <v>1</v>
      </c>
      <c r="L480" s="6">
        <f>_xlfn.XLOOKUP(worksheet!D480,products!$A$1:$A$49,products!$E$1:$E$49,0)</f>
        <v>8.9499999999999993</v>
      </c>
      <c r="M480" s="6">
        <f>worksheet!E480*worksheet!L480</f>
        <v>53.699999999999996</v>
      </c>
      <c r="N480" t="str">
        <f t="shared" si="14"/>
        <v>Robusta</v>
      </c>
      <c r="O480" t="str">
        <f t="shared" si="15"/>
        <v>Dark</v>
      </c>
      <c r="P480" t="str">
        <f>_xlfn.XLOOKUP(worksheet[[#This Row],[Customer ID]],customers!$A$1:$A$1001,customers!$I$1:$I$1001,0)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
        <v>3196</v>
      </c>
      <c r="H481" s="2" t="str">
        <f>_xlfn.XLOOKUP(C481,customers!$A$1:$A$1001,customers!$G$1:$G$1001,0)</f>
        <v>United States</v>
      </c>
      <c r="I481" t="str">
        <f>_xlfn.XLOOKUP(D481,products!$A$1:$A$49,products!$B$1:$B$49,0)</f>
        <v>Exc</v>
      </c>
      <c r="J481" t="str">
        <f>_xlfn.XLOOKUP(worksheet!D481,products!$A$1:$A$49,products!$C$1:$C$49,0)</f>
        <v>M</v>
      </c>
      <c r="K481" s="5">
        <f>_xlfn.XLOOKUP(worksheet!D481,products!$A$1:$A$49,products!$D$1:$D$49,0)</f>
        <v>2.5</v>
      </c>
      <c r="L481" s="6">
        <f>_xlfn.XLOOKUP(worksheet!D481,products!$A$1:$A$49,products!$E$1:$E$49,0)</f>
        <v>31.624999999999996</v>
      </c>
      <c r="M481" s="6">
        <f>worksheet!E481*worksheet!L481</f>
        <v>126.49999999999999</v>
      </c>
      <c r="N481" t="str">
        <f t="shared" si="14"/>
        <v>Excelsa</v>
      </c>
      <c r="O481" t="str">
        <f t="shared" si="15"/>
        <v>Medium</v>
      </c>
      <c r="P481" t="str">
        <f>_xlfn.XLOOKUP(worksheet[[#This Row],[Customer ID]],customers!$A$1:$A$1001,customers!$I$1:$I$1001,0)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
        <v>3196</v>
      </c>
      <c r="H482" s="2" t="str">
        <f>_xlfn.XLOOKUP(C482,customers!$A$1:$A$1001,customers!$G$1:$G$1001,0)</f>
        <v>United States</v>
      </c>
      <c r="I482" t="str">
        <f>_xlfn.XLOOKUP(D482,products!$A$1:$A$49,products!$B$1:$B$49,0)</f>
        <v>Exc</v>
      </c>
      <c r="J482" t="str">
        <f>_xlfn.XLOOKUP(worksheet!D482,products!$A$1:$A$49,products!$C$1:$C$49,0)</f>
        <v>M</v>
      </c>
      <c r="K482" s="5">
        <f>_xlfn.XLOOKUP(worksheet!D482,products!$A$1:$A$49,products!$D$1:$D$49,0)</f>
        <v>0.2</v>
      </c>
      <c r="L482" s="6">
        <f>_xlfn.XLOOKUP(worksheet!D482,products!$A$1:$A$49,products!$E$1:$E$49,0)</f>
        <v>4.125</v>
      </c>
      <c r="M482" s="6">
        <f>worksheet!E482*worksheet!L482</f>
        <v>4.125</v>
      </c>
      <c r="N482" t="str">
        <f t="shared" si="14"/>
        <v>Excelsa</v>
      </c>
      <c r="O482" t="str">
        <f t="shared" si="15"/>
        <v>Medium</v>
      </c>
      <c r="P482" t="str">
        <f>_xlfn.XLOOKUP(worksheet[[#This Row],[Customer ID]],customers!$A$1:$A$1001,customers!$I$1:$I$1001,0)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
        <v>3211</v>
      </c>
      <c r="H483" s="2" t="str">
        <f>_xlfn.XLOOKUP(C483,customers!$A$1:$A$1001,customers!$G$1:$G$1001,0)</f>
        <v>United Kingdom</v>
      </c>
      <c r="I483" t="str">
        <f>_xlfn.XLOOKUP(D483,products!$A$1:$A$49,products!$B$1:$B$49,0)</f>
        <v>Rob</v>
      </c>
      <c r="J483" t="str">
        <f>_xlfn.XLOOKUP(worksheet!D483,products!$A$1:$A$49,products!$C$1:$C$49,0)</f>
        <v>L</v>
      </c>
      <c r="K483" s="5">
        <f>_xlfn.XLOOKUP(worksheet!D483,products!$A$1:$A$49,products!$D$1:$D$49,0)</f>
        <v>1</v>
      </c>
      <c r="L483" s="6">
        <f>_xlfn.XLOOKUP(worksheet!D483,products!$A$1:$A$49,products!$E$1:$E$49,0)</f>
        <v>11.95</v>
      </c>
      <c r="M483" s="6">
        <f>worksheet!E483*worksheet!L483</f>
        <v>23.9</v>
      </c>
      <c r="N483" t="str">
        <f t="shared" si="14"/>
        <v>Robusta</v>
      </c>
      <c r="O483" t="str">
        <f t="shared" si="15"/>
        <v>Light</v>
      </c>
      <c r="P483" t="str">
        <f>_xlfn.XLOOKUP(worksheet[[#This Row],[Customer ID]],customers!$A$1:$A$1001,customers!$I$1:$I$1001,0)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
        <v>3217</v>
      </c>
      <c r="H484" s="2" t="str">
        <f>_xlfn.XLOOKUP(C484,customers!$A$1:$A$1001,customers!$G$1:$G$1001,0)</f>
        <v>United States</v>
      </c>
      <c r="I484" t="str">
        <f>_xlfn.XLOOKUP(D484,products!$A$1:$A$49,products!$B$1:$B$49,0)</f>
        <v>Exc</v>
      </c>
      <c r="J484" t="str">
        <f>_xlfn.XLOOKUP(worksheet!D484,products!$A$1:$A$49,products!$C$1:$C$49,0)</f>
        <v>D</v>
      </c>
      <c r="K484" s="5">
        <f>_xlfn.XLOOKUP(worksheet!D484,products!$A$1:$A$49,products!$D$1:$D$49,0)</f>
        <v>2.5</v>
      </c>
      <c r="L484" s="6">
        <f>_xlfn.XLOOKUP(worksheet!D484,products!$A$1:$A$49,products!$E$1:$E$49,0)</f>
        <v>27.945</v>
      </c>
      <c r="M484" s="6">
        <f>worksheet!E484*worksheet!L484</f>
        <v>139.72499999999999</v>
      </c>
      <c r="N484" t="str">
        <f t="shared" si="14"/>
        <v>Excelsa</v>
      </c>
      <c r="O484" t="str">
        <f t="shared" si="15"/>
        <v>Dark</v>
      </c>
      <c r="P484" t="str">
        <f>_xlfn.XLOOKUP(worksheet[[#This Row],[Customer ID]],customers!$A$1:$A$1001,customers!$I$1:$I$1001,0)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
        <v>6222</v>
      </c>
      <c r="H485" s="2" t="str">
        <f>_xlfn.XLOOKUP(C485,customers!$A$1:$A$1001,customers!$G$1:$G$1001,0)</f>
        <v>United States</v>
      </c>
      <c r="I485" t="str">
        <f>_xlfn.XLOOKUP(D485,products!$A$1:$A$49,products!$B$1:$B$49,0)</f>
        <v>Lib</v>
      </c>
      <c r="J485" t="str">
        <f>_xlfn.XLOOKUP(worksheet!D485,products!$A$1:$A$49,products!$C$1:$C$49,0)</f>
        <v>D</v>
      </c>
      <c r="K485" s="5">
        <f>_xlfn.XLOOKUP(worksheet!D485,products!$A$1:$A$49,products!$D$1:$D$49,0)</f>
        <v>2.5</v>
      </c>
      <c r="L485" s="6">
        <f>_xlfn.XLOOKUP(worksheet!D485,products!$A$1:$A$49,products!$E$1:$E$49,0)</f>
        <v>29.784999999999997</v>
      </c>
      <c r="M485" s="6">
        <f>worksheet!E485*worksheet!L485</f>
        <v>59.569999999999993</v>
      </c>
      <c r="N485" t="str">
        <f t="shared" si="14"/>
        <v>Liberica</v>
      </c>
      <c r="O485" t="str">
        <f t="shared" si="15"/>
        <v>Dark</v>
      </c>
      <c r="P485" t="str">
        <f>_xlfn.XLOOKUP(worksheet[[#This Row],[Customer ID]],customers!$A$1:$A$1001,customers!$I$1:$I$1001,0)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
        <v>3228</v>
      </c>
      <c r="H486" s="2" t="str">
        <f>_xlfn.XLOOKUP(C486,customers!$A$1:$A$1001,customers!$G$1:$G$1001,0)</f>
        <v>United States</v>
      </c>
      <c r="I486" t="str">
        <f>_xlfn.XLOOKUP(D486,products!$A$1:$A$49,products!$B$1:$B$49,0)</f>
        <v>Lib</v>
      </c>
      <c r="J486" t="str">
        <f>_xlfn.XLOOKUP(worksheet!D486,products!$A$1:$A$49,products!$C$1:$C$49,0)</f>
        <v>L</v>
      </c>
      <c r="K486" s="5">
        <f>_xlfn.XLOOKUP(worksheet!D486,products!$A$1:$A$49,products!$D$1:$D$49,0)</f>
        <v>0.5</v>
      </c>
      <c r="L486" s="6">
        <f>_xlfn.XLOOKUP(worksheet!D486,products!$A$1:$A$49,products!$E$1:$E$49,0)</f>
        <v>9.51</v>
      </c>
      <c r="M486" s="6">
        <f>worksheet!E486*worksheet!L486</f>
        <v>57.06</v>
      </c>
      <c r="N486" t="str">
        <f t="shared" si="14"/>
        <v>Liberica</v>
      </c>
      <c r="O486" t="str">
        <f t="shared" si="15"/>
        <v>Light</v>
      </c>
      <c r="P486" t="str">
        <f>_xlfn.XLOOKUP(worksheet[[#This Row],[Customer ID]],customers!$A$1:$A$1001,customers!$I$1:$I$1001,0)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
        <v>3233</v>
      </c>
      <c r="H487" s="2" t="str">
        <f>_xlfn.XLOOKUP(C487,customers!$A$1:$A$1001,customers!$G$1:$G$1001,0)</f>
        <v>Ireland</v>
      </c>
      <c r="I487" t="str">
        <f>_xlfn.XLOOKUP(D487,products!$A$1:$A$49,products!$B$1:$B$49,0)</f>
        <v>Rob</v>
      </c>
      <c r="J487" t="str">
        <f>_xlfn.XLOOKUP(worksheet!D487,products!$A$1:$A$49,products!$C$1:$C$49,0)</f>
        <v>L</v>
      </c>
      <c r="K487" s="5">
        <f>_xlfn.XLOOKUP(worksheet!D487,products!$A$1:$A$49,products!$D$1:$D$49,0)</f>
        <v>0.2</v>
      </c>
      <c r="L487" s="6">
        <f>_xlfn.XLOOKUP(worksheet!D487,products!$A$1:$A$49,products!$E$1:$E$49,0)</f>
        <v>3.5849999999999995</v>
      </c>
      <c r="M487" s="6">
        <f>worksheet!E487*worksheet!L487</f>
        <v>21.509999999999998</v>
      </c>
      <c r="N487" t="str">
        <f t="shared" si="14"/>
        <v>Robusta</v>
      </c>
      <c r="O487" t="str">
        <f t="shared" si="15"/>
        <v>Light</v>
      </c>
      <c r="P487" t="str">
        <f>_xlfn.XLOOKUP(worksheet[[#This Row],[Customer ID]],customers!$A$1:$A$1001,customers!$I$1:$I$1001,0)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
        <v>3239</v>
      </c>
      <c r="H488" s="2" t="str">
        <f>_xlfn.XLOOKUP(C488,customers!$A$1:$A$1001,customers!$G$1:$G$1001,0)</f>
        <v>Ireland</v>
      </c>
      <c r="I488" t="str">
        <f>_xlfn.XLOOKUP(D488,products!$A$1:$A$49,products!$B$1:$B$49,0)</f>
        <v>Lib</v>
      </c>
      <c r="J488" t="str">
        <f>_xlfn.XLOOKUP(worksheet!D488,products!$A$1:$A$49,products!$C$1:$C$49,0)</f>
        <v>M</v>
      </c>
      <c r="K488" s="5">
        <f>_xlfn.XLOOKUP(worksheet!D488,products!$A$1:$A$49,products!$D$1:$D$49,0)</f>
        <v>0.5</v>
      </c>
      <c r="L488" s="6">
        <f>_xlfn.XLOOKUP(worksheet!D488,products!$A$1:$A$49,products!$E$1:$E$49,0)</f>
        <v>8.73</v>
      </c>
      <c r="M488" s="6">
        <f>worksheet!E488*worksheet!L488</f>
        <v>52.38</v>
      </c>
      <c r="N488" t="str">
        <f t="shared" si="14"/>
        <v>Liberica</v>
      </c>
      <c r="O488" t="str">
        <f t="shared" si="15"/>
        <v>Medium</v>
      </c>
      <c r="P488" t="str">
        <f>_xlfn.XLOOKUP(worksheet[[#This Row],[Customer ID]],customers!$A$1:$A$1001,customers!$I$1:$I$1001,0)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
        <v>3245</v>
      </c>
      <c r="H489" s="2" t="str">
        <f>_xlfn.XLOOKUP(C489,customers!$A$1:$A$1001,customers!$G$1:$G$1001,0)</f>
        <v>Ireland</v>
      </c>
      <c r="I489" t="str">
        <f>_xlfn.XLOOKUP(D489,products!$A$1:$A$49,products!$B$1:$B$49,0)</f>
        <v>Exc</v>
      </c>
      <c r="J489" t="str">
        <f>_xlfn.XLOOKUP(worksheet!D489,products!$A$1:$A$49,products!$C$1:$C$49,0)</f>
        <v>D</v>
      </c>
      <c r="K489" s="5">
        <f>_xlfn.XLOOKUP(worksheet!D489,products!$A$1:$A$49,products!$D$1:$D$49,0)</f>
        <v>1</v>
      </c>
      <c r="L489" s="6">
        <f>_xlfn.XLOOKUP(worksheet!D489,products!$A$1:$A$49,products!$E$1:$E$49,0)</f>
        <v>12.15</v>
      </c>
      <c r="M489" s="6">
        <f>worksheet!E489*worksheet!L489</f>
        <v>72.900000000000006</v>
      </c>
      <c r="N489" t="str">
        <f t="shared" si="14"/>
        <v>Excelsa</v>
      </c>
      <c r="O489" t="str">
        <f t="shared" si="15"/>
        <v>Dark</v>
      </c>
      <c r="P489" t="str">
        <f>_xlfn.XLOOKUP(worksheet[[#This Row],[Customer ID]],customers!$A$1:$A$1001,customers!$I$1:$I$1001,0)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
        <v>3251</v>
      </c>
      <c r="H490" s="2" t="str">
        <f>_xlfn.XLOOKUP(C490,customers!$A$1:$A$1001,customers!$G$1:$G$1001,0)</f>
        <v>Ireland</v>
      </c>
      <c r="I490" t="str">
        <f>_xlfn.XLOOKUP(D490,products!$A$1:$A$49,products!$B$1:$B$49,0)</f>
        <v>Rob</v>
      </c>
      <c r="J490" t="str">
        <f>_xlfn.XLOOKUP(worksheet!D490,products!$A$1:$A$49,products!$C$1:$C$49,0)</f>
        <v>M</v>
      </c>
      <c r="K490" s="5">
        <f>_xlfn.XLOOKUP(worksheet!D490,products!$A$1:$A$49,products!$D$1:$D$49,0)</f>
        <v>0.2</v>
      </c>
      <c r="L490" s="6">
        <f>_xlfn.XLOOKUP(worksheet!D490,products!$A$1:$A$49,products!$E$1:$E$49,0)</f>
        <v>2.9849999999999999</v>
      </c>
      <c r="M490" s="6">
        <f>worksheet!E490*worksheet!L490</f>
        <v>14.924999999999999</v>
      </c>
      <c r="N490" t="str">
        <f t="shared" si="14"/>
        <v>Robusta</v>
      </c>
      <c r="O490" t="str">
        <f t="shared" si="15"/>
        <v>Medium</v>
      </c>
      <c r="P490" t="str">
        <f>_xlfn.XLOOKUP(worksheet[[#This Row],[Customer ID]],customers!$A$1:$A$1001,customers!$I$1:$I$1001,0)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
        <v>3257</v>
      </c>
      <c r="H491" s="2" t="str">
        <f>_xlfn.XLOOKUP(C491,customers!$A$1:$A$1001,customers!$G$1:$G$1001,0)</f>
        <v>United States</v>
      </c>
      <c r="I491" t="str">
        <f>_xlfn.XLOOKUP(D491,products!$A$1:$A$49,products!$B$1:$B$49,0)</f>
        <v>Lib</v>
      </c>
      <c r="J491" t="str">
        <f>_xlfn.XLOOKUP(worksheet!D491,products!$A$1:$A$49,products!$C$1:$C$49,0)</f>
        <v>L</v>
      </c>
      <c r="K491" s="5">
        <f>_xlfn.XLOOKUP(worksheet!D491,products!$A$1:$A$49,products!$D$1:$D$49,0)</f>
        <v>1</v>
      </c>
      <c r="L491" s="6">
        <f>_xlfn.XLOOKUP(worksheet!D491,products!$A$1:$A$49,products!$E$1:$E$49,0)</f>
        <v>15.85</v>
      </c>
      <c r="M491" s="6">
        <f>worksheet!E491*worksheet!L491</f>
        <v>95.1</v>
      </c>
      <c r="N491" t="str">
        <f t="shared" si="14"/>
        <v>Liberica</v>
      </c>
      <c r="O491" t="str">
        <f t="shared" si="15"/>
        <v>Light</v>
      </c>
      <c r="P491" t="str">
        <f>_xlfn.XLOOKUP(worksheet[[#This Row],[Customer ID]],customers!$A$1:$A$1001,customers!$I$1:$I$1001,0)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
        <v>3263</v>
      </c>
      <c r="H492" s="2" t="str">
        <f>_xlfn.XLOOKUP(C492,customers!$A$1:$A$1001,customers!$G$1:$G$1001,0)</f>
        <v>United States</v>
      </c>
      <c r="I492" t="str">
        <f>_xlfn.XLOOKUP(D492,products!$A$1:$A$49,products!$B$1:$B$49,0)</f>
        <v>Lib</v>
      </c>
      <c r="J492" t="str">
        <f>_xlfn.XLOOKUP(worksheet!D492,products!$A$1:$A$49,products!$C$1:$C$49,0)</f>
        <v>D</v>
      </c>
      <c r="K492" s="5">
        <f>_xlfn.XLOOKUP(worksheet!D492,products!$A$1:$A$49,products!$D$1:$D$49,0)</f>
        <v>0.5</v>
      </c>
      <c r="L492" s="6">
        <f>_xlfn.XLOOKUP(worksheet!D492,products!$A$1:$A$49,products!$E$1:$E$49,0)</f>
        <v>7.77</v>
      </c>
      <c r="M492" s="6">
        <f>worksheet!E492*worksheet!L492</f>
        <v>15.54</v>
      </c>
      <c r="N492" t="str">
        <f t="shared" si="14"/>
        <v>Liberica</v>
      </c>
      <c r="O492" t="str">
        <f t="shared" si="15"/>
        <v>Dark</v>
      </c>
      <c r="P492" t="str">
        <f>_xlfn.XLOOKUP(worksheet[[#This Row],[Customer ID]],customers!$A$1:$A$1001,customers!$I$1:$I$1001,0)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
        <v>6222</v>
      </c>
      <c r="H493" s="2" t="str">
        <f>_xlfn.XLOOKUP(C493,customers!$A$1:$A$1001,customers!$G$1:$G$1001,0)</f>
        <v>United States</v>
      </c>
      <c r="I493" t="str">
        <f>_xlfn.XLOOKUP(D493,products!$A$1:$A$49,products!$B$1:$B$49,0)</f>
        <v>Lib</v>
      </c>
      <c r="J493" t="str">
        <f>_xlfn.XLOOKUP(worksheet!D493,products!$A$1:$A$49,products!$C$1:$C$49,0)</f>
        <v>D</v>
      </c>
      <c r="K493" s="5">
        <f>_xlfn.XLOOKUP(worksheet!D493,products!$A$1:$A$49,products!$D$1:$D$49,0)</f>
        <v>0.2</v>
      </c>
      <c r="L493" s="6">
        <f>_xlfn.XLOOKUP(worksheet!D493,products!$A$1:$A$49,products!$E$1:$E$49,0)</f>
        <v>3.8849999999999998</v>
      </c>
      <c r="M493" s="6">
        <f>worksheet!E493*worksheet!L493</f>
        <v>23.31</v>
      </c>
      <c r="N493" t="str">
        <f t="shared" si="14"/>
        <v>Liberica</v>
      </c>
      <c r="O493" t="str">
        <f t="shared" si="15"/>
        <v>Dark</v>
      </c>
      <c r="P493" t="str">
        <f>_xlfn.XLOOKUP(worksheet[[#This Row],[Customer ID]],customers!$A$1:$A$1001,customers!$I$1:$I$1001,0)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
        <v>3274</v>
      </c>
      <c r="H494" s="2" t="str">
        <f>_xlfn.XLOOKUP(C494,customers!$A$1:$A$1001,customers!$G$1:$G$1001,0)</f>
        <v>United States</v>
      </c>
      <c r="I494" t="str">
        <f>_xlfn.XLOOKUP(D494,products!$A$1:$A$49,products!$B$1:$B$49,0)</f>
        <v>Exc</v>
      </c>
      <c r="J494" t="str">
        <f>_xlfn.XLOOKUP(worksheet!D494,products!$A$1:$A$49,products!$C$1:$C$49,0)</f>
        <v>M</v>
      </c>
      <c r="K494" s="5">
        <f>_xlfn.XLOOKUP(worksheet!D494,products!$A$1:$A$49,products!$D$1:$D$49,0)</f>
        <v>0.2</v>
      </c>
      <c r="L494" s="6">
        <f>_xlfn.XLOOKUP(worksheet!D494,products!$A$1:$A$49,products!$E$1:$E$49,0)</f>
        <v>4.125</v>
      </c>
      <c r="M494" s="6">
        <f>worksheet!E494*worksheet!L494</f>
        <v>4.125</v>
      </c>
      <c r="N494" t="str">
        <f t="shared" si="14"/>
        <v>Excelsa</v>
      </c>
      <c r="O494" t="str">
        <f t="shared" si="15"/>
        <v>Medium</v>
      </c>
      <c r="P494" t="str">
        <f>_xlfn.XLOOKUP(worksheet[[#This Row],[Customer ID]],customers!$A$1:$A$1001,customers!$I$1:$I$1001,0)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
        <v>3280</v>
      </c>
      <c r="H495" s="2" t="str">
        <f>_xlfn.XLOOKUP(C495,customers!$A$1:$A$1001,customers!$G$1:$G$1001,0)</f>
        <v>United Kingdom</v>
      </c>
      <c r="I495" t="str">
        <f>_xlfn.XLOOKUP(D495,products!$A$1:$A$49,products!$B$1:$B$49,0)</f>
        <v>Rob</v>
      </c>
      <c r="J495" t="str">
        <f>_xlfn.XLOOKUP(worksheet!D495,products!$A$1:$A$49,products!$C$1:$C$49,0)</f>
        <v>M</v>
      </c>
      <c r="K495" s="5">
        <f>_xlfn.XLOOKUP(worksheet!D495,products!$A$1:$A$49,products!$D$1:$D$49,0)</f>
        <v>0.5</v>
      </c>
      <c r="L495" s="6">
        <f>_xlfn.XLOOKUP(worksheet!D495,products!$A$1:$A$49,products!$E$1:$E$49,0)</f>
        <v>5.97</v>
      </c>
      <c r="M495" s="6">
        <f>worksheet!E495*worksheet!L495</f>
        <v>35.82</v>
      </c>
      <c r="N495" t="str">
        <f t="shared" si="14"/>
        <v>Robusta</v>
      </c>
      <c r="O495" t="str">
        <f t="shared" si="15"/>
        <v>Medium</v>
      </c>
      <c r="P495" t="str">
        <f>_xlfn.XLOOKUP(worksheet[[#This Row],[Customer ID]],customers!$A$1:$A$1001,customers!$I$1:$I$1001,0)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
        <v>3286</v>
      </c>
      <c r="H496" s="2" t="str">
        <f>_xlfn.XLOOKUP(C496,customers!$A$1:$A$1001,customers!$G$1:$G$1001,0)</f>
        <v>United States</v>
      </c>
      <c r="I496" t="str">
        <f>_xlfn.XLOOKUP(D496,products!$A$1:$A$49,products!$B$1:$B$49,0)</f>
        <v>Lib</v>
      </c>
      <c r="J496" t="str">
        <f>_xlfn.XLOOKUP(worksheet!D496,products!$A$1:$A$49,products!$C$1:$C$49,0)</f>
        <v>L</v>
      </c>
      <c r="K496" s="5">
        <f>_xlfn.XLOOKUP(worksheet!D496,products!$A$1:$A$49,products!$D$1:$D$49,0)</f>
        <v>1</v>
      </c>
      <c r="L496" s="6">
        <f>_xlfn.XLOOKUP(worksheet!D496,products!$A$1:$A$49,products!$E$1:$E$49,0)</f>
        <v>15.85</v>
      </c>
      <c r="M496" s="6">
        <f>worksheet!E496*worksheet!L496</f>
        <v>31.7</v>
      </c>
      <c r="N496" t="str">
        <f t="shared" si="14"/>
        <v>Liberica</v>
      </c>
      <c r="O496" t="str">
        <f t="shared" si="15"/>
        <v>Light</v>
      </c>
      <c r="P496" t="str">
        <f>_xlfn.XLOOKUP(worksheet[[#This Row],[Customer ID]],customers!$A$1:$A$1001,customers!$I$1:$I$1001,0)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
        <v>6222</v>
      </c>
      <c r="H497" s="2" t="str">
        <f>_xlfn.XLOOKUP(C497,customers!$A$1:$A$1001,customers!$G$1:$G$1001,0)</f>
        <v>United States</v>
      </c>
      <c r="I497" t="str">
        <f>_xlfn.XLOOKUP(D497,products!$A$1:$A$49,products!$B$1:$B$49,0)</f>
        <v>Lib</v>
      </c>
      <c r="J497" t="str">
        <f>_xlfn.XLOOKUP(worksheet!D497,products!$A$1:$A$49,products!$C$1:$C$49,0)</f>
        <v>L</v>
      </c>
      <c r="K497" s="5">
        <f>_xlfn.XLOOKUP(worksheet!D497,products!$A$1:$A$49,products!$D$1:$D$49,0)</f>
        <v>1</v>
      </c>
      <c r="L497" s="6">
        <f>_xlfn.XLOOKUP(worksheet!D497,products!$A$1:$A$49,products!$E$1:$E$49,0)</f>
        <v>15.85</v>
      </c>
      <c r="M497" s="6">
        <f>worksheet!E497*worksheet!L497</f>
        <v>79.25</v>
      </c>
      <c r="N497" t="str">
        <f t="shared" si="14"/>
        <v>Liberica</v>
      </c>
      <c r="O497" t="str">
        <f t="shared" si="15"/>
        <v>Light</v>
      </c>
      <c r="P497" t="str">
        <f>_xlfn.XLOOKUP(worksheet[[#This Row],[Customer ID]],customers!$A$1:$A$1001,customers!$I$1:$I$1001,0)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
        <v>3297</v>
      </c>
      <c r="H498" s="2" t="str">
        <f>_xlfn.XLOOKUP(C498,customers!$A$1:$A$1001,customers!$G$1:$G$1001,0)</f>
        <v>United States</v>
      </c>
      <c r="I498" t="str">
        <f>_xlfn.XLOOKUP(D498,products!$A$1:$A$49,products!$B$1:$B$49,0)</f>
        <v>Exc</v>
      </c>
      <c r="J498" t="str">
        <f>_xlfn.XLOOKUP(worksheet!D498,products!$A$1:$A$49,products!$C$1:$C$49,0)</f>
        <v>D</v>
      </c>
      <c r="K498" s="5">
        <f>_xlfn.XLOOKUP(worksheet!D498,products!$A$1:$A$49,products!$D$1:$D$49,0)</f>
        <v>0.2</v>
      </c>
      <c r="L498" s="6">
        <f>_xlfn.XLOOKUP(worksheet!D498,products!$A$1:$A$49,products!$E$1:$E$49,0)</f>
        <v>3.645</v>
      </c>
      <c r="M498" s="6">
        <f>worksheet!E498*worksheet!L498</f>
        <v>10.935</v>
      </c>
      <c r="N498" t="str">
        <f t="shared" si="14"/>
        <v>Excelsa</v>
      </c>
      <c r="O498" t="str">
        <f t="shared" si="15"/>
        <v>Dark</v>
      </c>
      <c r="P498" t="str">
        <f>_xlfn.XLOOKUP(worksheet[[#This Row],[Customer ID]],customers!$A$1:$A$1001,customers!$I$1:$I$1001,0)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
        <v>3303</v>
      </c>
      <c r="H499" s="2" t="str">
        <f>_xlfn.XLOOKUP(C499,customers!$A$1:$A$1001,customers!$G$1:$G$1001,0)</f>
        <v>Ireland</v>
      </c>
      <c r="I499" t="str">
        <f>_xlfn.XLOOKUP(D499,products!$A$1:$A$49,products!$B$1:$B$49,0)</f>
        <v>Ara</v>
      </c>
      <c r="J499" t="str">
        <f>_xlfn.XLOOKUP(worksheet!D499,products!$A$1:$A$49,products!$C$1:$C$49,0)</f>
        <v>D</v>
      </c>
      <c r="K499" s="5">
        <f>_xlfn.XLOOKUP(worksheet!D499,products!$A$1:$A$49,products!$D$1:$D$49,0)</f>
        <v>1</v>
      </c>
      <c r="L499" s="6">
        <f>_xlfn.XLOOKUP(worksheet!D499,products!$A$1:$A$49,products!$E$1:$E$49,0)</f>
        <v>9.9499999999999993</v>
      </c>
      <c r="M499" s="6">
        <f>worksheet!E499*worksheet!L499</f>
        <v>39.799999999999997</v>
      </c>
      <c r="N499" t="str">
        <f t="shared" si="14"/>
        <v>Arabica</v>
      </c>
      <c r="O499" t="str">
        <f t="shared" si="15"/>
        <v>Dark</v>
      </c>
      <c r="P499" t="str">
        <f>_xlfn.XLOOKUP(worksheet[[#This Row],[Customer ID]],customers!$A$1:$A$1001,customers!$I$1:$I$1001,0)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
        <v>3370</v>
      </c>
      <c r="H500" s="2" t="str">
        <f>_xlfn.XLOOKUP(C500,customers!$A$1:$A$1001,customers!$G$1:$G$1001,0)</f>
        <v>Ireland</v>
      </c>
      <c r="I500" t="str">
        <f>_xlfn.XLOOKUP(D500,products!$A$1:$A$49,products!$B$1:$B$49,0)</f>
        <v>Rob</v>
      </c>
      <c r="J500" t="str">
        <f>_xlfn.XLOOKUP(worksheet!D500,products!$A$1:$A$49,products!$C$1:$C$49,0)</f>
        <v>M</v>
      </c>
      <c r="K500" s="5">
        <f>_xlfn.XLOOKUP(worksheet!D500,products!$A$1:$A$49,products!$D$1:$D$49,0)</f>
        <v>1</v>
      </c>
      <c r="L500" s="6">
        <f>_xlfn.XLOOKUP(worksheet!D500,products!$A$1:$A$49,products!$E$1:$E$49,0)</f>
        <v>9.9499999999999993</v>
      </c>
      <c r="M500" s="6">
        <f>worksheet!E500*worksheet!L500</f>
        <v>49.75</v>
      </c>
      <c r="N500" t="str">
        <f t="shared" si="14"/>
        <v>Robusta</v>
      </c>
      <c r="O500" t="str">
        <f t="shared" si="15"/>
        <v>Medium</v>
      </c>
      <c r="P500" t="str">
        <f>_xlfn.XLOOKUP(worksheet[[#This Row],[Customer ID]],customers!$A$1:$A$1001,customers!$I$1:$I$1001,0)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
        <v>6222</v>
      </c>
      <c r="H501" s="2" t="str">
        <f>_xlfn.XLOOKUP(C501,customers!$A$1:$A$1001,customers!$G$1:$G$1001,0)</f>
        <v>Ireland</v>
      </c>
      <c r="I501" t="str">
        <f>_xlfn.XLOOKUP(D501,products!$A$1:$A$49,products!$B$1:$B$49,0)</f>
        <v>Rob</v>
      </c>
      <c r="J501" t="str">
        <f>_xlfn.XLOOKUP(worksheet!D501,products!$A$1:$A$49,products!$C$1:$C$49,0)</f>
        <v>D</v>
      </c>
      <c r="K501" s="5">
        <f>_xlfn.XLOOKUP(worksheet!D501,products!$A$1:$A$49,products!$D$1:$D$49,0)</f>
        <v>0.2</v>
      </c>
      <c r="L501" s="6">
        <f>_xlfn.XLOOKUP(worksheet!D501,products!$A$1:$A$49,products!$E$1:$E$49,0)</f>
        <v>2.6849999999999996</v>
      </c>
      <c r="M501" s="6">
        <f>worksheet!E501*worksheet!L501</f>
        <v>8.0549999999999997</v>
      </c>
      <c r="N501" t="str">
        <f t="shared" si="14"/>
        <v>Robusta</v>
      </c>
      <c r="O501" t="str">
        <f t="shared" si="15"/>
        <v>Dark</v>
      </c>
      <c r="P501" t="str">
        <f>_xlfn.XLOOKUP(worksheet[[#This Row],[Customer ID]],customers!$A$1:$A$1001,customers!$I$1:$I$1001,0)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
        <v>6222</v>
      </c>
      <c r="H502" s="2" t="str">
        <f>_xlfn.XLOOKUP(C502,customers!$A$1:$A$1001,customers!$G$1:$G$1001,0)</f>
        <v>United States</v>
      </c>
      <c r="I502" t="str">
        <f>_xlfn.XLOOKUP(D502,products!$A$1:$A$49,products!$B$1:$B$49,0)</f>
        <v>Rob</v>
      </c>
      <c r="J502" t="str">
        <f>_xlfn.XLOOKUP(worksheet!D502,products!$A$1:$A$49,products!$C$1:$C$49,0)</f>
        <v>L</v>
      </c>
      <c r="K502" s="5">
        <f>_xlfn.XLOOKUP(worksheet!D502,products!$A$1:$A$49,products!$D$1:$D$49,0)</f>
        <v>1</v>
      </c>
      <c r="L502" s="6">
        <f>_xlfn.XLOOKUP(worksheet!D502,products!$A$1:$A$49,products!$E$1:$E$49,0)</f>
        <v>11.95</v>
      </c>
      <c r="M502" s="6">
        <f>worksheet!E502*worksheet!L502</f>
        <v>47.8</v>
      </c>
      <c r="N502" t="str">
        <f t="shared" si="14"/>
        <v>Robusta</v>
      </c>
      <c r="O502" t="str">
        <f t="shared" si="15"/>
        <v>Light</v>
      </c>
      <c r="P502" t="str">
        <f>_xlfn.XLOOKUP(worksheet[[#This Row],[Customer ID]],customers!$A$1:$A$1001,customers!$I$1:$I$1001,0)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
        <v>3326</v>
      </c>
      <c r="H503" s="2" t="str">
        <f>_xlfn.XLOOKUP(C503,customers!$A$1:$A$1001,customers!$G$1:$G$1001,0)</f>
        <v>United Kingdom</v>
      </c>
      <c r="I503" t="str">
        <f>_xlfn.XLOOKUP(D503,products!$A$1:$A$49,products!$B$1:$B$49,0)</f>
        <v>Rob</v>
      </c>
      <c r="J503" t="str">
        <f>_xlfn.XLOOKUP(worksheet!D503,products!$A$1:$A$49,products!$C$1:$C$49,0)</f>
        <v>M</v>
      </c>
      <c r="K503" s="5">
        <f>_xlfn.XLOOKUP(worksheet!D503,products!$A$1:$A$49,products!$D$1:$D$49,0)</f>
        <v>0.2</v>
      </c>
      <c r="L503" s="6">
        <f>_xlfn.XLOOKUP(worksheet!D503,products!$A$1:$A$49,products!$E$1:$E$49,0)</f>
        <v>2.9849999999999999</v>
      </c>
      <c r="M503" s="6">
        <f>worksheet!E503*worksheet!L503</f>
        <v>11.94</v>
      </c>
      <c r="N503" t="str">
        <f t="shared" si="14"/>
        <v>Robusta</v>
      </c>
      <c r="O503" t="str">
        <f t="shared" si="15"/>
        <v>Medium</v>
      </c>
      <c r="P503" t="str">
        <f>_xlfn.XLOOKUP(worksheet[[#This Row],[Customer ID]],customers!$A$1:$A$1001,customers!$I$1:$I$1001,0)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
        <v>3326</v>
      </c>
      <c r="H504" s="2" t="str">
        <f>_xlfn.XLOOKUP(C504,customers!$A$1:$A$1001,customers!$G$1:$G$1001,0)</f>
        <v>United Kingdom</v>
      </c>
      <c r="I504" t="str">
        <f>_xlfn.XLOOKUP(D504,products!$A$1:$A$49,products!$B$1:$B$49,0)</f>
        <v>Exc</v>
      </c>
      <c r="J504" t="str">
        <f>_xlfn.XLOOKUP(worksheet!D504,products!$A$1:$A$49,products!$C$1:$C$49,0)</f>
        <v>M</v>
      </c>
      <c r="K504" s="5">
        <f>_xlfn.XLOOKUP(worksheet!D504,products!$A$1:$A$49,products!$D$1:$D$49,0)</f>
        <v>0.2</v>
      </c>
      <c r="L504" s="6">
        <f>_xlfn.XLOOKUP(worksheet!D504,products!$A$1:$A$49,products!$E$1:$E$49,0)</f>
        <v>4.125</v>
      </c>
      <c r="M504" s="6">
        <f>worksheet!E504*worksheet!L504</f>
        <v>16.5</v>
      </c>
      <c r="N504" t="str">
        <f t="shared" si="14"/>
        <v>Excelsa</v>
      </c>
      <c r="O504" t="str">
        <f t="shared" si="15"/>
        <v>Medium</v>
      </c>
      <c r="P504" t="str">
        <f>_xlfn.XLOOKUP(worksheet[[#This Row],[Customer ID]],customers!$A$1:$A$1001,customers!$I$1:$I$1001,0)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
        <v>3326</v>
      </c>
      <c r="H505" s="2" t="str">
        <f>_xlfn.XLOOKUP(C505,customers!$A$1:$A$1001,customers!$G$1:$G$1001,0)</f>
        <v>United Kingdom</v>
      </c>
      <c r="I505" t="str">
        <f>_xlfn.XLOOKUP(D505,products!$A$1:$A$49,products!$B$1:$B$49,0)</f>
        <v>Lib</v>
      </c>
      <c r="J505" t="str">
        <f>_xlfn.XLOOKUP(worksheet!D505,products!$A$1:$A$49,products!$C$1:$C$49,0)</f>
        <v>D</v>
      </c>
      <c r="K505" s="5">
        <f>_xlfn.XLOOKUP(worksheet!D505,products!$A$1:$A$49,products!$D$1:$D$49,0)</f>
        <v>1</v>
      </c>
      <c r="L505" s="6">
        <f>_xlfn.XLOOKUP(worksheet!D505,products!$A$1:$A$49,products!$E$1:$E$49,0)</f>
        <v>12.95</v>
      </c>
      <c r="M505" s="6">
        <f>worksheet!E505*worksheet!L505</f>
        <v>51.8</v>
      </c>
      <c r="N505" t="str">
        <f t="shared" si="14"/>
        <v>Liberica</v>
      </c>
      <c r="O505" t="str">
        <f t="shared" si="15"/>
        <v>Dark</v>
      </c>
      <c r="P505" t="str">
        <f>_xlfn.XLOOKUP(worksheet[[#This Row],[Customer ID]],customers!$A$1:$A$1001,customers!$I$1:$I$1001,0)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
        <v>3326</v>
      </c>
      <c r="H506" s="2" t="str">
        <f>_xlfn.XLOOKUP(C506,customers!$A$1:$A$1001,customers!$G$1:$G$1001,0)</f>
        <v>United Kingdom</v>
      </c>
      <c r="I506" t="str">
        <f>_xlfn.XLOOKUP(D506,products!$A$1:$A$49,products!$B$1:$B$49,0)</f>
        <v>Lib</v>
      </c>
      <c r="J506" t="str">
        <f>_xlfn.XLOOKUP(worksheet!D506,products!$A$1:$A$49,products!$C$1:$C$49,0)</f>
        <v>L</v>
      </c>
      <c r="K506" s="5">
        <f>_xlfn.XLOOKUP(worksheet!D506,products!$A$1:$A$49,products!$D$1:$D$49,0)</f>
        <v>0.2</v>
      </c>
      <c r="L506" s="6">
        <f>_xlfn.XLOOKUP(worksheet!D506,products!$A$1:$A$49,products!$E$1:$E$49,0)</f>
        <v>4.7549999999999999</v>
      </c>
      <c r="M506" s="6">
        <f>worksheet!E506*worksheet!L506</f>
        <v>14.265000000000001</v>
      </c>
      <c r="N506" t="str">
        <f t="shared" si="14"/>
        <v>Liberica</v>
      </c>
      <c r="O506" t="str">
        <f t="shared" si="15"/>
        <v>Light</v>
      </c>
      <c r="P506" t="str">
        <f>_xlfn.XLOOKUP(worksheet[[#This Row],[Customer ID]],customers!$A$1:$A$1001,customers!$I$1:$I$1001,0)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
        <v>3346</v>
      </c>
      <c r="H507" s="2" t="str">
        <f>_xlfn.XLOOKUP(C507,customers!$A$1:$A$1001,customers!$G$1:$G$1001,0)</f>
        <v>United States</v>
      </c>
      <c r="I507" t="str">
        <f>_xlfn.XLOOKUP(D507,products!$A$1:$A$49,products!$B$1:$B$49,0)</f>
        <v>Lib</v>
      </c>
      <c r="J507" t="str">
        <f>_xlfn.XLOOKUP(worksheet!D507,products!$A$1:$A$49,products!$C$1:$C$49,0)</f>
        <v>M</v>
      </c>
      <c r="K507" s="5">
        <f>_xlfn.XLOOKUP(worksheet!D507,products!$A$1:$A$49,products!$D$1:$D$49,0)</f>
        <v>0.2</v>
      </c>
      <c r="L507" s="6">
        <f>_xlfn.XLOOKUP(worksheet!D507,products!$A$1:$A$49,products!$E$1:$E$49,0)</f>
        <v>4.3650000000000002</v>
      </c>
      <c r="M507" s="6">
        <f>worksheet!E507*worksheet!L507</f>
        <v>26.19</v>
      </c>
      <c r="N507" t="str">
        <f t="shared" si="14"/>
        <v>Liberica</v>
      </c>
      <c r="O507" t="str">
        <f t="shared" si="15"/>
        <v>Medium</v>
      </c>
      <c r="P507" t="str">
        <f>_xlfn.XLOOKUP(worksheet[[#This Row],[Customer ID]],customers!$A$1:$A$1001,customers!$I$1:$I$1001,0)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
        <v>3352</v>
      </c>
      <c r="H508" s="2" t="str">
        <f>_xlfn.XLOOKUP(C508,customers!$A$1:$A$1001,customers!$G$1:$G$1001,0)</f>
        <v>United States</v>
      </c>
      <c r="I508" t="str">
        <f>_xlfn.XLOOKUP(D508,products!$A$1:$A$49,products!$B$1:$B$49,0)</f>
        <v>Ara</v>
      </c>
      <c r="J508" t="str">
        <f>_xlfn.XLOOKUP(worksheet!D508,products!$A$1:$A$49,products!$C$1:$C$49,0)</f>
        <v>L</v>
      </c>
      <c r="K508" s="5">
        <f>_xlfn.XLOOKUP(worksheet!D508,products!$A$1:$A$49,products!$D$1:$D$49,0)</f>
        <v>1</v>
      </c>
      <c r="L508" s="6">
        <f>_xlfn.XLOOKUP(worksheet!D508,products!$A$1:$A$49,products!$E$1:$E$49,0)</f>
        <v>12.95</v>
      </c>
      <c r="M508" s="6">
        <f>worksheet!E508*worksheet!L508</f>
        <v>25.9</v>
      </c>
      <c r="N508" t="str">
        <f t="shared" si="14"/>
        <v>Arabica</v>
      </c>
      <c r="O508" t="str">
        <f t="shared" si="15"/>
        <v>Light</v>
      </c>
      <c r="P508" t="str">
        <f>_xlfn.XLOOKUP(worksheet[[#This Row],[Customer ID]],customers!$A$1:$A$1001,customers!$I$1:$I$1001,0)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
        <v>3358</v>
      </c>
      <c r="H509" s="2" t="str">
        <f>_xlfn.XLOOKUP(C509,customers!$A$1:$A$1001,customers!$G$1:$G$1001,0)</f>
        <v>United States</v>
      </c>
      <c r="I509" t="str">
        <f>_xlfn.XLOOKUP(D509,products!$A$1:$A$49,products!$B$1:$B$49,0)</f>
        <v>Ara</v>
      </c>
      <c r="J509" t="str">
        <f>_xlfn.XLOOKUP(worksheet!D509,products!$A$1:$A$49,products!$C$1:$C$49,0)</f>
        <v>L</v>
      </c>
      <c r="K509" s="5">
        <f>_xlfn.XLOOKUP(worksheet!D509,products!$A$1:$A$49,products!$D$1:$D$49,0)</f>
        <v>2.5</v>
      </c>
      <c r="L509" s="6">
        <f>_xlfn.XLOOKUP(worksheet!D509,products!$A$1:$A$49,products!$E$1:$E$49,0)</f>
        <v>29.784999999999997</v>
      </c>
      <c r="M509" s="6">
        <f>worksheet!E509*worksheet!L509</f>
        <v>89.35499999999999</v>
      </c>
      <c r="N509" t="str">
        <f t="shared" si="14"/>
        <v>Arabica</v>
      </c>
      <c r="O509" t="str">
        <f t="shared" si="15"/>
        <v>Light</v>
      </c>
      <c r="P509" t="str">
        <f>_xlfn.XLOOKUP(worksheet[[#This Row],[Customer ID]],customers!$A$1:$A$1001,customers!$I$1:$I$1001,0)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
        <v>3364</v>
      </c>
      <c r="H510" s="2" t="str">
        <f>_xlfn.XLOOKUP(C510,customers!$A$1:$A$1001,customers!$G$1:$G$1001,0)</f>
        <v>Ireland</v>
      </c>
      <c r="I510" t="str">
        <f>_xlfn.XLOOKUP(D510,products!$A$1:$A$49,products!$B$1:$B$49,0)</f>
        <v>Lib</v>
      </c>
      <c r="J510" t="str">
        <f>_xlfn.XLOOKUP(worksheet!D510,products!$A$1:$A$49,products!$C$1:$C$49,0)</f>
        <v>D</v>
      </c>
      <c r="K510" s="5">
        <f>_xlfn.XLOOKUP(worksheet!D510,products!$A$1:$A$49,products!$D$1:$D$49,0)</f>
        <v>0.5</v>
      </c>
      <c r="L510" s="6">
        <f>_xlfn.XLOOKUP(worksheet!D510,products!$A$1:$A$49,products!$E$1:$E$49,0)</f>
        <v>7.77</v>
      </c>
      <c r="M510" s="6">
        <f>worksheet!E510*worksheet!L510</f>
        <v>46.62</v>
      </c>
      <c r="N510" t="str">
        <f t="shared" si="14"/>
        <v>Liberica</v>
      </c>
      <c r="O510" t="str">
        <f t="shared" si="15"/>
        <v>Dark</v>
      </c>
      <c r="P510" t="str">
        <f>_xlfn.XLOOKUP(worksheet[[#This Row],[Customer ID]],customers!$A$1:$A$1001,customers!$I$1:$I$1001,0)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
        <v>3370</v>
      </c>
      <c r="H511" s="2" t="str">
        <f>_xlfn.XLOOKUP(C511,customers!$A$1:$A$1001,customers!$G$1:$G$1001,0)</f>
        <v>Ireland</v>
      </c>
      <c r="I511" t="str">
        <f>_xlfn.XLOOKUP(D511,products!$A$1:$A$49,products!$B$1:$B$49,0)</f>
        <v>Ara</v>
      </c>
      <c r="J511" t="str">
        <f>_xlfn.XLOOKUP(worksheet!D511,products!$A$1:$A$49,products!$C$1:$C$49,0)</f>
        <v>D</v>
      </c>
      <c r="K511" s="5">
        <f>_xlfn.XLOOKUP(worksheet!D511,products!$A$1:$A$49,products!$D$1:$D$49,0)</f>
        <v>1</v>
      </c>
      <c r="L511" s="6">
        <f>_xlfn.XLOOKUP(worksheet!D511,products!$A$1:$A$49,products!$E$1:$E$49,0)</f>
        <v>9.9499999999999993</v>
      </c>
      <c r="M511" s="6">
        <f>worksheet!E511*worksheet!L511</f>
        <v>29.849999999999998</v>
      </c>
      <c r="N511" t="str">
        <f t="shared" si="14"/>
        <v>Arabica</v>
      </c>
      <c r="O511" t="str">
        <f t="shared" si="15"/>
        <v>Dark</v>
      </c>
      <c r="P511" t="str">
        <f>_xlfn.XLOOKUP(worksheet[[#This Row],[Customer ID]],customers!$A$1:$A$1001,customers!$I$1:$I$1001,0)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
        <v>3376</v>
      </c>
      <c r="H512" s="2" t="str">
        <f>_xlfn.XLOOKUP(C512,customers!$A$1:$A$1001,customers!$G$1:$G$1001,0)</f>
        <v>Ireland</v>
      </c>
      <c r="I512" t="str">
        <f>_xlfn.XLOOKUP(D512,products!$A$1:$A$49,products!$B$1:$B$49,0)</f>
        <v>Rob</v>
      </c>
      <c r="J512" t="str">
        <f>_xlfn.XLOOKUP(worksheet!D512,products!$A$1:$A$49,products!$C$1:$C$49,0)</f>
        <v>L</v>
      </c>
      <c r="K512" s="5">
        <f>_xlfn.XLOOKUP(worksheet!D512,products!$A$1:$A$49,products!$D$1:$D$49,0)</f>
        <v>0.2</v>
      </c>
      <c r="L512" s="6">
        <f>_xlfn.XLOOKUP(worksheet!D512,products!$A$1:$A$49,products!$E$1:$E$49,0)</f>
        <v>3.5849999999999995</v>
      </c>
      <c r="M512" s="6">
        <f>worksheet!E512*worksheet!L512</f>
        <v>10.754999999999999</v>
      </c>
      <c r="N512" t="str">
        <f t="shared" si="14"/>
        <v>Robusta</v>
      </c>
      <c r="O512" t="str">
        <f t="shared" si="15"/>
        <v>Light</v>
      </c>
      <c r="P512" t="str">
        <f>_xlfn.XLOOKUP(worksheet[[#This Row],[Customer ID]],customers!$A$1:$A$1001,customers!$I$1:$I$1001,0)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
        <v>3382</v>
      </c>
      <c r="H513" s="2" t="str">
        <f>_xlfn.XLOOKUP(C513,customers!$A$1:$A$1001,customers!$G$1:$G$1001,0)</f>
        <v>United States</v>
      </c>
      <c r="I513" t="str">
        <f>_xlfn.XLOOKUP(D513,products!$A$1:$A$49,products!$B$1:$B$49,0)</f>
        <v>Ara</v>
      </c>
      <c r="J513" t="str">
        <f>_xlfn.XLOOKUP(worksheet!D513,products!$A$1:$A$49,products!$C$1:$C$49,0)</f>
        <v>M</v>
      </c>
      <c r="K513" s="5">
        <f>_xlfn.XLOOKUP(worksheet!D513,products!$A$1:$A$49,products!$D$1:$D$49,0)</f>
        <v>0.2</v>
      </c>
      <c r="L513" s="6">
        <f>_xlfn.XLOOKUP(worksheet!D513,products!$A$1:$A$49,products!$E$1:$E$49,0)</f>
        <v>3.375</v>
      </c>
      <c r="M513" s="6">
        <f>worksheet!E513*worksheet!L513</f>
        <v>13.5</v>
      </c>
      <c r="N513" t="str">
        <f t="shared" si="14"/>
        <v>Arabica</v>
      </c>
      <c r="O513" t="str">
        <f t="shared" si="15"/>
        <v>Medium</v>
      </c>
      <c r="P513" t="str">
        <f>_xlfn.XLOOKUP(worksheet[[#This Row],[Customer ID]],customers!$A$1:$A$1001,customers!$I$1:$I$1001,0)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
        <v>3388</v>
      </c>
      <c r="H514" s="2" t="str">
        <f>_xlfn.XLOOKUP(C514,customers!$A$1:$A$1001,customers!$G$1:$G$1001,0)</f>
        <v>United States</v>
      </c>
      <c r="I514" t="str">
        <f>_xlfn.XLOOKUP(D514,products!$A$1:$A$49,products!$B$1:$B$49,0)</f>
        <v>Lib</v>
      </c>
      <c r="J514" t="str">
        <f>_xlfn.XLOOKUP(worksheet!D514,products!$A$1:$A$49,products!$C$1:$C$49,0)</f>
        <v>L</v>
      </c>
      <c r="K514" s="5">
        <f>_xlfn.XLOOKUP(worksheet!D514,products!$A$1:$A$49,products!$D$1:$D$49,0)</f>
        <v>1</v>
      </c>
      <c r="L514" s="6">
        <f>_xlfn.XLOOKUP(worksheet!D514,products!$A$1:$A$49,products!$E$1:$E$49,0)</f>
        <v>15.85</v>
      </c>
      <c r="M514" s="6">
        <f>worksheet!E514*worksheet!L514</f>
        <v>47.55</v>
      </c>
      <c r="N514" t="str">
        <f t="shared" si="14"/>
        <v>Liberica</v>
      </c>
      <c r="O514" t="str">
        <f t="shared" si="15"/>
        <v>Light</v>
      </c>
      <c r="P514" t="str">
        <f>_xlfn.XLOOKUP(worksheet[[#This Row],[Customer ID]],customers!$A$1:$A$1001,customers!$I$1:$I$1001,0)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
        <v>3394</v>
      </c>
      <c r="H515" s="2" t="str">
        <f>_xlfn.XLOOKUP(C515,customers!$A$1:$A$1001,customers!$G$1:$G$1001,0)</f>
        <v>United States</v>
      </c>
      <c r="I515" t="str">
        <f>_xlfn.XLOOKUP(D515,products!$A$1:$A$49,products!$B$1:$B$49,0)</f>
        <v>Lib</v>
      </c>
      <c r="J515" t="str">
        <f>_xlfn.XLOOKUP(worksheet!D515,products!$A$1:$A$49,products!$C$1:$C$49,0)</f>
        <v>L</v>
      </c>
      <c r="K515" s="5">
        <f>_xlfn.XLOOKUP(worksheet!D515,products!$A$1:$A$49,products!$D$1:$D$49,0)</f>
        <v>1</v>
      </c>
      <c r="L515" s="6">
        <f>_xlfn.XLOOKUP(worksheet!D515,products!$A$1:$A$49,products!$E$1:$E$49,0)</f>
        <v>15.85</v>
      </c>
      <c r="M515" s="6">
        <f>worksheet!E515*worksheet!L515</f>
        <v>79.25</v>
      </c>
      <c r="N515" t="str">
        <f t="shared" ref="N515:N578" si="16">IF(I515="Rob","Robusta",IF(I515="Exc","Excelsa",IF(I515="Ara","Arabica",IF(I515="Lib","Liberica",""))))</f>
        <v>Liberica</v>
      </c>
      <c r="O515" t="str">
        <f t="shared" ref="O515:O578" si="17">IF(J515="M","Medium",IF(J515="L","Light",IF(J515="D","Dark","")))</f>
        <v>Light</v>
      </c>
      <c r="P515" t="str">
        <f>_xlfn.XLOOKUP(worksheet[[#This Row],[Customer ID]],customers!$A$1:$A$1001,customers!$I$1:$I$1001,0)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
        <v>3399</v>
      </c>
      <c r="H516" s="2" t="str">
        <f>_xlfn.XLOOKUP(C516,customers!$A$1:$A$1001,customers!$G$1:$G$1001,0)</f>
        <v>United States</v>
      </c>
      <c r="I516" t="str">
        <f>_xlfn.XLOOKUP(D516,products!$A$1:$A$49,products!$B$1:$B$49,0)</f>
        <v>Lib</v>
      </c>
      <c r="J516" t="str">
        <f>_xlfn.XLOOKUP(worksheet!D516,products!$A$1:$A$49,products!$C$1:$C$49,0)</f>
        <v>M</v>
      </c>
      <c r="K516" s="5">
        <f>_xlfn.XLOOKUP(worksheet!D516,products!$A$1:$A$49,products!$D$1:$D$49,0)</f>
        <v>0.2</v>
      </c>
      <c r="L516" s="6">
        <f>_xlfn.XLOOKUP(worksheet!D516,products!$A$1:$A$49,products!$E$1:$E$49,0)</f>
        <v>4.3650000000000002</v>
      </c>
      <c r="M516" s="6">
        <f>worksheet!E516*worksheet!L516</f>
        <v>26.19</v>
      </c>
      <c r="N516" t="str">
        <f t="shared" si="16"/>
        <v>Liberica</v>
      </c>
      <c r="O516" t="str">
        <f t="shared" si="17"/>
        <v>Medium</v>
      </c>
      <c r="P516" t="str">
        <f>_xlfn.XLOOKUP(worksheet[[#This Row],[Customer ID]],customers!$A$1:$A$1001,customers!$I$1:$I$1001,0)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
        <v>3405</v>
      </c>
      <c r="H517" s="2" t="str">
        <f>_xlfn.XLOOKUP(C517,customers!$A$1:$A$1001,customers!$G$1:$G$1001,0)</f>
        <v>United States</v>
      </c>
      <c r="I517" t="str">
        <f>_xlfn.XLOOKUP(D517,products!$A$1:$A$49,products!$B$1:$B$49,0)</f>
        <v>Rob</v>
      </c>
      <c r="J517" t="str">
        <f>_xlfn.XLOOKUP(worksheet!D517,products!$A$1:$A$49,products!$C$1:$C$49,0)</f>
        <v>L</v>
      </c>
      <c r="K517" s="5">
        <f>_xlfn.XLOOKUP(worksheet!D517,products!$A$1:$A$49,products!$D$1:$D$49,0)</f>
        <v>0.5</v>
      </c>
      <c r="L517" s="6">
        <f>_xlfn.XLOOKUP(worksheet!D517,products!$A$1:$A$49,products!$E$1:$E$49,0)</f>
        <v>7.169999999999999</v>
      </c>
      <c r="M517" s="6">
        <f>worksheet!E517*worksheet!L517</f>
        <v>21.509999999999998</v>
      </c>
      <c r="N517" t="str">
        <f t="shared" si="16"/>
        <v>Robusta</v>
      </c>
      <c r="O517" t="str">
        <f t="shared" si="17"/>
        <v>Light</v>
      </c>
      <c r="P517" t="str">
        <f>_xlfn.XLOOKUP(worksheet[[#This Row],[Customer ID]],customers!$A$1:$A$1001,customers!$I$1:$I$1001,0)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
        <v>6222</v>
      </c>
      <c r="H518" s="2" t="str">
        <f>_xlfn.XLOOKUP(C518,customers!$A$1:$A$1001,customers!$G$1:$G$1001,0)</f>
        <v>United States</v>
      </c>
      <c r="I518" t="str">
        <f>_xlfn.XLOOKUP(D518,products!$A$1:$A$49,products!$B$1:$B$49,0)</f>
        <v>Rob</v>
      </c>
      <c r="J518" t="str">
        <f>_xlfn.XLOOKUP(worksheet!D518,products!$A$1:$A$49,products!$C$1:$C$49,0)</f>
        <v>D</v>
      </c>
      <c r="K518" s="5">
        <f>_xlfn.XLOOKUP(worksheet!D518,products!$A$1:$A$49,products!$D$1:$D$49,0)</f>
        <v>2.5</v>
      </c>
      <c r="L518" s="6">
        <f>_xlfn.XLOOKUP(worksheet!D518,products!$A$1:$A$49,products!$E$1:$E$49,0)</f>
        <v>20.584999999999997</v>
      </c>
      <c r="M518" s="6">
        <f>worksheet!E518*worksheet!L518</f>
        <v>102.92499999999998</v>
      </c>
      <c r="N518" t="str">
        <f t="shared" si="16"/>
        <v>Robusta</v>
      </c>
      <c r="O518" t="str">
        <f t="shared" si="17"/>
        <v>Dark</v>
      </c>
      <c r="P518" t="str">
        <f>_xlfn.XLOOKUP(worksheet[[#This Row],[Customer ID]],customers!$A$1:$A$1001,customers!$I$1:$I$1001,0)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
        <v>6222</v>
      </c>
      <c r="H519" s="2" t="str">
        <f>_xlfn.XLOOKUP(C519,customers!$A$1:$A$1001,customers!$G$1:$G$1001,0)</f>
        <v>United States</v>
      </c>
      <c r="I519" t="str">
        <f>_xlfn.XLOOKUP(D519,products!$A$1:$A$49,products!$B$1:$B$49,0)</f>
        <v>Lib</v>
      </c>
      <c r="J519" t="str">
        <f>_xlfn.XLOOKUP(worksheet!D519,products!$A$1:$A$49,products!$C$1:$C$49,0)</f>
        <v>D</v>
      </c>
      <c r="K519" s="5">
        <f>_xlfn.XLOOKUP(worksheet!D519,products!$A$1:$A$49,products!$D$1:$D$49,0)</f>
        <v>0.2</v>
      </c>
      <c r="L519" s="6">
        <f>_xlfn.XLOOKUP(worksheet!D519,products!$A$1:$A$49,products!$E$1:$E$49,0)</f>
        <v>3.8849999999999998</v>
      </c>
      <c r="M519" s="6">
        <f>worksheet!E519*worksheet!L519</f>
        <v>7.77</v>
      </c>
      <c r="N519" t="str">
        <f t="shared" si="16"/>
        <v>Liberica</v>
      </c>
      <c r="O519" t="str">
        <f t="shared" si="17"/>
        <v>Dark</v>
      </c>
      <c r="P519" t="str">
        <f>_xlfn.XLOOKUP(worksheet[[#This Row],[Customer ID]],customers!$A$1:$A$1001,customers!$I$1:$I$1001,0)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
        <v>3421</v>
      </c>
      <c r="H520" s="2" t="str">
        <f>_xlfn.XLOOKUP(C520,customers!$A$1:$A$1001,customers!$G$1:$G$1001,0)</f>
        <v>United States</v>
      </c>
      <c r="I520" t="str">
        <f>_xlfn.XLOOKUP(D520,products!$A$1:$A$49,products!$B$1:$B$49,0)</f>
        <v>Exc</v>
      </c>
      <c r="J520" t="str">
        <f>_xlfn.XLOOKUP(worksheet!D520,products!$A$1:$A$49,products!$C$1:$C$49,0)</f>
        <v>D</v>
      </c>
      <c r="K520" s="5">
        <f>_xlfn.XLOOKUP(worksheet!D520,products!$A$1:$A$49,products!$D$1:$D$49,0)</f>
        <v>2.5</v>
      </c>
      <c r="L520" s="6">
        <f>_xlfn.XLOOKUP(worksheet!D520,products!$A$1:$A$49,products!$E$1:$E$49,0)</f>
        <v>27.945</v>
      </c>
      <c r="M520" s="6">
        <f>worksheet!E520*worksheet!L520</f>
        <v>139.72499999999999</v>
      </c>
      <c r="N520" t="str">
        <f t="shared" si="16"/>
        <v>Excelsa</v>
      </c>
      <c r="O520" t="str">
        <f t="shared" si="17"/>
        <v>Dark</v>
      </c>
      <c r="P520" t="str">
        <f>_xlfn.XLOOKUP(worksheet[[#This Row],[Customer ID]],customers!$A$1:$A$1001,customers!$I$1:$I$1001,0)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
        <v>3370</v>
      </c>
      <c r="H521" s="2" t="str">
        <f>_xlfn.XLOOKUP(C521,customers!$A$1:$A$1001,customers!$G$1:$G$1001,0)</f>
        <v>Ireland</v>
      </c>
      <c r="I521" t="str">
        <f>_xlfn.XLOOKUP(D521,products!$A$1:$A$49,products!$B$1:$B$49,0)</f>
        <v>Ara</v>
      </c>
      <c r="J521" t="str">
        <f>_xlfn.XLOOKUP(worksheet!D521,products!$A$1:$A$49,products!$C$1:$C$49,0)</f>
        <v>D</v>
      </c>
      <c r="K521" s="5">
        <f>_xlfn.XLOOKUP(worksheet!D521,products!$A$1:$A$49,products!$D$1:$D$49,0)</f>
        <v>0.5</v>
      </c>
      <c r="L521" s="6">
        <f>_xlfn.XLOOKUP(worksheet!D521,products!$A$1:$A$49,products!$E$1:$E$49,0)</f>
        <v>5.97</v>
      </c>
      <c r="M521" s="6">
        <f>worksheet!E521*worksheet!L521</f>
        <v>11.94</v>
      </c>
      <c r="N521" t="str">
        <f t="shared" si="16"/>
        <v>Arabica</v>
      </c>
      <c r="O521" t="str">
        <f t="shared" si="17"/>
        <v>Dark</v>
      </c>
      <c r="P521" t="str">
        <f>_xlfn.XLOOKUP(worksheet[[#This Row],[Customer ID]],customers!$A$1:$A$1001,customers!$I$1:$I$1001,0)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
        <v>3433</v>
      </c>
      <c r="H522" s="2" t="str">
        <f>_xlfn.XLOOKUP(C522,customers!$A$1:$A$1001,customers!$G$1:$G$1001,0)</f>
        <v>United States</v>
      </c>
      <c r="I522" t="str">
        <f>_xlfn.XLOOKUP(D522,products!$A$1:$A$49,products!$B$1:$B$49,0)</f>
        <v>Lib</v>
      </c>
      <c r="J522" t="str">
        <f>_xlfn.XLOOKUP(worksheet!D522,products!$A$1:$A$49,products!$C$1:$C$49,0)</f>
        <v>D</v>
      </c>
      <c r="K522" s="5">
        <f>_xlfn.XLOOKUP(worksheet!D522,products!$A$1:$A$49,products!$D$1:$D$49,0)</f>
        <v>0.2</v>
      </c>
      <c r="L522" s="6">
        <f>_xlfn.XLOOKUP(worksheet!D522,products!$A$1:$A$49,products!$E$1:$E$49,0)</f>
        <v>3.8849999999999998</v>
      </c>
      <c r="M522" s="6">
        <f>worksheet!E522*worksheet!L522</f>
        <v>3.8849999999999998</v>
      </c>
      <c r="N522" t="str">
        <f t="shared" si="16"/>
        <v>Liberica</v>
      </c>
      <c r="O522" t="str">
        <f t="shared" si="17"/>
        <v>Dark</v>
      </c>
      <c r="P522" t="str">
        <f>_xlfn.XLOOKUP(worksheet[[#This Row],[Customer ID]],customers!$A$1:$A$1001,customers!$I$1:$I$1001,0)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
        <v>3433</v>
      </c>
      <c r="H523" s="2" t="str">
        <f>_xlfn.XLOOKUP(C523,customers!$A$1:$A$1001,customers!$G$1:$G$1001,0)</f>
        <v>United States</v>
      </c>
      <c r="I523" t="str">
        <f>_xlfn.XLOOKUP(D523,products!$A$1:$A$49,products!$B$1:$B$49,0)</f>
        <v>Rob</v>
      </c>
      <c r="J523" t="str">
        <f>_xlfn.XLOOKUP(worksheet!D523,products!$A$1:$A$49,products!$C$1:$C$49,0)</f>
        <v>M</v>
      </c>
      <c r="K523" s="5">
        <f>_xlfn.XLOOKUP(worksheet!D523,products!$A$1:$A$49,products!$D$1:$D$49,0)</f>
        <v>1</v>
      </c>
      <c r="L523" s="6">
        <f>_xlfn.XLOOKUP(worksheet!D523,products!$A$1:$A$49,products!$E$1:$E$49,0)</f>
        <v>9.9499999999999993</v>
      </c>
      <c r="M523" s="6">
        <f>worksheet!E523*worksheet!L523</f>
        <v>39.799999999999997</v>
      </c>
      <c r="N523" t="str">
        <f t="shared" si="16"/>
        <v>Robusta</v>
      </c>
      <c r="O523" t="str">
        <f t="shared" si="17"/>
        <v>Medium</v>
      </c>
      <c r="P523" t="str">
        <f>_xlfn.XLOOKUP(worksheet[[#This Row],[Customer ID]],customers!$A$1:$A$1001,customers!$I$1:$I$1001,0)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
        <v>3444</v>
      </c>
      <c r="H524" s="2" t="str">
        <f>_xlfn.XLOOKUP(C524,customers!$A$1:$A$1001,customers!$G$1:$G$1001,0)</f>
        <v>United States</v>
      </c>
      <c r="I524" t="str">
        <f>_xlfn.XLOOKUP(D524,products!$A$1:$A$49,products!$B$1:$B$49,0)</f>
        <v>Rob</v>
      </c>
      <c r="J524" t="str">
        <f>_xlfn.XLOOKUP(worksheet!D524,products!$A$1:$A$49,products!$C$1:$C$49,0)</f>
        <v>M</v>
      </c>
      <c r="K524" s="5">
        <f>_xlfn.XLOOKUP(worksheet!D524,products!$A$1:$A$49,products!$D$1:$D$49,0)</f>
        <v>0.5</v>
      </c>
      <c r="L524" s="6">
        <f>_xlfn.XLOOKUP(worksheet!D524,products!$A$1:$A$49,products!$E$1:$E$49,0)</f>
        <v>5.97</v>
      </c>
      <c r="M524" s="6">
        <f>worksheet!E524*worksheet!L524</f>
        <v>29.849999999999998</v>
      </c>
      <c r="N524" t="str">
        <f t="shared" si="16"/>
        <v>Robusta</v>
      </c>
      <c r="O524" t="str">
        <f t="shared" si="17"/>
        <v>Medium</v>
      </c>
      <c r="P524" t="str">
        <f>_xlfn.XLOOKUP(worksheet[[#This Row],[Customer ID]],customers!$A$1:$A$1001,customers!$I$1:$I$1001,0)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
        <v>3450</v>
      </c>
      <c r="H525" s="2" t="str">
        <f>_xlfn.XLOOKUP(C525,customers!$A$1:$A$1001,customers!$G$1:$G$1001,0)</f>
        <v>Ireland</v>
      </c>
      <c r="I525" t="str">
        <f>_xlfn.XLOOKUP(D525,products!$A$1:$A$49,products!$B$1:$B$49,0)</f>
        <v>Lib</v>
      </c>
      <c r="J525" t="str">
        <f>_xlfn.XLOOKUP(worksheet!D525,products!$A$1:$A$49,products!$C$1:$C$49,0)</f>
        <v>D</v>
      </c>
      <c r="K525" s="5">
        <f>_xlfn.XLOOKUP(worksheet!D525,products!$A$1:$A$49,products!$D$1:$D$49,0)</f>
        <v>2.5</v>
      </c>
      <c r="L525" s="6">
        <f>_xlfn.XLOOKUP(worksheet!D525,products!$A$1:$A$49,products!$E$1:$E$49,0)</f>
        <v>29.784999999999997</v>
      </c>
      <c r="M525" s="6">
        <f>worksheet!E525*worksheet!L525</f>
        <v>29.784999999999997</v>
      </c>
      <c r="N525" t="str">
        <f t="shared" si="16"/>
        <v>Liberica</v>
      </c>
      <c r="O525" t="str">
        <f t="shared" si="17"/>
        <v>Dark</v>
      </c>
      <c r="P525" t="str">
        <f>_xlfn.XLOOKUP(worksheet[[#This Row],[Customer ID]],customers!$A$1:$A$1001,customers!$I$1:$I$1001,0)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
        <v>6222</v>
      </c>
      <c r="H526" s="2" t="str">
        <f>_xlfn.XLOOKUP(C526,customers!$A$1:$A$1001,customers!$G$1:$G$1001,0)</f>
        <v>United States</v>
      </c>
      <c r="I526" t="str">
        <f>_xlfn.XLOOKUP(D526,products!$A$1:$A$49,products!$B$1:$B$49,0)</f>
        <v>Lib</v>
      </c>
      <c r="J526" t="str">
        <f>_xlfn.XLOOKUP(worksheet!D526,products!$A$1:$A$49,products!$C$1:$C$49,0)</f>
        <v>L</v>
      </c>
      <c r="K526" s="5">
        <f>_xlfn.XLOOKUP(worksheet!D526,products!$A$1:$A$49,products!$D$1:$D$49,0)</f>
        <v>2.5</v>
      </c>
      <c r="L526" s="6">
        <f>_xlfn.XLOOKUP(worksheet!D526,products!$A$1:$A$49,products!$E$1:$E$49,0)</f>
        <v>36.454999999999998</v>
      </c>
      <c r="M526" s="6">
        <f>worksheet!E526*worksheet!L526</f>
        <v>72.91</v>
      </c>
      <c r="N526" t="str">
        <f t="shared" si="16"/>
        <v>Liberica</v>
      </c>
      <c r="O526" t="str">
        <f t="shared" si="17"/>
        <v>Light</v>
      </c>
      <c r="P526" t="str">
        <f>_xlfn.XLOOKUP(worksheet[[#This Row],[Customer ID]],customers!$A$1:$A$1001,customers!$I$1:$I$1001,0)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
        <v>6222</v>
      </c>
      <c r="H527" s="2" t="str">
        <f>_xlfn.XLOOKUP(C527,customers!$A$1:$A$1001,customers!$G$1:$G$1001,0)</f>
        <v>United States</v>
      </c>
      <c r="I527" t="str">
        <f>_xlfn.XLOOKUP(D527,products!$A$1:$A$49,products!$B$1:$B$49,0)</f>
        <v>Rob</v>
      </c>
      <c r="J527" t="str">
        <f>_xlfn.XLOOKUP(worksheet!D527,products!$A$1:$A$49,products!$C$1:$C$49,0)</f>
        <v>D</v>
      </c>
      <c r="K527" s="5">
        <f>_xlfn.XLOOKUP(worksheet!D527,products!$A$1:$A$49,products!$D$1:$D$49,0)</f>
        <v>0.2</v>
      </c>
      <c r="L527" s="6">
        <f>_xlfn.XLOOKUP(worksheet!D527,products!$A$1:$A$49,products!$E$1:$E$49,0)</f>
        <v>2.6849999999999996</v>
      </c>
      <c r="M527" s="6">
        <f>worksheet!E527*worksheet!L527</f>
        <v>13.424999999999997</v>
      </c>
      <c r="N527" t="str">
        <f t="shared" si="16"/>
        <v>Robusta</v>
      </c>
      <c r="O527" t="str">
        <f t="shared" si="17"/>
        <v>Dark</v>
      </c>
      <c r="P527" t="str">
        <f>_xlfn.XLOOKUP(worksheet[[#This Row],[Customer ID]],customers!$A$1:$A$1001,customers!$I$1:$I$1001,0)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
        <v>3466</v>
      </c>
      <c r="H528" s="2" t="str">
        <f>_xlfn.XLOOKUP(C528,customers!$A$1:$A$1001,customers!$G$1:$G$1001,0)</f>
        <v>United States</v>
      </c>
      <c r="I528" t="str">
        <f>_xlfn.XLOOKUP(D528,products!$A$1:$A$49,products!$B$1:$B$49,0)</f>
        <v>Exc</v>
      </c>
      <c r="J528" t="str">
        <f>_xlfn.XLOOKUP(worksheet!D528,products!$A$1:$A$49,products!$C$1:$C$49,0)</f>
        <v>M</v>
      </c>
      <c r="K528" s="5">
        <f>_xlfn.XLOOKUP(worksheet!D528,products!$A$1:$A$49,products!$D$1:$D$49,0)</f>
        <v>2.5</v>
      </c>
      <c r="L528" s="6">
        <f>_xlfn.XLOOKUP(worksheet!D528,products!$A$1:$A$49,products!$E$1:$E$49,0)</f>
        <v>31.624999999999996</v>
      </c>
      <c r="M528" s="6">
        <f>worksheet!E528*worksheet!L528</f>
        <v>126.49999999999999</v>
      </c>
      <c r="N528" t="str">
        <f t="shared" si="16"/>
        <v>Excelsa</v>
      </c>
      <c r="O528" t="str">
        <f t="shared" si="17"/>
        <v>Medium</v>
      </c>
      <c r="P528" t="str">
        <f>_xlfn.XLOOKUP(worksheet[[#This Row],[Customer ID]],customers!$A$1:$A$1001,customers!$I$1:$I$1001,0)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
        <v>3472</v>
      </c>
      <c r="H529" s="2" t="str">
        <f>_xlfn.XLOOKUP(C529,customers!$A$1:$A$1001,customers!$G$1:$G$1001,0)</f>
        <v>United Kingdom</v>
      </c>
      <c r="I529" t="str">
        <f>_xlfn.XLOOKUP(D529,products!$A$1:$A$49,products!$B$1:$B$49,0)</f>
        <v>Exc</v>
      </c>
      <c r="J529" t="str">
        <f>_xlfn.XLOOKUP(worksheet!D529,products!$A$1:$A$49,products!$C$1:$C$49,0)</f>
        <v>M</v>
      </c>
      <c r="K529" s="5">
        <f>_xlfn.XLOOKUP(worksheet!D529,products!$A$1:$A$49,products!$D$1:$D$49,0)</f>
        <v>0.5</v>
      </c>
      <c r="L529" s="6">
        <f>_xlfn.XLOOKUP(worksheet!D529,products!$A$1:$A$49,products!$E$1:$E$49,0)</f>
        <v>8.25</v>
      </c>
      <c r="M529" s="6">
        <f>worksheet!E529*worksheet!L529</f>
        <v>41.25</v>
      </c>
      <c r="N529" t="str">
        <f t="shared" si="16"/>
        <v>Excelsa</v>
      </c>
      <c r="O529" t="str">
        <f t="shared" si="17"/>
        <v>Medium</v>
      </c>
      <c r="P529" t="str">
        <f>_xlfn.XLOOKUP(worksheet[[#This Row],[Customer ID]],customers!$A$1:$A$1001,customers!$I$1:$I$1001,0)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
        <v>3478</v>
      </c>
      <c r="H530" s="2" t="str">
        <f>_xlfn.XLOOKUP(C530,customers!$A$1:$A$1001,customers!$G$1:$G$1001,0)</f>
        <v>United States</v>
      </c>
      <c r="I530" t="str">
        <f>_xlfn.XLOOKUP(D530,products!$A$1:$A$49,products!$B$1:$B$49,0)</f>
        <v>Exc</v>
      </c>
      <c r="J530" t="str">
        <f>_xlfn.XLOOKUP(worksheet!D530,products!$A$1:$A$49,products!$C$1:$C$49,0)</f>
        <v>L</v>
      </c>
      <c r="K530" s="5">
        <f>_xlfn.XLOOKUP(worksheet!D530,products!$A$1:$A$49,products!$D$1:$D$49,0)</f>
        <v>0.5</v>
      </c>
      <c r="L530" s="6">
        <f>_xlfn.XLOOKUP(worksheet!D530,products!$A$1:$A$49,products!$E$1:$E$49,0)</f>
        <v>8.91</v>
      </c>
      <c r="M530" s="6">
        <f>worksheet!E530*worksheet!L530</f>
        <v>53.46</v>
      </c>
      <c r="N530" t="str">
        <f t="shared" si="16"/>
        <v>Excelsa</v>
      </c>
      <c r="O530" t="str">
        <f t="shared" si="17"/>
        <v>Light</v>
      </c>
      <c r="P530" t="str">
        <f>_xlfn.XLOOKUP(worksheet[[#This Row],[Customer ID]],customers!$A$1:$A$1001,customers!$I$1:$I$1001,0)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
        <v>3484</v>
      </c>
      <c r="H531" s="2" t="str">
        <f>_xlfn.XLOOKUP(C531,customers!$A$1:$A$1001,customers!$G$1:$G$1001,0)</f>
        <v>United States</v>
      </c>
      <c r="I531" t="str">
        <f>_xlfn.XLOOKUP(D531,products!$A$1:$A$49,products!$B$1:$B$49,0)</f>
        <v>Rob</v>
      </c>
      <c r="J531" t="str">
        <f>_xlfn.XLOOKUP(worksheet!D531,products!$A$1:$A$49,products!$C$1:$C$49,0)</f>
        <v>M</v>
      </c>
      <c r="K531" s="5">
        <f>_xlfn.XLOOKUP(worksheet!D531,products!$A$1:$A$49,products!$D$1:$D$49,0)</f>
        <v>1</v>
      </c>
      <c r="L531" s="6">
        <f>_xlfn.XLOOKUP(worksheet!D531,products!$A$1:$A$49,products!$E$1:$E$49,0)</f>
        <v>9.9499999999999993</v>
      </c>
      <c r="M531" s="6">
        <f>worksheet!E531*worksheet!L531</f>
        <v>59.699999999999996</v>
      </c>
      <c r="N531" t="str">
        <f t="shared" si="16"/>
        <v>Robusta</v>
      </c>
      <c r="O531" t="str">
        <f t="shared" si="17"/>
        <v>Medium</v>
      </c>
      <c r="P531" t="str">
        <f>_xlfn.XLOOKUP(worksheet[[#This Row],[Customer ID]],customers!$A$1:$A$1001,customers!$I$1:$I$1001,0)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
        <v>3490</v>
      </c>
      <c r="H532" s="2" t="str">
        <f>_xlfn.XLOOKUP(C532,customers!$A$1:$A$1001,customers!$G$1:$G$1001,0)</f>
        <v>United States</v>
      </c>
      <c r="I532" t="str">
        <f>_xlfn.XLOOKUP(D532,products!$A$1:$A$49,products!$B$1:$B$49,0)</f>
        <v>Rob</v>
      </c>
      <c r="J532" t="str">
        <f>_xlfn.XLOOKUP(worksheet!D532,products!$A$1:$A$49,products!$C$1:$C$49,0)</f>
        <v>M</v>
      </c>
      <c r="K532" s="5">
        <f>_xlfn.XLOOKUP(worksheet!D532,products!$A$1:$A$49,products!$D$1:$D$49,0)</f>
        <v>1</v>
      </c>
      <c r="L532" s="6">
        <f>_xlfn.XLOOKUP(worksheet!D532,products!$A$1:$A$49,products!$E$1:$E$49,0)</f>
        <v>9.9499999999999993</v>
      </c>
      <c r="M532" s="6">
        <f>worksheet!E532*worksheet!L532</f>
        <v>59.699999999999996</v>
      </c>
      <c r="N532" t="str">
        <f t="shared" si="16"/>
        <v>Robusta</v>
      </c>
      <c r="O532" t="str">
        <f t="shared" si="17"/>
        <v>Medium</v>
      </c>
      <c r="P532" t="str">
        <f>_xlfn.XLOOKUP(worksheet[[#This Row],[Customer ID]],customers!$A$1:$A$1001,customers!$I$1:$I$1001,0)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
        <v>3496</v>
      </c>
      <c r="H533" s="2" t="str">
        <f>_xlfn.XLOOKUP(C533,customers!$A$1:$A$1001,customers!$G$1:$G$1001,0)</f>
        <v>United States</v>
      </c>
      <c r="I533" t="str">
        <f>_xlfn.XLOOKUP(D533,products!$A$1:$A$49,products!$B$1:$B$49,0)</f>
        <v>Rob</v>
      </c>
      <c r="J533" t="str">
        <f>_xlfn.XLOOKUP(worksheet!D533,products!$A$1:$A$49,products!$C$1:$C$49,0)</f>
        <v>D</v>
      </c>
      <c r="K533" s="5">
        <f>_xlfn.XLOOKUP(worksheet!D533,products!$A$1:$A$49,products!$D$1:$D$49,0)</f>
        <v>1</v>
      </c>
      <c r="L533" s="6">
        <f>_xlfn.XLOOKUP(worksheet!D533,products!$A$1:$A$49,products!$E$1:$E$49,0)</f>
        <v>8.9499999999999993</v>
      </c>
      <c r="M533" s="6">
        <f>worksheet!E533*worksheet!L533</f>
        <v>44.75</v>
      </c>
      <c r="N533" t="str">
        <f t="shared" si="16"/>
        <v>Robusta</v>
      </c>
      <c r="O533" t="str">
        <f t="shared" si="17"/>
        <v>Dark</v>
      </c>
      <c r="P533" t="str">
        <f>_xlfn.XLOOKUP(worksheet[[#This Row],[Customer ID]],customers!$A$1:$A$1001,customers!$I$1:$I$1001,0)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
        <v>3502</v>
      </c>
      <c r="H534" s="2" t="str">
        <f>_xlfn.XLOOKUP(C534,customers!$A$1:$A$1001,customers!$G$1:$G$1001,0)</f>
        <v>United States</v>
      </c>
      <c r="I534" t="str">
        <f>_xlfn.XLOOKUP(D534,products!$A$1:$A$49,products!$B$1:$B$49,0)</f>
        <v>Exc</v>
      </c>
      <c r="J534" t="str">
        <f>_xlfn.XLOOKUP(worksheet!D534,products!$A$1:$A$49,products!$C$1:$C$49,0)</f>
        <v>M</v>
      </c>
      <c r="K534" s="5">
        <f>_xlfn.XLOOKUP(worksheet!D534,products!$A$1:$A$49,products!$D$1:$D$49,0)</f>
        <v>0.5</v>
      </c>
      <c r="L534" s="6">
        <f>_xlfn.XLOOKUP(worksheet!D534,products!$A$1:$A$49,products!$E$1:$E$49,0)</f>
        <v>8.25</v>
      </c>
      <c r="M534" s="6">
        <f>worksheet!E534*worksheet!L534</f>
        <v>16.5</v>
      </c>
      <c r="N534" t="str">
        <f t="shared" si="16"/>
        <v>Excelsa</v>
      </c>
      <c r="O534" t="str">
        <f t="shared" si="17"/>
        <v>Medium</v>
      </c>
      <c r="P534" t="str">
        <f>_xlfn.XLOOKUP(worksheet[[#This Row],[Customer ID]],customers!$A$1:$A$1001,customers!$I$1:$I$1001,0)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
        <v>6222</v>
      </c>
      <c r="H535" s="2" t="str">
        <f>_xlfn.XLOOKUP(C535,customers!$A$1:$A$1001,customers!$G$1:$G$1001,0)</f>
        <v>United States</v>
      </c>
      <c r="I535" t="str">
        <f>_xlfn.XLOOKUP(D535,products!$A$1:$A$49,products!$B$1:$B$49,0)</f>
        <v>Rob</v>
      </c>
      <c r="J535" t="str">
        <f>_xlfn.XLOOKUP(worksheet!D535,products!$A$1:$A$49,products!$C$1:$C$49,0)</f>
        <v>D</v>
      </c>
      <c r="K535" s="5">
        <f>_xlfn.XLOOKUP(worksheet!D535,products!$A$1:$A$49,products!$D$1:$D$49,0)</f>
        <v>0.5</v>
      </c>
      <c r="L535" s="6">
        <f>_xlfn.XLOOKUP(worksheet!D535,products!$A$1:$A$49,products!$E$1:$E$49,0)</f>
        <v>5.3699999999999992</v>
      </c>
      <c r="M535" s="6">
        <f>worksheet!E535*worksheet!L535</f>
        <v>21.479999999999997</v>
      </c>
      <c r="N535" t="str">
        <f t="shared" si="16"/>
        <v>Robusta</v>
      </c>
      <c r="O535" t="str">
        <f t="shared" si="17"/>
        <v>Dark</v>
      </c>
      <c r="P535" t="str">
        <f>_xlfn.XLOOKUP(worksheet[[#This Row],[Customer ID]],customers!$A$1:$A$1001,customers!$I$1:$I$1001,0)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
        <v>3513</v>
      </c>
      <c r="H536" s="2" t="str">
        <f>_xlfn.XLOOKUP(C536,customers!$A$1:$A$1001,customers!$G$1:$G$1001,0)</f>
        <v>Ireland</v>
      </c>
      <c r="I536" t="str">
        <f>_xlfn.XLOOKUP(D536,products!$A$1:$A$49,products!$B$1:$B$49,0)</f>
        <v>Rob</v>
      </c>
      <c r="J536" t="str">
        <f>_xlfn.XLOOKUP(worksheet!D536,products!$A$1:$A$49,products!$C$1:$C$49,0)</f>
        <v>M</v>
      </c>
      <c r="K536" s="5">
        <f>_xlfn.XLOOKUP(worksheet!D536,products!$A$1:$A$49,products!$D$1:$D$49,0)</f>
        <v>2.5</v>
      </c>
      <c r="L536" s="6">
        <f>_xlfn.XLOOKUP(worksheet!D536,products!$A$1:$A$49,products!$E$1:$E$49,0)</f>
        <v>22.884999999999998</v>
      </c>
      <c r="M536" s="6">
        <f>worksheet!E536*worksheet!L536</f>
        <v>45.769999999999996</v>
      </c>
      <c r="N536" t="str">
        <f t="shared" si="16"/>
        <v>Robusta</v>
      </c>
      <c r="O536" t="str">
        <f t="shared" si="17"/>
        <v>Medium</v>
      </c>
      <c r="P536" t="str">
        <f>_xlfn.XLOOKUP(worksheet[[#This Row],[Customer ID]],customers!$A$1:$A$1001,customers!$I$1:$I$1001,0)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
        <v>6222</v>
      </c>
      <c r="H537" s="2" t="str">
        <f>_xlfn.XLOOKUP(C537,customers!$A$1:$A$1001,customers!$G$1:$G$1001,0)</f>
        <v>Ireland</v>
      </c>
      <c r="I537" t="str">
        <f>_xlfn.XLOOKUP(D537,products!$A$1:$A$49,products!$B$1:$B$49,0)</f>
        <v>Lib</v>
      </c>
      <c r="J537" t="str">
        <f>_xlfn.XLOOKUP(worksheet!D537,products!$A$1:$A$49,products!$C$1:$C$49,0)</f>
        <v>L</v>
      </c>
      <c r="K537" s="5">
        <f>_xlfn.XLOOKUP(worksheet!D537,products!$A$1:$A$49,products!$D$1:$D$49,0)</f>
        <v>0.2</v>
      </c>
      <c r="L537" s="6">
        <f>_xlfn.XLOOKUP(worksheet!D537,products!$A$1:$A$49,products!$E$1:$E$49,0)</f>
        <v>4.7549999999999999</v>
      </c>
      <c r="M537" s="6">
        <f>worksheet!E537*worksheet!L537</f>
        <v>9.51</v>
      </c>
      <c r="N537" t="str">
        <f t="shared" si="16"/>
        <v>Liberica</v>
      </c>
      <c r="O537" t="str">
        <f t="shared" si="17"/>
        <v>Light</v>
      </c>
      <c r="P537" t="str">
        <f>_xlfn.XLOOKUP(worksheet[[#This Row],[Customer ID]],customers!$A$1:$A$1001,customers!$I$1:$I$1001,0)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
        <v>3370</v>
      </c>
      <c r="H538" s="2" t="str">
        <f>_xlfn.XLOOKUP(C538,customers!$A$1:$A$1001,customers!$G$1:$G$1001,0)</f>
        <v>Ireland</v>
      </c>
      <c r="I538" t="str">
        <f>_xlfn.XLOOKUP(D538,products!$A$1:$A$49,products!$B$1:$B$49,0)</f>
        <v>Rob</v>
      </c>
      <c r="J538" t="str">
        <f>_xlfn.XLOOKUP(worksheet!D538,products!$A$1:$A$49,products!$C$1:$C$49,0)</f>
        <v>D</v>
      </c>
      <c r="K538" s="5">
        <f>_xlfn.XLOOKUP(worksheet!D538,products!$A$1:$A$49,products!$D$1:$D$49,0)</f>
        <v>0.2</v>
      </c>
      <c r="L538" s="6">
        <f>_xlfn.XLOOKUP(worksheet!D538,products!$A$1:$A$49,products!$E$1:$E$49,0)</f>
        <v>2.6849999999999996</v>
      </c>
      <c r="M538" s="6">
        <f>worksheet!E538*worksheet!L538</f>
        <v>8.0549999999999997</v>
      </c>
      <c r="N538" t="str">
        <f t="shared" si="16"/>
        <v>Robusta</v>
      </c>
      <c r="O538" t="str">
        <f t="shared" si="17"/>
        <v>Dark</v>
      </c>
      <c r="P538" t="str">
        <f>_xlfn.XLOOKUP(worksheet[[#This Row],[Customer ID]],customers!$A$1:$A$1001,customers!$I$1:$I$1001,0)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
        <v>3530</v>
      </c>
      <c r="H539" s="2" t="str">
        <f>_xlfn.XLOOKUP(C539,customers!$A$1:$A$1001,customers!$G$1:$G$1001,0)</f>
        <v>United States</v>
      </c>
      <c r="I539" t="str">
        <f>_xlfn.XLOOKUP(D539,products!$A$1:$A$49,products!$B$1:$B$49,0)</f>
        <v>Exc</v>
      </c>
      <c r="J539" t="str">
        <f>_xlfn.XLOOKUP(worksheet!D539,products!$A$1:$A$49,products!$C$1:$C$49,0)</f>
        <v>D</v>
      </c>
      <c r="K539" s="5">
        <f>_xlfn.XLOOKUP(worksheet!D539,products!$A$1:$A$49,products!$D$1:$D$49,0)</f>
        <v>2.5</v>
      </c>
      <c r="L539" s="6">
        <f>_xlfn.XLOOKUP(worksheet!D539,products!$A$1:$A$49,products!$E$1:$E$49,0)</f>
        <v>27.945</v>
      </c>
      <c r="M539" s="6">
        <f>worksheet!E539*worksheet!L539</f>
        <v>111.78</v>
      </c>
      <c r="N539" t="str">
        <f t="shared" si="16"/>
        <v>Excelsa</v>
      </c>
      <c r="O539" t="str">
        <f t="shared" si="17"/>
        <v>Dark</v>
      </c>
      <c r="P539" t="str">
        <f>_xlfn.XLOOKUP(worksheet[[#This Row],[Customer ID]],customers!$A$1:$A$1001,customers!$I$1:$I$1001,0)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
        <v>3535</v>
      </c>
      <c r="H540" s="2" t="str">
        <f>_xlfn.XLOOKUP(C540,customers!$A$1:$A$1001,customers!$G$1:$G$1001,0)</f>
        <v>United States</v>
      </c>
      <c r="I540" t="str">
        <f>_xlfn.XLOOKUP(D540,products!$A$1:$A$49,products!$B$1:$B$49,0)</f>
        <v>Rob</v>
      </c>
      <c r="J540" t="str">
        <f>_xlfn.XLOOKUP(worksheet!D540,products!$A$1:$A$49,products!$C$1:$C$49,0)</f>
        <v>D</v>
      </c>
      <c r="K540" s="5">
        <f>_xlfn.XLOOKUP(worksheet!D540,products!$A$1:$A$49,products!$D$1:$D$49,0)</f>
        <v>0.2</v>
      </c>
      <c r="L540" s="6">
        <f>_xlfn.XLOOKUP(worksheet!D540,products!$A$1:$A$49,products!$E$1:$E$49,0)</f>
        <v>2.6849999999999996</v>
      </c>
      <c r="M540" s="6">
        <f>worksheet!E540*worksheet!L540</f>
        <v>10.739999999999998</v>
      </c>
      <c r="N540" t="str">
        <f t="shared" si="16"/>
        <v>Robusta</v>
      </c>
      <c r="O540" t="str">
        <f t="shared" si="17"/>
        <v>Dark</v>
      </c>
      <c r="P540" t="str">
        <f>_xlfn.XLOOKUP(worksheet[[#This Row],[Customer ID]],customers!$A$1:$A$1001,customers!$I$1:$I$1001,0)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
        <v>3540</v>
      </c>
      <c r="H541" s="2" t="str">
        <f>_xlfn.XLOOKUP(C541,customers!$A$1:$A$1001,customers!$G$1:$G$1001,0)</f>
        <v>United States</v>
      </c>
      <c r="I541" t="str">
        <f>_xlfn.XLOOKUP(D541,products!$A$1:$A$49,products!$B$1:$B$49,0)</f>
        <v>Rob</v>
      </c>
      <c r="J541" t="str">
        <f>_xlfn.XLOOKUP(worksheet!D541,products!$A$1:$A$49,products!$C$1:$C$49,0)</f>
        <v>D</v>
      </c>
      <c r="K541" s="5">
        <f>_xlfn.XLOOKUP(worksheet!D541,products!$A$1:$A$49,products!$D$1:$D$49,0)</f>
        <v>0.5</v>
      </c>
      <c r="L541" s="6">
        <f>_xlfn.XLOOKUP(worksheet!D541,products!$A$1:$A$49,products!$E$1:$E$49,0)</f>
        <v>5.3699999999999992</v>
      </c>
      <c r="M541" s="6">
        <f>worksheet!E541*worksheet!L541</f>
        <v>26.849999999999994</v>
      </c>
      <c r="N541" t="str">
        <f t="shared" si="16"/>
        <v>Robusta</v>
      </c>
      <c r="O541" t="str">
        <f t="shared" si="17"/>
        <v>Dark</v>
      </c>
      <c r="P541" t="str">
        <f>_xlfn.XLOOKUP(worksheet[[#This Row],[Customer ID]],customers!$A$1:$A$1001,customers!$I$1:$I$1001,0)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
        <v>3545</v>
      </c>
      <c r="H542" s="2" t="str">
        <f>_xlfn.XLOOKUP(C542,customers!$A$1:$A$1001,customers!$G$1:$G$1001,0)</f>
        <v>United States</v>
      </c>
      <c r="I542" t="str">
        <f>_xlfn.XLOOKUP(D542,products!$A$1:$A$49,products!$B$1:$B$49,0)</f>
        <v>Lib</v>
      </c>
      <c r="J542" t="str">
        <f>_xlfn.XLOOKUP(worksheet!D542,products!$A$1:$A$49,products!$C$1:$C$49,0)</f>
        <v>L</v>
      </c>
      <c r="K542" s="5">
        <f>_xlfn.XLOOKUP(worksheet!D542,products!$A$1:$A$49,products!$D$1:$D$49,0)</f>
        <v>1</v>
      </c>
      <c r="L542" s="6">
        <f>_xlfn.XLOOKUP(worksheet!D542,products!$A$1:$A$49,products!$E$1:$E$49,0)</f>
        <v>15.85</v>
      </c>
      <c r="M542" s="6">
        <f>worksheet!E542*worksheet!L542</f>
        <v>63.4</v>
      </c>
      <c r="N542" t="str">
        <f t="shared" si="16"/>
        <v>Liberica</v>
      </c>
      <c r="O542" t="str">
        <f t="shared" si="17"/>
        <v>Light</v>
      </c>
      <c r="P542" t="str">
        <f>_xlfn.XLOOKUP(worksheet[[#This Row],[Customer ID]],customers!$A$1:$A$1001,customers!$I$1:$I$1001,0)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
        <v>6222</v>
      </c>
      <c r="H543" s="2" t="str">
        <f>_xlfn.XLOOKUP(C543,customers!$A$1:$A$1001,customers!$G$1:$G$1001,0)</f>
        <v>Ireland</v>
      </c>
      <c r="I543" t="str">
        <f>_xlfn.XLOOKUP(D543,products!$A$1:$A$49,products!$B$1:$B$49,0)</f>
        <v>Ara</v>
      </c>
      <c r="J543" t="str">
        <f>_xlfn.XLOOKUP(worksheet!D543,products!$A$1:$A$49,products!$C$1:$C$49,0)</f>
        <v>D</v>
      </c>
      <c r="K543" s="5">
        <f>_xlfn.XLOOKUP(worksheet!D543,products!$A$1:$A$49,products!$D$1:$D$49,0)</f>
        <v>2.5</v>
      </c>
      <c r="L543" s="6">
        <f>_xlfn.XLOOKUP(worksheet!D543,products!$A$1:$A$49,products!$E$1:$E$49,0)</f>
        <v>22.884999999999998</v>
      </c>
      <c r="M543" s="6">
        <f>worksheet!E543*worksheet!L543</f>
        <v>22.884999999999998</v>
      </c>
      <c r="N543" t="str">
        <f t="shared" si="16"/>
        <v>Arabica</v>
      </c>
      <c r="O543" t="str">
        <f t="shared" si="17"/>
        <v>Dark</v>
      </c>
      <c r="P543" t="str">
        <f>_xlfn.XLOOKUP(worksheet[[#This Row],[Customer ID]],customers!$A$1:$A$1001,customers!$I$1:$I$1001,0)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
        <v>3556</v>
      </c>
      <c r="H544" s="2" t="str">
        <f>_xlfn.XLOOKUP(C544,customers!$A$1:$A$1001,customers!$G$1:$G$1001,0)</f>
        <v>United States</v>
      </c>
      <c r="I544" t="str">
        <f>_xlfn.XLOOKUP(D544,products!$A$1:$A$49,products!$B$1:$B$49,0)</f>
        <v>Ara</v>
      </c>
      <c r="J544" t="str">
        <f>_xlfn.XLOOKUP(worksheet!D544,products!$A$1:$A$49,products!$C$1:$C$49,0)</f>
        <v>M</v>
      </c>
      <c r="K544" s="5">
        <f>_xlfn.XLOOKUP(worksheet!D544,products!$A$1:$A$49,products!$D$1:$D$49,0)</f>
        <v>2.5</v>
      </c>
      <c r="L544" s="6">
        <f>_xlfn.XLOOKUP(worksheet!D544,products!$A$1:$A$49,products!$E$1:$E$49,0)</f>
        <v>25.874999999999996</v>
      </c>
      <c r="M544" s="6">
        <f>worksheet!E544*worksheet!L544</f>
        <v>103.49999999999999</v>
      </c>
      <c r="N544" t="str">
        <f t="shared" si="16"/>
        <v>Arabica</v>
      </c>
      <c r="O544" t="str">
        <f t="shared" si="17"/>
        <v>Medium</v>
      </c>
      <c r="P544" t="str">
        <f>_xlfn.XLOOKUP(worksheet[[#This Row],[Customer ID]],customers!$A$1:$A$1001,customers!$I$1:$I$1001,0)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
        <v>3562</v>
      </c>
      <c r="H545" s="2" t="str">
        <f>_xlfn.XLOOKUP(C545,customers!$A$1:$A$1001,customers!$G$1:$G$1001,0)</f>
        <v>United States</v>
      </c>
      <c r="I545" t="str">
        <f>_xlfn.XLOOKUP(D545,products!$A$1:$A$49,products!$B$1:$B$49,0)</f>
        <v>Rob</v>
      </c>
      <c r="J545" t="str">
        <f>_xlfn.XLOOKUP(worksheet!D545,products!$A$1:$A$49,products!$C$1:$C$49,0)</f>
        <v>L</v>
      </c>
      <c r="K545" s="5">
        <f>_xlfn.XLOOKUP(worksheet!D545,products!$A$1:$A$49,products!$D$1:$D$49,0)</f>
        <v>2.5</v>
      </c>
      <c r="L545" s="6">
        <f>_xlfn.XLOOKUP(worksheet!D545,products!$A$1:$A$49,products!$E$1:$E$49,0)</f>
        <v>27.484999999999996</v>
      </c>
      <c r="M545" s="6">
        <f>worksheet!E545*worksheet!L545</f>
        <v>54.969999999999992</v>
      </c>
      <c r="N545" t="str">
        <f t="shared" si="16"/>
        <v>Robusta</v>
      </c>
      <c r="O545" t="str">
        <f t="shared" si="17"/>
        <v>Light</v>
      </c>
      <c r="P545" t="str">
        <f>_xlfn.XLOOKUP(worksheet[[#This Row],[Customer ID]],customers!$A$1:$A$1001,customers!$I$1:$I$1001,0)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
        <v>3568</v>
      </c>
      <c r="H546" s="2" t="str">
        <f>_xlfn.XLOOKUP(C546,customers!$A$1:$A$1001,customers!$G$1:$G$1001,0)</f>
        <v>United States</v>
      </c>
      <c r="I546" t="str">
        <f>_xlfn.XLOOKUP(D546,products!$A$1:$A$49,products!$B$1:$B$49,0)</f>
        <v>Ara</v>
      </c>
      <c r="J546" t="str">
        <f>_xlfn.XLOOKUP(worksheet!D546,products!$A$1:$A$49,products!$C$1:$C$49,0)</f>
        <v>L</v>
      </c>
      <c r="K546" s="5">
        <f>_xlfn.XLOOKUP(worksheet!D546,products!$A$1:$A$49,products!$D$1:$D$49,0)</f>
        <v>0.5</v>
      </c>
      <c r="L546" s="6">
        <f>_xlfn.XLOOKUP(worksheet!D546,products!$A$1:$A$49,products!$E$1:$E$49,0)</f>
        <v>7.77</v>
      </c>
      <c r="M546" s="6">
        <f>worksheet!E546*worksheet!L546</f>
        <v>15.54</v>
      </c>
      <c r="N546" t="str">
        <f t="shared" si="16"/>
        <v>Arabica</v>
      </c>
      <c r="O546" t="str">
        <f t="shared" si="17"/>
        <v>Light</v>
      </c>
      <c r="P546" t="str">
        <f>_xlfn.XLOOKUP(worksheet[[#This Row],[Customer ID]],customers!$A$1:$A$1001,customers!$I$1:$I$1001,0)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
        <v>3574</v>
      </c>
      <c r="H547" s="2" t="str">
        <f>_xlfn.XLOOKUP(C547,customers!$A$1:$A$1001,customers!$G$1:$G$1001,0)</f>
        <v>United Kingdom</v>
      </c>
      <c r="I547" t="str">
        <f>_xlfn.XLOOKUP(D547,products!$A$1:$A$49,products!$B$1:$B$49,0)</f>
        <v>Lib</v>
      </c>
      <c r="J547" t="str">
        <f>_xlfn.XLOOKUP(worksheet!D547,products!$A$1:$A$49,products!$C$1:$C$49,0)</f>
        <v>D</v>
      </c>
      <c r="K547" s="5">
        <f>_xlfn.XLOOKUP(worksheet!D547,products!$A$1:$A$49,products!$D$1:$D$49,0)</f>
        <v>0.2</v>
      </c>
      <c r="L547" s="6">
        <f>_xlfn.XLOOKUP(worksheet!D547,products!$A$1:$A$49,products!$E$1:$E$49,0)</f>
        <v>3.8849999999999998</v>
      </c>
      <c r="M547" s="6">
        <f>worksheet!E547*worksheet!L547</f>
        <v>15.54</v>
      </c>
      <c r="N547" t="str">
        <f t="shared" si="16"/>
        <v>Liberica</v>
      </c>
      <c r="O547" t="str">
        <f t="shared" si="17"/>
        <v>Dark</v>
      </c>
      <c r="P547" t="str">
        <f>_xlfn.XLOOKUP(worksheet[[#This Row],[Customer ID]],customers!$A$1:$A$1001,customers!$I$1:$I$1001,0)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
        <v>6222</v>
      </c>
      <c r="H548" s="2" t="str">
        <f>_xlfn.XLOOKUP(C548,customers!$A$1:$A$1001,customers!$G$1:$G$1001,0)</f>
        <v>Ireland</v>
      </c>
      <c r="I548" t="str">
        <f>_xlfn.XLOOKUP(D548,products!$A$1:$A$49,products!$B$1:$B$49,0)</f>
        <v>Exc</v>
      </c>
      <c r="J548" t="str">
        <f>_xlfn.XLOOKUP(worksheet!D548,products!$A$1:$A$49,products!$C$1:$C$49,0)</f>
        <v>D</v>
      </c>
      <c r="K548" s="5">
        <f>_xlfn.XLOOKUP(worksheet!D548,products!$A$1:$A$49,products!$D$1:$D$49,0)</f>
        <v>2.5</v>
      </c>
      <c r="L548" s="6">
        <f>_xlfn.XLOOKUP(worksheet!D548,products!$A$1:$A$49,products!$E$1:$E$49,0)</f>
        <v>27.945</v>
      </c>
      <c r="M548" s="6">
        <f>worksheet!E548*worksheet!L548</f>
        <v>83.835000000000008</v>
      </c>
      <c r="N548" t="str">
        <f t="shared" si="16"/>
        <v>Excelsa</v>
      </c>
      <c r="O548" t="str">
        <f t="shared" si="17"/>
        <v>Dark</v>
      </c>
      <c r="P548" t="str">
        <f>_xlfn.XLOOKUP(worksheet[[#This Row],[Customer ID]],customers!$A$1:$A$1001,customers!$I$1:$I$1001,0)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
        <v>3596</v>
      </c>
      <c r="H549" s="2" t="str">
        <f>_xlfn.XLOOKUP(C549,customers!$A$1:$A$1001,customers!$G$1:$G$1001,0)</f>
        <v>United States</v>
      </c>
      <c r="I549" t="str">
        <f>_xlfn.XLOOKUP(D549,products!$A$1:$A$49,products!$B$1:$B$49,0)</f>
        <v>Rob</v>
      </c>
      <c r="J549" t="str">
        <f>_xlfn.XLOOKUP(worksheet!D549,products!$A$1:$A$49,products!$C$1:$C$49,0)</f>
        <v>L</v>
      </c>
      <c r="K549" s="5">
        <f>_xlfn.XLOOKUP(worksheet!D549,products!$A$1:$A$49,products!$D$1:$D$49,0)</f>
        <v>0.2</v>
      </c>
      <c r="L549" s="6">
        <f>_xlfn.XLOOKUP(worksheet!D549,products!$A$1:$A$49,products!$E$1:$E$49,0)</f>
        <v>3.5849999999999995</v>
      </c>
      <c r="M549" s="6">
        <f>worksheet!E549*worksheet!L549</f>
        <v>10.754999999999999</v>
      </c>
      <c r="N549" t="str">
        <f t="shared" si="16"/>
        <v>Robusta</v>
      </c>
      <c r="O549" t="str">
        <f t="shared" si="17"/>
        <v>Light</v>
      </c>
      <c r="P549" t="str">
        <f>_xlfn.XLOOKUP(worksheet[[#This Row],[Customer ID]],customers!$A$1:$A$1001,customers!$I$1:$I$1001,0)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
        <v>3590</v>
      </c>
      <c r="H550" s="2" t="str">
        <f>_xlfn.XLOOKUP(C550,customers!$A$1:$A$1001,customers!$G$1:$G$1001,0)</f>
        <v>United States</v>
      </c>
      <c r="I550" t="str">
        <f>_xlfn.XLOOKUP(D550,products!$A$1:$A$49,products!$B$1:$B$49,0)</f>
        <v>Exc</v>
      </c>
      <c r="J550" t="str">
        <f>_xlfn.XLOOKUP(worksheet!D550,products!$A$1:$A$49,products!$C$1:$C$49,0)</f>
        <v>L</v>
      </c>
      <c r="K550" s="5">
        <f>_xlfn.XLOOKUP(worksheet!D550,products!$A$1:$A$49,products!$D$1:$D$49,0)</f>
        <v>0.2</v>
      </c>
      <c r="L550" s="6">
        <f>_xlfn.XLOOKUP(worksheet!D550,products!$A$1:$A$49,products!$E$1:$E$49,0)</f>
        <v>4.4550000000000001</v>
      </c>
      <c r="M550" s="6">
        <f>worksheet!E550*worksheet!L550</f>
        <v>13.365</v>
      </c>
      <c r="N550" t="str">
        <f t="shared" si="16"/>
        <v>Excelsa</v>
      </c>
      <c r="O550" t="str">
        <f t="shared" si="17"/>
        <v>Light</v>
      </c>
      <c r="P550" t="str">
        <f>_xlfn.XLOOKUP(worksheet[[#This Row],[Customer ID]],customers!$A$1:$A$1001,customers!$I$1:$I$1001,0)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
        <v>3596</v>
      </c>
      <c r="H551" s="2" t="str">
        <f>_xlfn.XLOOKUP(C551,customers!$A$1:$A$1001,customers!$G$1:$G$1001,0)</f>
        <v>United States</v>
      </c>
      <c r="I551" t="str">
        <f>_xlfn.XLOOKUP(D551,products!$A$1:$A$49,products!$B$1:$B$49,0)</f>
        <v>Exc</v>
      </c>
      <c r="J551" t="str">
        <f>_xlfn.XLOOKUP(worksheet!D551,products!$A$1:$A$49,products!$C$1:$C$49,0)</f>
        <v>L</v>
      </c>
      <c r="K551" s="5">
        <f>_xlfn.XLOOKUP(worksheet!D551,products!$A$1:$A$49,products!$D$1:$D$49,0)</f>
        <v>0.2</v>
      </c>
      <c r="L551" s="6">
        <f>_xlfn.XLOOKUP(worksheet!D551,products!$A$1:$A$49,products!$E$1:$E$49,0)</f>
        <v>4.4550000000000001</v>
      </c>
      <c r="M551" s="6">
        <f>worksheet!E551*worksheet!L551</f>
        <v>17.82</v>
      </c>
      <c r="N551" t="str">
        <f t="shared" si="16"/>
        <v>Excelsa</v>
      </c>
      <c r="O551" t="str">
        <f t="shared" si="17"/>
        <v>Light</v>
      </c>
      <c r="P551" t="str">
        <f>_xlfn.XLOOKUP(worksheet[[#This Row],[Customer ID]],customers!$A$1:$A$1001,customers!$I$1:$I$1001,0)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
        <v>3602</v>
      </c>
      <c r="H552" s="2" t="str">
        <f>_xlfn.XLOOKUP(C552,customers!$A$1:$A$1001,customers!$G$1:$G$1001,0)</f>
        <v>United States</v>
      </c>
      <c r="I552" t="str">
        <f>_xlfn.XLOOKUP(D552,products!$A$1:$A$49,products!$B$1:$B$49,0)</f>
        <v>Lib</v>
      </c>
      <c r="J552" t="str">
        <f>_xlfn.XLOOKUP(worksheet!D552,products!$A$1:$A$49,products!$C$1:$C$49,0)</f>
        <v>D</v>
      </c>
      <c r="K552" s="5">
        <f>_xlfn.XLOOKUP(worksheet!D552,products!$A$1:$A$49,products!$D$1:$D$49,0)</f>
        <v>0.2</v>
      </c>
      <c r="L552" s="6">
        <f>_xlfn.XLOOKUP(worksheet!D552,products!$A$1:$A$49,products!$E$1:$E$49,0)</f>
        <v>3.8849999999999998</v>
      </c>
      <c r="M552" s="6">
        <f>worksheet!E552*worksheet!L552</f>
        <v>23.31</v>
      </c>
      <c r="N552" t="str">
        <f t="shared" si="16"/>
        <v>Liberica</v>
      </c>
      <c r="O552" t="str">
        <f t="shared" si="17"/>
        <v>Dark</v>
      </c>
      <c r="P552" t="str">
        <f>_xlfn.XLOOKUP(worksheet[[#This Row],[Customer ID]],customers!$A$1:$A$1001,customers!$I$1:$I$1001,0)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
        <v>3608</v>
      </c>
      <c r="H553" s="2" t="str">
        <f>_xlfn.XLOOKUP(C553,customers!$A$1:$A$1001,customers!$G$1:$G$1001,0)</f>
        <v>United States</v>
      </c>
      <c r="I553" t="str">
        <f>_xlfn.XLOOKUP(D553,products!$A$1:$A$49,products!$B$1:$B$49,0)</f>
        <v>Exc</v>
      </c>
      <c r="J553" t="str">
        <f>_xlfn.XLOOKUP(worksheet!D553,products!$A$1:$A$49,products!$C$1:$C$49,0)</f>
        <v>D</v>
      </c>
      <c r="K553" s="5">
        <f>_xlfn.XLOOKUP(worksheet!D553,products!$A$1:$A$49,products!$D$1:$D$49,0)</f>
        <v>0.2</v>
      </c>
      <c r="L553" s="6">
        <f>_xlfn.XLOOKUP(worksheet!D553,products!$A$1:$A$49,products!$E$1:$E$49,0)</f>
        <v>3.645</v>
      </c>
      <c r="M553" s="6">
        <f>worksheet!E553*worksheet!L553</f>
        <v>7.29</v>
      </c>
      <c r="N553" t="str">
        <f t="shared" si="16"/>
        <v>Excelsa</v>
      </c>
      <c r="O553" t="str">
        <f t="shared" si="17"/>
        <v>Dark</v>
      </c>
      <c r="P553" t="str">
        <f>_xlfn.XLOOKUP(worksheet[[#This Row],[Customer ID]],customers!$A$1:$A$1001,customers!$I$1:$I$1001,0)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
        <v>3614</v>
      </c>
      <c r="H554" s="2" t="str">
        <f>_xlfn.XLOOKUP(C554,customers!$A$1:$A$1001,customers!$G$1:$G$1001,0)</f>
        <v>United Kingdom</v>
      </c>
      <c r="I554" t="str">
        <f>_xlfn.XLOOKUP(D554,products!$A$1:$A$49,products!$B$1:$B$49,0)</f>
        <v>Exc</v>
      </c>
      <c r="J554" t="str">
        <f>_xlfn.XLOOKUP(worksheet!D554,products!$A$1:$A$49,products!$C$1:$C$49,0)</f>
        <v>L</v>
      </c>
      <c r="K554" s="5">
        <f>_xlfn.XLOOKUP(worksheet!D554,products!$A$1:$A$49,products!$D$1:$D$49,0)</f>
        <v>0.2</v>
      </c>
      <c r="L554" s="6">
        <f>_xlfn.XLOOKUP(worksheet!D554,products!$A$1:$A$49,products!$E$1:$E$49,0)</f>
        <v>4.4550000000000001</v>
      </c>
      <c r="M554" s="6">
        <f>worksheet!E554*worksheet!L554</f>
        <v>17.82</v>
      </c>
      <c r="N554" t="str">
        <f t="shared" si="16"/>
        <v>Excelsa</v>
      </c>
      <c r="O554" t="str">
        <f t="shared" si="17"/>
        <v>Light</v>
      </c>
      <c r="P554" t="str">
        <f>_xlfn.XLOOKUP(worksheet[[#This Row],[Customer ID]],customers!$A$1:$A$1001,customers!$I$1:$I$1001,0)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
        <v>3620</v>
      </c>
      <c r="H555" s="2" t="str">
        <f>_xlfn.XLOOKUP(C555,customers!$A$1:$A$1001,customers!$G$1:$G$1001,0)</f>
        <v>United States</v>
      </c>
      <c r="I555" t="str">
        <f>_xlfn.XLOOKUP(D555,products!$A$1:$A$49,products!$B$1:$B$49,0)</f>
        <v>Exc</v>
      </c>
      <c r="J555" t="str">
        <f>_xlfn.XLOOKUP(worksheet!D555,products!$A$1:$A$49,products!$C$1:$C$49,0)</f>
        <v>M</v>
      </c>
      <c r="K555" s="5">
        <f>_xlfn.XLOOKUP(worksheet!D555,products!$A$1:$A$49,products!$D$1:$D$49,0)</f>
        <v>1</v>
      </c>
      <c r="L555" s="6">
        <f>_xlfn.XLOOKUP(worksheet!D555,products!$A$1:$A$49,products!$E$1:$E$49,0)</f>
        <v>13.75</v>
      </c>
      <c r="M555" s="6">
        <f>worksheet!E555*worksheet!L555</f>
        <v>68.75</v>
      </c>
      <c r="N555" t="str">
        <f t="shared" si="16"/>
        <v>Excelsa</v>
      </c>
      <c r="O555" t="str">
        <f t="shared" si="17"/>
        <v>Medium</v>
      </c>
      <c r="P555" t="str">
        <f>_xlfn.XLOOKUP(worksheet[[#This Row],[Customer ID]],customers!$A$1:$A$1001,customers!$I$1:$I$1001,0)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
        <v>6222</v>
      </c>
      <c r="H556" s="2" t="str">
        <f>_xlfn.XLOOKUP(C556,customers!$A$1:$A$1001,customers!$G$1:$G$1001,0)</f>
        <v>United Kingdom</v>
      </c>
      <c r="I556" t="str">
        <f>_xlfn.XLOOKUP(D556,products!$A$1:$A$49,products!$B$1:$B$49,0)</f>
        <v>Rob</v>
      </c>
      <c r="J556" t="str">
        <f>_xlfn.XLOOKUP(worksheet!D556,products!$A$1:$A$49,products!$C$1:$C$49,0)</f>
        <v>L</v>
      </c>
      <c r="K556" s="5">
        <f>_xlfn.XLOOKUP(worksheet!D556,products!$A$1:$A$49,products!$D$1:$D$49,0)</f>
        <v>2.5</v>
      </c>
      <c r="L556" s="6">
        <f>_xlfn.XLOOKUP(worksheet!D556,products!$A$1:$A$49,products!$E$1:$E$49,0)</f>
        <v>27.484999999999996</v>
      </c>
      <c r="M556" s="6">
        <f>worksheet!E556*worksheet!L556</f>
        <v>54.969999999999992</v>
      </c>
      <c r="N556" t="str">
        <f t="shared" si="16"/>
        <v>Robusta</v>
      </c>
      <c r="O556" t="str">
        <f t="shared" si="17"/>
        <v>Light</v>
      </c>
      <c r="P556" t="str">
        <f>_xlfn.XLOOKUP(worksheet[[#This Row],[Customer ID]],customers!$A$1:$A$1001,customers!$I$1:$I$1001,0)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
        <v>3630</v>
      </c>
      <c r="H557" s="2" t="str">
        <f>_xlfn.XLOOKUP(C557,customers!$A$1:$A$1001,customers!$G$1:$G$1001,0)</f>
        <v>Ireland</v>
      </c>
      <c r="I557" t="str">
        <f>_xlfn.XLOOKUP(D557,products!$A$1:$A$49,products!$B$1:$B$49,0)</f>
        <v>Exc</v>
      </c>
      <c r="J557" t="str">
        <f>_xlfn.XLOOKUP(worksheet!D557,products!$A$1:$A$49,products!$C$1:$C$49,0)</f>
        <v>M</v>
      </c>
      <c r="K557" s="5">
        <f>_xlfn.XLOOKUP(worksheet!D557,products!$A$1:$A$49,products!$D$1:$D$49,0)</f>
        <v>1</v>
      </c>
      <c r="L557" s="6">
        <f>_xlfn.XLOOKUP(worksheet!D557,products!$A$1:$A$49,products!$E$1:$E$49,0)</f>
        <v>13.75</v>
      </c>
      <c r="M557" s="6">
        <f>worksheet!E557*worksheet!L557</f>
        <v>82.5</v>
      </c>
      <c r="N557" t="str">
        <f t="shared" si="16"/>
        <v>Excelsa</v>
      </c>
      <c r="O557" t="str">
        <f t="shared" si="17"/>
        <v>Medium</v>
      </c>
      <c r="P557" t="str">
        <f>_xlfn.XLOOKUP(worksheet[[#This Row],[Customer ID]],customers!$A$1:$A$1001,customers!$I$1:$I$1001,0)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
        <v>3636</v>
      </c>
      <c r="H558" s="2" t="str">
        <f>_xlfn.XLOOKUP(C558,customers!$A$1:$A$1001,customers!$G$1:$G$1001,0)</f>
        <v>United States</v>
      </c>
      <c r="I558" t="str">
        <f>_xlfn.XLOOKUP(D558,products!$A$1:$A$49,products!$B$1:$B$49,0)</f>
        <v>Lib</v>
      </c>
      <c r="J558" t="str">
        <f>_xlfn.XLOOKUP(worksheet!D558,products!$A$1:$A$49,products!$C$1:$C$49,0)</f>
        <v>M</v>
      </c>
      <c r="K558" s="5">
        <f>_xlfn.XLOOKUP(worksheet!D558,products!$A$1:$A$49,products!$D$1:$D$49,0)</f>
        <v>0.2</v>
      </c>
      <c r="L558" s="6">
        <f>_xlfn.XLOOKUP(worksheet!D558,products!$A$1:$A$49,products!$E$1:$E$49,0)</f>
        <v>4.3650000000000002</v>
      </c>
      <c r="M558" s="6">
        <f>worksheet!E558*worksheet!L558</f>
        <v>8.73</v>
      </c>
      <c r="N558" t="str">
        <f t="shared" si="16"/>
        <v>Liberica</v>
      </c>
      <c r="O558" t="str">
        <f t="shared" si="17"/>
        <v>Medium</v>
      </c>
      <c r="P558" t="str">
        <f>_xlfn.XLOOKUP(worksheet[[#This Row],[Customer ID]],customers!$A$1:$A$1001,customers!$I$1:$I$1001,0)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
        <v>3370</v>
      </c>
      <c r="H559" s="2" t="str">
        <f>_xlfn.XLOOKUP(C559,customers!$A$1:$A$1001,customers!$G$1:$G$1001,0)</f>
        <v>Ireland</v>
      </c>
      <c r="I559" t="str">
        <f>_xlfn.XLOOKUP(D559,products!$A$1:$A$49,products!$B$1:$B$49,0)</f>
        <v>Exc</v>
      </c>
      <c r="J559" t="str">
        <f>_xlfn.XLOOKUP(worksheet!D559,products!$A$1:$A$49,products!$C$1:$C$49,0)</f>
        <v>L</v>
      </c>
      <c r="K559" s="5">
        <f>_xlfn.XLOOKUP(worksheet!D559,products!$A$1:$A$49,products!$D$1:$D$49,0)</f>
        <v>1</v>
      </c>
      <c r="L559" s="6">
        <f>_xlfn.XLOOKUP(worksheet!D559,products!$A$1:$A$49,products!$E$1:$E$49,0)</f>
        <v>14.85</v>
      </c>
      <c r="M559" s="6">
        <f>worksheet!E559*worksheet!L559</f>
        <v>59.4</v>
      </c>
      <c r="N559" t="str">
        <f t="shared" si="16"/>
        <v>Excelsa</v>
      </c>
      <c r="O559" t="str">
        <f t="shared" si="17"/>
        <v>Light</v>
      </c>
      <c r="P559" t="str">
        <f>_xlfn.XLOOKUP(worksheet[[#This Row],[Customer ID]],customers!$A$1:$A$1001,customers!$I$1:$I$1001,0)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
        <v>6222</v>
      </c>
      <c r="H560" s="2" t="str">
        <f>_xlfn.XLOOKUP(C560,customers!$A$1:$A$1001,customers!$G$1:$G$1001,0)</f>
        <v>United States</v>
      </c>
      <c r="I560" t="str">
        <f>_xlfn.XLOOKUP(D560,products!$A$1:$A$49,products!$B$1:$B$49,0)</f>
        <v>Lib</v>
      </c>
      <c r="J560" t="str">
        <f>_xlfn.XLOOKUP(worksheet!D560,products!$A$1:$A$49,products!$C$1:$C$49,0)</f>
        <v>D</v>
      </c>
      <c r="K560" s="5">
        <f>_xlfn.XLOOKUP(worksheet!D560,products!$A$1:$A$49,products!$D$1:$D$49,0)</f>
        <v>0.2</v>
      </c>
      <c r="L560" s="6">
        <f>_xlfn.XLOOKUP(worksheet!D560,products!$A$1:$A$49,products!$E$1:$E$49,0)</f>
        <v>3.8849999999999998</v>
      </c>
      <c r="M560" s="6">
        <f>worksheet!E560*worksheet!L560</f>
        <v>15.54</v>
      </c>
      <c r="N560" t="str">
        <f t="shared" si="16"/>
        <v>Liberica</v>
      </c>
      <c r="O560" t="str">
        <f t="shared" si="17"/>
        <v>Dark</v>
      </c>
      <c r="P560" t="str">
        <f>_xlfn.XLOOKUP(worksheet[[#This Row],[Customer ID]],customers!$A$1:$A$1001,customers!$I$1:$I$1001,0)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
        <v>3651</v>
      </c>
      <c r="H561" s="2" t="str">
        <f>_xlfn.XLOOKUP(C561,customers!$A$1:$A$1001,customers!$G$1:$G$1001,0)</f>
        <v>United States</v>
      </c>
      <c r="I561" t="str">
        <f>_xlfn.XLOOKUP(D561,products!$A$1:$A$49,products!$B$1:$B$49,0)</f>
        <v>Ara</v>
      </c>
      <c r="J561" t="str">
        <f>_xlfn.XLOOKUP(worksheet!D561,products!$A$1:$A$49,products!$C$1:$C$49,0)</f>
        <v>L</v>
      </c>
      <c r="K561" s="5">
        <f>_xlfn.XLOOKUP(worksheet!D561,products!$A$1:$A$49,products!$D$1:$D$49,0)</f>
        <v>1</v>
      </c>
      <c r="L561" s="6">
        <f>_xlfn.XLOOKUP(worksheet!D561,products!$A$1:$A$49,products!$E$1:$E$49,0)</f>
        <v>12.95</v>
      </c>
      <c r="M561" s="6">
        <f>worksheet!E561*worksheet!L561</f>
        <v>38.849999999999994</v>
      </c>
      <c r="N561" t="str">
        <f t="shared" si="16"/>
        <v>Arabica</v>
      </c>
      <c r="O561" t="str">
        <f t="shared" si="17"/>
        <v>Light</v>
      </c>
      <c r="P561" t="str">
        <f>_xlfn.XLOOKUP(worksheet[[#This Row],[Customer ID]],customers!$A$1:$A$1001,customers!$I$1:$I$1001,0)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
        <v>6222</v>
      </c>
      <c r="H562" s="2" t="str">
        <f>_xlfn.XLOOKUP(C562,customers!$A$1:$A$1001,customers!$G$1:$G$1001,0)</f>
        <v>United States</v>
      </c>
      <c r="I562" t="str">
        <f>_xlfn.XLOOKUP(D562,products!$A$1:$A$49,products!$B$1:$B$49,0)</f>
        <v>Exc</v>
      </c>
      <c r="J562" t="str">
        <f>_xlfn.XLOOKUP(worksheet!D562,products!$A$1:$A$49,products!$C$1:$C$49,0)</f>
        <v>M</v>
      </c>
      <c r="K562" s="5">
        <f>_xlfn.XLOOKUP(worksheet!D562,products!$A$1:$A$49,products!$D$1:$D$49,0)</f>
        <v>2.5</v>
      </c>
      <c r="L562" s="6">
        <f>_xlfn.XLOOKUP(worksheet!D562,products!$A$1:$A$49,products!$E$1:$E$49,0)</f>
        <v>31.624999999999996</v>
      </c>
      <c r="M562" s="6">
        <f>worksheet!E562*worksheet!L562</f>
        <v>189.74999999999997</v>
      </c>
      <c r="N562" t="str">
        <f t="shared" si="16"/>
        <v>Excelsa</v>
      </c>
      <c r="O562" t="str">
        <f t="shared" si="17"/>
        <v>Medium</v>
      </c>
      <c r="P562" t="str">
        <f>_xlfn.XLOOKUP(worksheet[[#This Row],[Customer ID]],customers!$A$1:$A$1001,customers!$I$1:$I$1001,0)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
        <v>6222</v>
      </c>
      <c r="H563" s="2" t="str">
        <f>_xlfn.XLOOKUP(C563,customers!$A$1:$A$1001,customers!$G$1:$G$1001,0)</f>
        <v>Ireland</v>
      </c>
      <c r="I563" t="str">
        <f>_xlfn.XLOOKUP(D563,products!$A$1:$A$49,products!$B$1:$B$49,0)</f>
        <v>Ara</v>
      </c>
      <c r="J563" t="str">
        <f>_xlfn.XLOOKUP(worksheet!D563,products!$A$1:$A$49,products!$C$1:$C$49,0)</f>
        <v>D</v>
      </c>
      <c r="K563" s="5">
        <f>_xlfn.XLOOKUP(worksheet!D563,products!$A$1:$A$49,products!$D$1:$D$49,0)</f>
        <v>0.2</v>
      </c>
      <c r="L563" s="6">
        <f>_xlfn.XLOOKUP(worksheet!D563,products!$A$1:$A$49,products!$E$1:$E$49,0)</f>
        <v>2.9849999999999999</v>
      </c>
      <c r="M563" s="6">
        <f>worksheet!E563*worksheet!L563</f>
        <v>17.91</v>
      </c>
      <c r="N563" t="str">
        <f t="shared" si="16"/>
        <v>Arabica</v>
      </c>
      <c r="O563" t="str">
        <f t="shared" si="17"/>
        <v>Dark</v>
      </c>
      <c r="P563" t="str">
        <f>_xlfn.XLOOKUP(worksheet[[#This Row],[Customer ID]],customers!$A$1:$A$1001,customers!$I$1:$I$1001,0)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
        <v>3668</v>
      </c>
      <c r="H564" s="2" t="str">
        <f>_xlfn.XLOOKUP(C564,customers!$A$1:$A$1001,customers!$G$1:$G$1001,0)</f>
        <v>United Kingdom</v>
      </c>
      <c r="I564" t="str">
        <f>_xlfn.XLOOKUP(D564,products!$A$1:$A$49,products!$B$1:$B$49,0)</f>
        <v>Lib</v>
      </c>
      <c r="J564" t="str">
        <f>_xlfn.XLOOKUP(worksheet!D564,products!$A$1:$A$49,products!$C$1:$C$49,0)</f>
        <v>L</v>
      </c>
      <c r="K564" s="5">
        <f>_xlfn.XLOOKUP(worksheet!D564,products!$A$1:$A$49,products!$D$1:$D$49,0)</f>
        <v>0.2</v>
      </c>
      <c r="L564" s="6">
        <f>_xlfn.XLOOKUP(worksheet!D564,products!$A$1:$A$49,products!$E$1:$E$49,0)</f>
        <v>4.7549999999999999</v>
      </c>
      <c r="M564" s="6">
        <f>worksheet!E564*worksheet!L564</f>
        <v>28.53</v>
      </c>
      <c r="N564" t="str">
        <f t="shared" si="16"/>
        <v>Liberica</v>
      </c>
      <c r="O564" t="str">
        <f t="shared" si="17"/>
        <v>Light</v>
      </c>
      <c r="P564" t="str">
        <f>_xlfn.XLOOKUP(worksheet[[#This Row],[Customer ID]],customers!$A$1:$A$1001,customers!$I$1:$I$1001,0)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
        <v>3754</v>
      </c>
      <c r="H565" s="2" t="str">
        <f>_xlfn.XLOOKUP(C565,customers!$A$1:$A$1001,customers!$G$1:$G$1001,0)</f>
        <v>United Kingdom</v>
      </c>
      <c r="I565" t="str">
        <f>_xlfn.XLOOKUP(D565,products!$A$1:$A$49,products!$B$1:$B$49,0)</f>
        <v>Exc</v>
      </c>
      <c r="J565" t="str">
        <f>_xlfn.XLOOKUP(worksheet!D565,products!$A$1:$A$49,products!$C$1:$C$49,0)</f>
        <v>M</v>
      </c>
      <c r="K565" s="5">
        <f>_xlfn.XLOOKUP(worksheet!D565,products!$A$1:$A$49,products!$D$1:$D$49,0)</f>
        <v>1</v>
      </c>
      <c r="L565" s="6">
        <f>_xlfn.XLOOKUP(worksheet!D565,products!$A$1:$A$49,products!$E$1:$E$49,0)</f>
        <v>13.75</v>
      </c>
      <c r="M565" s="6">
        <f>worksheet!E565*worksheet!L565</f>
        <v>82.5</v>
      </c>
      <c r="N565" t="str">
        <f t="shared" si="16"/>
        <v>Excelsa</v>
      </c>
      <c r="O565" t="str">
        <f t="shared" si="17"/>
        <v>Medium</v>
      </c>
      <c r="P565" t="str">
        <f>_xlfn.XLOOKUP(worksheet[[#This Row],[Customer ID]],customers!$A$1:$A$1001,customers!$I$1:$I$1001,0)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
        <v>3680</v>
      </c>
      <c r="H566" s="2" t="str">
        <f>_xlfn.XLOOKUP(C566,customers!$A$1:$A$1001,customers!$G$1:$G$1001,0)</f>
        <v>United States</v>
      </c>
      <c r="I566" t="str">
        <f>_xlfn.XLOOKUP(D566,products!$A$1:$A$49,products!$B$1:$B$49,0)</f>
        <v>Rob</v>
      </c>
      <c r="J566" t="str">
        <f>_xlfn.XLOOKUP(worksheet!D566,products!$A$1:$A$49,products!$C$1:$C$49,0)</f>
        <v>L</v>
      </c>
      <c r="K566" s="5">
        <f>_xlfn.XLOOKUP(worksheet!D566,products!$A$1:$A$49,products!$D$1:$D$49,0)</f>
        <v>0.5</v>
      </c>
      <c r="L566" s="6">
        <f>_xlfn.XLOOKUP(worksheet!D566,products!$A$1:$A$49,products!$E$1:$E$49,0)</f>
        <v>7.169999999999999</v>
      </c>
      <c r="M566" s="6">
        <f>worksheet!E566*worksheet!L566</f>
        <v>14.339999999999998</v>
      </c>
      <c r="N566" t="str">
        <f t="shared" si="16"/>
        <v>Robusta</v>
      </c>
      <c r="O566" t="str">
        <f t="shared" si="17"/>
        <v>Light</v>
      </c>
      <c r="P566" t="str">
        <f>_xlfn.XLOOKUP(worksheet[[#This Row],[Customer ID]],customers!$A$1:$A$1001,customers!$I$1:$I$1001,0)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
        <v>3686</v>
      </c>
      <c r="H567" s="2" t="str">
        <f>_xlfn.XLOOKUP(C567,customers!$A$1:$A$1001,customers!$G$1:$G$1001,0)</f>
        <v>United States</v>
      </c>
      <c r="I567" t="str">
        <f>_xlfn.XLOOKUP(D567,products!$A$1:$A$49,products!$B$1:$B$49,0)</f>
        <v>Rob</v>
      </c>
      <c r="J567" t="str">
        <f>_xlfn.XLOOKUP(worksheet!D567,products!$A$1:$A$49,products!$C$1:$C$49,0)</f>
        <v>D</v>
      </c>
      <c r="K567" s="5">
        <f>_xlfn.XLOOKUP(worksheet!D567,products!$A$1:$A$49,products!$D$1:$D$49,0)</f>
        <v>2.5</v>
      </c>
      <c r="L567" s="6">
        <f>_xlfn.XLOOKUP(worksheet!D567,products!$A$1:$A$49,products!$E$1:$E$49,0)</f>
        <v>20.584999999999997</v>
      </c>
      <c r="M567" s="6">
        <f>worksheet!E567*worksheet!L567</f>
        <v>82.339999999999989</v>
      </c>
      <c r="N567" t="str">
        <f t="shared" si="16"/>
        <v>Robusta</v>
      </c>
      <c r="O567" t="str">
        <f t="shared" si="17"/>
        <v>Dark</v>
      </c>
      <c r="P567" t="str">
        <f>_xlfn.XLOOKUP(worksheet[[#This Row],[Customer ID]],customers!$A$1:$A$1001,customers!$I$1:$I$1001,0)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
        <v>3692</v>
      </c>
      <c r="H568" s="2" t="str">
        <f>_xlfn.XLOOKUP(C568,customers!$A$1:$A$1001,customers!$G$1:$G$1001,0)</f>
        <v>United States</v>
      </c>
      <c r="I568" t="str">
        <f>_xlfn.XLOOKUP(D568,products!$A$1:$A$49,products!$B$1:$B$49,0)</f>
        <v>Ara</v>
      </c>
      <c r="J568" t="str">
        <f>_xlfn.XLOOKUP(worksheet!D568,products!$A$1:$A$49,products!$C$1:$C$49,0)</f>
        <v>M</v>
      </c>
      <c r="K568" s="5">
        <f>_xlfn.XLOOKUP(worksheet!D568,products!$A$1:$A$49,products!$D$1:$D$49,0)</f>
        <v>0.2</v>
      </c>
      <c r="L568" s="6">
        <f>_xlfn.XLOOKUP(worksheet!D568,products!$A$1:$A$49,products!$E$1:$E$49,0)</f>
        <v>3.375</v>
      </c>
      <c r="M568" s="6">
        <f>worksheet!E568*worksheet!L568</f>
        <v>20.25</v>
      </c>
      <c r="N568" t="str">
        <f t="shared" si="16"/>
        <v>Arabica</v>
      </c>
      <c r="O568" t="str">
        <f t="shared" si="17"/>
        <v>Medium</v>
      </c>
      <c r="P568" t="str">
        <f>_xlfn.XLOOKUP(worksheet[[#This Row],[Customer ID]],customers!$A$1:$A$1001,customers!$I$1:$I$1001,0)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
        <v>6222</v>
      </c>
      <c r="H569" s="2" t="str">
        <f>_xlfn.XLOOKUP(C569,customers!$A$1:$A$1001,customers!$G$1:$G$1001,0)</f>
        <v>Ireland</v>
      </c>
      <c r="I569" t="str">
        <f>_xlfn.XLOOKUP(D569,products!$A$1:$A$49,products!$B$1:$B$49,0)</f>
        <v>Rob</v>
      </c>
      <c r="J569" t="str">
        <f>_xlfn.XLOOKUP(worksheet!D569,products!$A$1:$A$49,products!$C$1:$C$49,0)</f>
        <v>L</v>
      </c>
      <c r="K569" s="5">
        <f>_xlfn.XLOOKUP(worksheet!D569,products!$A$1:$A$49,products!$D$1:$D$49,0)</f>
        <v>2.5</v>
      </c>
      <c r="L569" s="6">
        <f>_xlfn.XLOOKUP(worksheet!D569,products!$A$1:$A$49,products!$E$1:$E$49,0)</f>
        <v>27.484999999999996</v>
      </c>
      <c r="M569" s="6">
        <f>worksheet!E569*worksheet!L569</f>
        <v>164.90999999999997</v>
      </c>
      <c r="N569" t="str">
        <f t="shared" si="16"/>
        <v>Robusta</v>
      </c>
      <c r="O569" t="str">
        <f t="shared" si="17"/>
        <v>Light</v>
      </c>
      <c r="P569" t="str">
        <f>_xlfn.XLOOKUP(worksheet[[#This Row],[Customer ID]],customers!$A$1:$A$1001,customers!$I$1:$I$1001,0)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
        <v>3703</v>
      </c>
      <c r="H570" s="2" t="str">
        <f>_xlfn.XLOOKUP(C570,customers!$A$1:$A$1001,customers!$G$1:$G$1001,0)</f>
        <v>United States</v>
      </c>
      <c r="I570" t="str">
        <f>_xlfn.XLOOKUP(D570,products!$A$1:$A$49,products!$B$1:$B$49,0)</f>
        <v>Lib</v>
      </c>
      <c r="J570" t="str">
        <f>_xlfn.XLOOKUP(worksheet!D570,products!$A$1:$A$49,products!$C$1:$C$49,0)</f>
        <v>L</v>
      </c>
      <c r="K570" s="5">
        <f>_xlfn.XLOOKUP(worksheet!D570,products!$A$1:$A$49,products!$D$1:$D$49,0)</f>
        <v>0.2</v>
      </c>
      <c r="L570" s="6">
        <f>_xlfn.XLOOKUP(worksheet!D570,products!$A$1:$A$49,products!$E$1:$E$49,0)</f>
        <v>4.7549999999999999</v>
      </c>
      <c r="M570" s="6">
        <f>worksheet!E570*worksheet!L570</f>
        <v>19.02</v>
      </c>
      <c r="N570" t="str">
        <f t="shared" si="16"/>
        <v>Liberica</v>
      </c>
      <c r="O570" t="str">
        <f t="shared" si="17"/>
        <v>Light</v>
      </c>
      <c r="P570" t="str">
        <f>_xlfn.XLOOKUP(worksheet[[#This Row],[Customer ID]],customers!$A$1:$A$1001,customers!$I$1:$I$1001,0)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
        <v>3754</v>
      </c>
      <c r="H571" s="2" t="str">
        <f>_xlfn.XLOOKUP(C571,customers!$A$1:$A$1001,customers!$G$1:$G$1001,0)</f>
        <v>United Kingdom</v>
      </c>
      <c r="I571" t="str">
        <f>_xlfn.XLOOKUP(D571,products!$A$1:$A$49,products!$B$1:$B$49,0)</f>
        <v>Ara</v>
      </c>
      <c r="J571" t="str">
        <f>_xlfn.XLOOKUP(worksheet!D571,products!$A$1:$A$49,products!$C$1:$C$49,0)</f>
        <v>D</v>
      </c>
      <c r="K571" s="5">
        <f>_xlfn.XLOOKUP(worksheet!D571,products!$A$1:$A$49,products!$D$1:$D$49,0)</f>
        <v>2.5</v>
      </c>
      <c r="L571" s="6">
        <f>_xlfn.XLOOKUP(worksheet!D571,products!$A$1:$A$49,products!$E$1:$E$49,0)</f>
        <v>22.884999999999998</v>
      </c>
      <c r="M571" s="6">
        <f>worksheet!E571*worksheet!L571</f>
        <v>137.31</v>
      </c>
      <c r="N571" t="str">
        <f t="shared" si="16"/>
        <v>Arabica</v>
      </c>
      <c r="O571" t="str">
        <f t="shared" si="17"/>
        <v>Dark</v>
      </c>
      <c r="P571" t="str">
        <f>_xlfn.XLOOKUP(worksheet[[#This Row],[Customer ID]],customers!$A$1:$A$1001,customers!$I$1:$I$1001,0)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
        <v>3715</v>
      </c>
      <c r="H572" s="2" t="str">
        <f>_xlfn.XLOOKUP(C572,customers!$A$1:$A$1001,customers!$G$1:$G$1001,0)</f>
        <v>United States</v>
      </c>
      <c r="I572" t="str">
        <f>_xlfn.XLOOKUP(D572,products!$A$1:$A$49,products!$B$1:$B$49,0)</f>
        <v>Ara</v>
      </c>
      <c r="J572" t="str">
        <f>_xlfn.XLOOKUP(worksheet!D572,products!$A$1:$A$49,products!$C$1:$C$49,0)</f>
        <v>M</v>
      </c>
      <c r="K572" s="5">
        <f>_xlfn.XLOOKUP(worksheet!D572,products!$A$1:$A$49,products!$D$1:$D$49,0)</f>
        <v>0.5</v>
      </c>
      <c r="L572" s="6">
        <f>_xlfn.XLOOKUP(worksheet!D572,products!$A$1:$A$49,products!$E$1:$E$49,0)</f>
        <v>6.75</v>
      </c>
      <c r="M572" s="6">
        <f>worksheet!E572*worksheet!L572</f>
        <v>27</v>
      </c>
      <c r="N572" t="str">
        <f t="shared" si="16"/>
        <v>Arabica</v>
      </c>
      <c r="O572" t="str">
        <f t="shared" si="17"/>
        <v>Medium</v>
      </c>
      <c r="P572" t="str">
        <f>_xlfn.XLOOKUP(worksheet[[#This Row],[Customer ID]],customers!$A$1:$A$1001,customers!$I$1:$I$1001,0)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
        <v>3721</v>
      </c>
      <c r="H573" s="2" t="str">
        <f>_xlfn.XLOOKUP(C573,customers!$A$1:$A$1001,customers!$G$1:$G$1001,0)</f>
        <v>United Kingdom</v>
      </c>
      <c r="I573" t="str">
        <f>_xlfn.XLOOKUP(D573,products!$A$1:$A$49,products!$B$1:$B$49,0)</f>
        <v>Exc</v>
      </c>
      <c r="J573" t="str">
        <f>_xlfn.XLOOKUP(worksheet!D573,products!$A$1:$A$49,products!$C$1:$C$49,0)</f>
        <v>L</v>
      </c>
      <c r="K573" s="5">
        <f>_xlfn.XLOOKUP(worksheet!D573,products!$A$1:$A$49,products!$D$1:$D$49,0)</f>
        <v>0.5</v>
      </c>
      <c r="L573" s="6">
        <f>_xlfn.XLOOKUP(worksheet!D573,products!$A$1:$A$49,products!$E$1:$E$49,0)</f>
        <v>8.91</v>
      </c>
      <c r="M573" s="6">
        <f>worksheet!E573*worksheet!L573</f>
        <v>35.64</v>
      </c>
      <c r="N573" t="str">
        <f t="shared" si="16"/>
        <v>Excelsa</v>
      </c>
      <c r="O573" t="str">
        <f t="shared" si="17"/>
        <v>Light</v>
      </c>
      <c r="P573" t="str">
        <f>_xlfn.XLOOKUP(worksheet[[#This Row],[Customer ID]],customers!$A$1:$A$1001,customers!$I$1:$I$1001,0)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
        <v>6222</v>
      </c>
      <c r="H574" s="2" t="str">
        <f>_xlfn.XLOOKUP(C574,customers!$A$1:$A$1001,customers!$G$1:$G$1001,0)</f>
        <v>United States</v>
      </c>
      <c r="I574" t="str">
        <f>_xlfn.XLOOKUP(D574,products!$A$1:$A$49,products!$B$1:$B$49,0)</f>
        <v>Ara</v>
      </c>
      <c r="J574" t="str">
        <f>_xlfn.XLOOKUP(worksheet!D574,products!$A$1:$A$49,products!$C$1:$C$49,0)</f>
        <v>D</v>
      </c>
      <c r="K574" s="5">
        <f>_xlfn.XLOOKUP(worksheet!D574,products!$A$1:$A$49,products!$D$1:$D$49,0)</f>
        <v>0.2</v>
      </c>
      <c r="L574" s="6">
        <f>_xlfn.XLOOKUP(worksheet!D574,products!$A$1:$A$49,products!$E$1:$E$49,0)</f>
        <v>2.9849999999999999</v>
      </c>
      <c r="M574" s="6">
        <f>worksheet!E574*worksheet!L574</f>
        <v>5.97</v>
      </c>
      <c r="N574" t="str">
        <f t="shared" si="16"/>
        <v>Arabica</v>
      </c>
      <c r="O574" t="str">
        <f t="shared" si="17"/>
        <v>Dark</v>
      </c>
      <c r="P574" t="str">
        <f>_xlfn.XLOOKUP(worksheet[[#This Row],[Customer ID]],customers!$A$1:$A$1001,customers!$I$1:$I$1001,0)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
        <v>3731</v>
      </c>
      <c r="H575" s="2" t="str">
        <f>_xlfn.XLOOKUP(C575,customers!$A$1:$A$1001,customers!$G$1:$G$1001,0)</f>
        <v>United States</v>
      </c>
      <c r="I575" t="str">
        <f>_xlfn.XLOOKUP(D575,products!$A$1:$A$49,products!$B$1:$B$49,0)</f>
        <v>Ara</v>
      </c>
      <c r="J575" t="str">
        <f>_xlfn.XLOOKUP(worksheet!D575,products!$A$1:$A$49,products!$C$1:$C$49,0)</f>
        <v>M</v>
      </c>
      <c r="K575" s="5">
        <f>_xlfn.XLOOKUP(worksheet!D575,products!$A$1:$A$49,products!$D$1:$D$49,0)</f>
        <v>1</v>
      </c>
      <c r="L575" s="6">
        <f>_xlfn.XLOOKUP(worksheet!D575,products!$A$1:$A$49,products!$E$1:$E$49,0)</f>
        <v>11.25</v>
      </c>
      <c r="M575" s="6">
        <f>worksheet!E575*worksheet!L575</f>
        <v>67.5</v>
      </c>
      <c r="N575" t="str">
        <f t="shared" si="16"/>
        <v>Arabica</v>
      </c>
      <c r="O575" t="str">
        <f t="shared" si="17"/>
        <v>Medium</v>
      </c>
      <c r="P575" t="str">
        <f>_xlfn.XLOOKUP(worksheet[[#This Row],[Customer ID]],customers!$A$1:$A$1001,customers!$I$1:$I$1001,0)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
        <v>3737</v>
      </c>
      <c r="H576" s="2" t="str">
        <f>_xlfn.XLOOKUP(C576,customers!$A$1:$A$1001,customers!$G$1:$G$1001,0)</f>
        <v>United States</v>
      </c>
      <c r="I576" t="str">
        <f>_xlfn.XLOOKUP(D576,products!$A$1:$A$49,products!$B$1:$B$49,0)</f>
        <v>Rob</v>
      </c>
      <c r="J576" t="str">
        <f>_xlfn.XLOOKUP(worksheet!D576,products!$A$1:$A$49,products!$C$1:$C$49,0)</f>
        <v>L</v>
      </c>
      <c r="K576" s="5">
        <f>_xlfn.XLOOKUP(worksheet!D576,products!$A$1:$A$49,products!$D$1:$D$49,0)</f>
        <v>0.2</v>
      </c>
      <c r="L576" s="6">
        <f>_xlfn.XLOOKUP(worksheet!D576,products!$A$1:$A$49,products!$E$1:$E$49,0)</f>
        <v>3.5849999999999995</v>
      </c>
      <c r="M576" s="6">
        <f>worksheet!E576*worksheet!L576</f>
        <v>21.509999999999998</v>
      </c>
      <c r="N576" t="str">
        <f t="shared" si="16"/>
        <v>Robusta</v>
      </c>
      <c r="O576" t="str">
        <f t="shared" si="17"/>
        <v>Light</v>
      </c>
      <c r="P576" t="str">
        <f>_xlfn.XLOOKUP(worksheet[[#This Row],[Customer ID]],customers!$A$1:$A$1001,customers!$I$1:$I$1001,0)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
        <v>3742</v>
      </c>
      <c r="H577" s="2" t="str">
        <f>_xlfn.XLOOKUP(C577,customers!$A$1:$A$1001,customers!$G$1:$G$1001,0)</f>
        <v>United States</v>
      </c>
      <c r="I577" t="str">
        <f>_xlfn.XLOOKUP(D577,products!$A$1:$A$49,products!$B$1:$B$49,0)</f>
        <v>Lib</v>
      </c>
      <c r="J577" t="str">
        <f>_xlfn.XLOOKUP(worksheet!D577,products!$A$1:$A$49,products!$C$1:$C$49,0)</f>
        <v>M</v>
      </c>
      <c r="K577" s="5">
        <f>_xlfn.XLOOKUP(worksheet!D577,products!$A$1:$A$49,products!$D$1:$D$49,0)</f>
        <v>2.5</v>
      </c>
      <c r="L577" s="6">
        <f>_xlfn.XLOOKUP(worksheet!D577,products!$A$1:$A$49,products!$E$1:$E$49,0)</f>
        <v>33.464999999999996</v>
      </c>
      <c r="M577" s="6">
        <f>worksheet!E577*worksheet!L577</f>
        <v>66.929999999999993</v>
      </c>
      <c r="N577" t="str">
        <f t="shared" si="16"/>
        <v>Liberica</v>
      </c>
      <c r="O577" t="str">
        <f t="shared" si="17"/>
        <v>Medium</v>
      </c>
      <c r="P577" t="str">
        <f>_xlfn.XLOOKUP(worksheet[[#This Row],[Customer ID]],customers!$A$1:$A$1001,customers!$I$1:$I$1001,0)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
        <v>3748</v>
      </c>
      <c r="H578" s="2" t="str">
        <f>_xlfn.XLOOKUP(C578,customers!$A$1:$A$1001,customers!$G$1:$G$1001,0)</f>
        <v>United States</v>
      </c>
      <c r="I578" t="str">
        <f>_xlfn.XLOOKUP(D578,products!$A$1:$A$49,products!$B$1:$B$49,0)</f>
        <v>Ara</v>
      </c>
      <c r="J578" t="str">
        <f>_xlfn.XLOOKUP(worksheet!D578,products!$A$1:$A$49,products!$C$1:$C$49,0)</f>
        <v>D</v>
      </c>
      <c r="K578" s="5">
        <f>_xlfn.XLOOKUP(worksheet!D578,products!$A$1:$A$49,products!$D$1:$D$49,0)</f>
        <v>0.2</v>
      </c>
      <c r="L578" s="6">
        <f>_xlfn.XLOOKUP(worksheet!D578,products!$A$1:$A$49,products!$E$1:$E$49,0)</f>
        <v>2.9849999999999999</v>
      </c>
      <c r="M578" s="6">
        <f>worksheet!E578*worksheet!L578</f>
        <v>17.91</v>
      </c>
      <c r="N578" t="str">
        <f t="shared" si="16"/>
        <v>Arabica</v>
      </c>
      <c r="O578" t="str">
        <f t="shared" si="17"/>
        <v>Dark</v>
      </c>
      <c r="P578" t="str">
        <f>_xlfn.XLOOKUP(worksheet[[#This Row],[Customer ID]],customers!$A$1:$A$1001,customers!$I$1:$I$1001,0)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
        <v>3754</v>
      </c>
      <c r="H579" s="2" t="str">
        <f>_xlfn.XLOOKUP(C579,customers!$A$1:$A$1001,customers!$G$1:$G$1001,0)</f>
        <v>United Kingdom</v>
      </c>
      <c r="I579" t="str">
        <f>_xlfn.XLOOKUP(D579,products!$A$1:$A$49,products!$B$1:$B$49,0)</f>
        <v>Lib</v>
      </c>
      <c r="J579" t="str">
        <f>_xlfn.XLOOKUP(worksheet!D579,products!$A$1:$A$49,products!$C$1:$C$49,0)</f>
        <v>M</v>
      </c>
      <c r="K579" s="5">
        <f>_xlfn.XLOOKUP(worksheet!D579,products!$A$1:$A$49,products!$D$1:$D$49,0)</f>
        <v>1</v>
      </c>
      <c r="L579" s="6">
        <f>_xlfn.XLOOKUP(worksheet!D579,products!$A$1:$A$49,products!$E$1:$E$49,0)</f>
        <v>14.55</v>
      </c>
      <c r="M579" s="6">
        <f>worksheet!E579*worksheet!L579</f>
        <v>58.2</v>
      </c>
      <c r="N579" t="str">
        <f t="shared" ref="N579:N642" si="18">IF(I579="Rob","Robusta",IF(I579="Exc","Excelsa",IF(I579="Ara","Arabica",IF(I579="Lib","Liberica",""))))</f>
        <v>Liberica</v>
      </c>
      <c r="O579" t="str">
        <f t="shared" ref="O579:O642" si="19">IF(J579="M","Medium",IF(J579="L","Light",IF(J579="D","Dark","")))</f>
        <v>Medium</v>
      </c>
      <c r="P579" t="str">
        <f>_xlfn.XLOOKUP(worksheet[[#This Row],[Customer ID]],customers!$A$1:$A$1001,customers!$I$1:$I$1001,0)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
        <v>3759</v>
      </c>
      <c r="H580" s="2" t="str">
        <f>_xlfn.XLOOKUP(C580,customers!$A$1:$A$1001,customers!$G$1:$G$1001,0)</f>
        <v>Ireland</v>
      </c>
      <c r="I580" t="str">
        <f>_xlfn.XLOOKUP(D580,products!$A$1:$A$49,products!$B$1:$B$49,0)</f>
        <v>Exc</v>
      </c>
      <c r="J580" t="str">
        <f>_xlfn.XLOOKUP(worksheet!D580,products!$A$1:$A$49,products!$C$1:$C$49,0)</f>
        <v>L</v>
      </c>
      <c r="K580" s="5">
        <f>_xlfn.XLOOKUP(worksheet!D580,products!$A$1:$A$49,products!$D$1:$D$49,0)</f>
        <v>0.2</v>
      </c>
      <c r="L580" s="6">
        <f>_xlfn.XLOOKUP(worksheet!D580,products!$A$1:$A$49,products!$E$1:$E$49,0)</f>
        <v>4.4550000000000001</v>
      </c>
      <c r="M580" s="6">
        <f>worksheet!E580*worksheet!L580</f>
        <v>13.365</v>
      </c>
      <c r="N580" t="str">
        <f t="shared" si="18"/>
        <v>Excelsa</v>
      </c>
      <c r="O580" t="str">
        <f t="shared" si="19"/>
        <v>Light</v>
      </c>
      <c r="P580" t="str">
        <f>_xlfn.XLOOKUP(worksheet[[#This Row],[Customer ID]],customers!$A$1:$A$1001,customers!$I$1:$I$1001,0)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
        <v>3759</v>
      </c>
      <c r="H581" s="2" t="str">
        <f>_xlfn.XLOOKUP(C581,customers!$A$1:$A$1001,customers!$G$1:$G$1001,0)</f>
        <v>Ireland</v>
      </c>
      <c r="I581" t="str">
        <f>_xlfn.XLOOKUP(D581,products!$A$1:$A$49,products!$B$1:$B$49,0)</f>
        <v>Ara</v>
      </c>
      <c r="J581" t="str">
        <f>_xlfn.XLOOKUP(worksheet!D581,products!$A$1:$A$49,products!$C$1:$C$49,0)</f>
        <v>M</v>
      </c>
      <c r="K581" s="5">
        <f>_xlfn.XLOOKUP(worksheet!D581,products!$A$1:$A$49,products!$D$1:$D$49,0)</f>
        <v>0.5</v>
      </c>
      <c r="L581" s="6">
        <f>_xlfn.XLOOKUP(worksheet!D581,products!$A$1:$A$49,products!$E$1:$E$49,0)</f>
        <v>6.75</v>
      </c>
      <c r="M581" s="6">
        <f>worksheet!E581*worksheet!L581</f>
        <v>33.75</v>
      </c>
      <c r="N581" t="str">
        <f t="shared" si="18"/>
        <v>Arabica</v>
      </c>
      <c r="O581" t="str">
        <f t="shared" si="19"/>
        <v>Medium</v>
      </c>
      <c r="P581" t="str">
        <f>_xlfn.XLOOKUP(worksheet[[#This Row],[Customer ID]],customers!$A$1:$A$1001,customers!$I$1:$I$1001,0)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
        <v>3770</v>
      </c>
      <c r="H582" s="2" t="str">
        <f>_xlfn.XLOOKUP(C582,customers!$A$1:$A$1001,customers!$G$1:$G$1001,0)</f>
        <v>United States</v>
      </c>
      <c r="I582" t="str">
        <f>_xlfn.XLOOKUP(D582,products!$A$1:$A$49,products!$B$1:$B$49,0)</f>
        <v>Exc</v>
      </c>
      <c r="J582" t="str">
        <f>_xlfn.XLOOKUP(worksheet!D582,products!$A$1:$A$49,products!$C$1:$C$49,0)</f>
        <v>L</v>
      </c>
      <c r="K582" s="5">
        <f>_xlfn.XLOOKUP(worksheet!D582,products!$A$1:$A$49,products!$D$1:$D$49,0)</f>
        <v>1</v>
      </c>
      <c r="L582" s="6">
        <f>_xlfn.XLOOKUP(worksheet!D582,products!$A$1:$A$49,products!$E$1:$E$49,0)</f>
        <v>14.85</v>
      </c>
      <c r="M582" s="6">
        <f>worksheet!E582*worksheet!L582</f>
        <v>44.55</v>
      </c>
      <c r="N582" t="str">
        <f t="shared" si="18"/>
        <v>Excelsa</v>
      </c>
      <c r="O582" t="str">
        <f t="shared" si="19"/>
        <v>Light</v>
      </c>
      <c r="P582" t="str">
        <f>_xlfn.XLOOKUP(worksheet[[#This Row],[Customer ID]],customers!$A$1:$A$1001,customers!$I$1:$I$1001,0)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
        <v>3776</v>
      </c>
      <c r="H583" s="2" t="str">
        <f>_xlfn.XLOOKUP(C583,customers!$A$1:$A$1001,customers!$G$1:$G$1001,0)</f>
        <v>United Kingdom</v>
      </c>
      <c r="I583" t="str">
        <f>_xlfn.XLOOKUP(D583,products!$A$1:$A$49,products!$B$1:$B$49,0)</f>
        <v>Exc</v>
      </c>
      <c r="J583" t="str">
        <f>_xlfn.XLOOKUP(worksheet!D583,products!$A$1:$A$49,products!$C$1:$C$49,0)</f>
        <v>L</v>
      </c>
      <c r="K583" s="5">
        <f>_xlfn.XLOOKUP(worksheet!D583,products!$A$1:$A$49,products!$D$1:$D$49,0)</f>
        <v>0.5</v>
      </c>
      <c r="L583" s="6">
        <f>_xlfn.XLOOKUP(worksheet!D583,products!$A$1:$A$49,products!$E$1:$E$49,0)</f>
        <v>8.91</v>
      </c>
      <c r="M583" s="6">
        <f>worksheet!E583*worksheet!L583</f>
        <v>44.55</v>
      </c>
      <c r="N583" t="str">
        <f t="shared" si="18"/>
        <v>Excelsa</v>
      </c>
      <c r="O583" t="str">
        <f t="shared" si="19"/>
        <v>Light</v>
      </c>
      <c r="P583" t="str">
        <f>_xlfn.XLOOKUP(worksheet[[#This Row],[Customer ID]],customers!$A$1:$A$1001,customers!$I$1:$I$1001,0)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
        <v>3781</v>
      </c>
      <c r="H584" s="2" t="str">
        <f>_xlfn.XLOOKUP(C584,customers!$A$1:$A$1001,customers!$G$1:$G$1001,0)</f>
        <v>United States</v>
      </c>
      <c r="I584" t="str">
        <f>_xlfn.XLOOKUP(D584,products!$A$1:$A$49,products!$B$1:$B$49,0)</f>
        <v>Exc</v>
      </c>
      <c r="J584" t="str">
        <f>_xlfn.XLOOKUP(worksheet!D584,products!$A$1:$A$49,products!$C$1:$C$49,0)</f>
        <v>D</v>
      </c>
      <c r="K584" s="5">
        <f>_xlfn.XLOOKUP(worksheet!D584,products!$A$1:$A$49,products!$D$1:$D$49,0)</f>
        <v>1</v>
      </c>
      <c r="L584" s="6">
        <f>_xlfn.XLOOKUP(worksheet!D584,products!$A$1:$A$49,products!$E$1:$E$49,0)</f>
        <v>12.15</v>
      </c>
      <c r="M584" s="6">
        <f>worksheet!E584*worksheet!L584</f>
        <v>60.75</v>
      </c>
      <c r="N584" t="str">
        <f t="shared" si="18"/>
        <v>Excelsa</v>
      </c>
      <c r="O584" t="str">
        <f t="shared" si="19"/>
        <v>Dark</v>
      </c>
      <c r="P584" t="str">
        <f>_xlfn.XLOOKUP(worksheet[[#This Row],[Customer ID]],customers!$A$1:$A$1001,customers!$I$1:$I$1001,0)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
        <v>3787</v>
      </c>
      <c r="H585" s="2" t="str">
        <f>_xlfn.XLOOKUP(C585,customers!$A$1:$A$1001,customers!$G$1:$G$1001,0)</f>
        <v>United States</v>
      </c>
      <c r="I585" t="str">
        <f>_xlfn.XLOOKUP(D585,products!$A$1:$A$49,products!$B$1:$B$49,0)</f>
        <v>Rob</v>
      </c>
      <c r="J585" t="str">
        <f>_xlfn.XLOOKUP(worksheet!D585,products!$A$1:$A$49,products!$C$1:$C$49,0)</f>
        <v>L</v>
      </c>
      <c r="K585" s="5">
        <f>_xlfn.XLOOKUP(worksheet!D585,products!$A$1:$A$49,products!$D$1:$D$49,0)</f>
        <v>0.2</v>
      </c>
      <c r="L585" s="6">
        <f>_xlfn.XLOOKUP(worksheet!D585,products!$A$1:$A$49,products!$E$1:$E$49,0)</f>
        <v>3.5849999999999995</v>
      </c>
      <c r="M585" s="6">
        <f>worksheet!E585*worksheet!L585</f>
        <v>3.5849999999999995</v>
      </c>
      <c r="N585" t="str">
        <f t="shared" si="18"/>
        <v>Robusta</v>
      </c>
      <c r="O585" t="str">
        <f t="shared" si="19"/>
        <v>Light</v>
      </c>
      <c r="P585" t="str">
        <f>_xlfn.XLOOKUP(worksheet[[#This Row],[Customer ID]],customers!$A$1:$A$1001,customers!$I$1:$I$1001,0)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
        <v>3793</v>
      </c>
      <c r="H586" s="2" t="str">
        <f>_xlfn.XLOOKUP(C586,customers!$A$1:$A$1001,customers!$G$1:$G$1001,0)</f>
        <v>United States</v>
      </c>
      <c r="I586" t="str">
        <f>_xlfn.XLOOKUP(D586,products!$A$1:$A$49,products!$B$1:$B$49,0)</f>
        <v>Rob</v>
      </c>
      <c r="J586" t="str">
        <f>_xlfn.XLOOKUP(worksheet!D586,products!$A$1:$A$49,products!$C$1:$C$49,0)</f>
        <v>L</v>
      </c>
      <c r="K586" s="5">
        <f>_xlfn.XLOOKUP(worksheet!D586,products!$A$1:$A$49,products!$D$1:$D$49,0)</f>
        <v>0.2</v>
      </c>
      <c r="L586" s="6">
        <f>_xlfn.XLOOKUP(worksheet!D586,products!$A$1:$A$49,products!$E$1:$E$49,0)</f>
        <v>3.5849999999999995</v>
      </c>
      <c r="M586" s="6">
        <f>worksheet!E586*worksheet!L586</f>
        <v>21.509999999999998</v>
      </c>
      <c r="N586" t="str">
        <f t="shared" si="18"/>
        <v>Robusta</v>
      </c>
      <c r="O586" t="str">
        <f t="shared" si="19"/>
        <v>Light</v>
      </c>
      <c r="P586" t="str">
        <f>_xlfn.XLOOKUP(worksheet[[#This Row],[Customer ID]],customers!$A$1:$A$1001,customers!$I$1:$I$1001,0)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
        <v>3842</v>
      </c>
      <c r="H587" s="2" t="str">
        <f>_xlfn.XLOOKUP(C587,customers!$A$1:$A$1001,customers!$G$1:$G$1001,0)</f>
        <v>United Kingdom</v>
      </c>
      <c r="I587" t="str">
        <f>_xlfn.XLOOKUP(D587,products!$A$1:$A$49,products!$B$1:$B$49,0)</f>
        <v>Exc</v>
      </c>
      <c r="J587" t="str">
        <f>_xlfn.XLOOKUP(worksheet!D587,products!$A$1:$A$49,products!$C$1:$C$49,0)</f>
        <v>M</v>
      </c>
      <c r="K587" s="5">
        <f>_xlfn.XLOOKUP(worksheet!D587,products!$A$1:$A$49,products!$D$1:$D$49,0)</f>
        <v>0.5</v>
      </c>
      <c r="L587" s="6">
        <f>_xlfn.XLOOKUP(worksheet!D587,products!$A$1:$A$49,products!$E$1:$E$49,0)</f>
        <v>8.25</v>
      </c>
      <c r="M587" s="6">
        <f>worksheet!E587*worksheet!L587</f>
        <v>16.5</v>
      </c>
      <c r="N587" t="str">
        <f t="shared" si="18"/>
        <v>Excelsa</v>
      </c>
      <c r="O587" t="str">
        <f t="shared" si="19"/>
        <v>Medium</v>
      </c>
      <c r="P587" t="str">
        <f>_xlfn.XLOOKUP(worksheet[[#This Row],[Customer ID]],customers!$A$1:$A$1001,customers!$I$1:$I$1001,0)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
        <v>6222</v>
      </c>
      <c r="H588" s="2" t="str">
        <f>_xlfn.XLOOKUP(C588,customers!$A$1:$A$1001,customers!$G$1:$G$1001,0)</f>
        <v>United States</v>
      </c>
      <c r="I588" t="str">
        <f>_xlfn.XLOOKUP(D588,products!$A$1:$A$49,products!$B$1:$B$49,0)</f>
        <v>Rob</v>
      </c>
      <c r="J588" t="str">
        <f>_xlfn.XLOOKUP(worksheet!D588,products!$A$1:$A$49,products!$C$1:$C$49,0)</f>
        <v>L</v>
      </c>
      <c r="K588" s="5">
        <f>_xlfn.XLOOKUP(worksheet!D588,products!$A$1:$A$49,products!$D$1:$D$49,0)</f>
        <v>2.5</v>
      </c>
      <c r="L588" s="6">
        <f>_xlfn.XLOOKUP(worksheet!D588,products!$A$1:$A$49,products!$E$1:$E$49,0)</f>
        <v>27.484999999999996</v>
      </c>
      <c r="M588" s="6">
        <f>worksheet!E588*worksheet!L588</f>
        <v>82.454999999999984</v>
      </c>
      <c r="N588" t="str">
        <f t="shared" si="18"/>
        <v>Robusta</v>
      </c>
      <c r="O588" t="str">
        <f t="shared" si="19"/>
        <v>Light</v>
      </c>
      <c r="P588" t="str">
        <f>_xlfn.XLOOKUP(worksheet[[#This Row],[Customer ID]],customers!$A$1:$A$1001,customers!$I$1:$I$1001,0)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
        <v>3810</v>
      </c>
      <c r="H589" s="2" t="str">
        <f>_xlfn.XLOOKUP(C589,customers!$A$1:$A$1001,customers!$G$1:$G$1001,0)</f>
        <v>United States</v>
      </c>
      <c r="I589" t="str">
        <f>_xlfn.XLOOKUP(D589,products!$A$1:$A$49,products!$B$1:$B$49,0)</f>
        <v>Lib</v>
      </c>
      <c r="J589" t="str">
        <f>_xlfn.XLOOKUP(worksheet!D589,products!$A$1:$A$49,products!$C$1:$C$49,0)</f>
        <v>D</v>
      </c>
      <c r="K589" s="5">
        <f>_xlfn.XLOOKUP(worksheet!D589,products!$A$1:$A$49,products!$D$1:$D$49,0)</f>
        <v>0.5</v>
      </c>
      <c r="L589" s="6">
        <f>_xlfn.XLOOKUP(worksheet!D589,products!$A$1:$A$49,products!$E$1:$E$49,0)</f>
        <v>7.77</v>
      </c>
      <c r="M589" s="6">
        <f>worksheet!E589*worksheet!L589</f>
        <v>7.77</v>
      </c>
      <c r="N589" t="str">
        <f t="shared" si="18"/>
        <v>Liberica</v>
      </c>
      <c r="O589" t="str">
        <f t="shared" si="19"/>
        <v>Dark</v>
      </c>
      <c r="P589" t="str">
        <f>_xlfn.XLOOKUP(worksheet[[#This Row],[Customer ID]],customers!$A$1:$A$1001,customers!$I$1:$I$1001,0)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
        <v>3815</v>
      </c>
      <c r="H590" s="2" t="str">
        <f>_xlfn.XLOOKUP(C590,customers!$A$1:$A$1001,customers!$G$1:$G$1001,0)</f>
        <v>United States</v>
      </c>
      <c r="I590" t="str">
        <f>_xlfn.XLOOKUP(D590,products!$A$1:$A$49,products!$B$1:$B$49,0)</f>
        <v>Rob</v>
      </c>
      <c r="J590" t="str">
        <f>_xlfn.XLOOKUP(worksheet!D590,products!$A$1:$A$49,products!$C$1:$C$49,0)</f>
        <v>M</v>
      </c>
      <c r="K590" s="5">
        <f>_xlfn.XLOOKUP(worksheet!D590,products!$A$1:$A$49,products!$D$1:$D$49,0)</f>
        <v>0.5</v>
      </c>
      <c r="L590" s="6">
        <f>_xlfn.XLOOKUP(worksheet!D590,products!$A$1:$A$49,products!$E$1:$E$49,0)</f>
        <v>5.97</v>
      </c>
      <c r="M590" s="6">
        <f>worksheet!E590*worksheet!L590</f>
        <v>11.94</v>
      </c>
      <c r="N590" t="str">
        <f t="shared" si="18"/>
        <v>Robusta</v>
      </c>
      <c r="O590" t="str">
        <f t="shared" si="19"/>
        <v>Medium</v>
      </c>
      <c r="P590" t="str">
        <f>_xlfn.XLOOKUP(worksheet[[#This Row],[Customer ID]],customers!$A$1:$A$1001,customers!$I$1:$I$1001,0)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
        <v>3821</v>
      </c>
      <c r="H591" s="2" t="str">
        <f>_xlfn.XLOOKUP(C591,customers!$A$1:$A$1001,customers!$G$1:$G$1001,0)</f>
        <v>United States</v>
      </c>
      <c r="I591" t="str">
        <f>_xlfn.XLOOKUP(D591,products!$A$1:$A$49,products!$B$1:$B$49,0)</f>
        <v>Exc</v>
      </c>
      <c r="J591" t="str">
        <f>_xlfn.XLOOKUP(worksheet!D591,products!$A$1:$A$49,products!$C$1:$C$49,0)</f>
        <v>L</v>
      </c>
      <c r="K591" s="5">
        <f>_xlfn.XLOOKUP(worksheet!D591,products!$A$1:$A$49,products!$D$1:$D$49,0)</f>
        <v>2.5</v>
      </c>
      <c r="L591" s="6">
        <f>_xlfn.XLOOKUP(worksheet!D591,products!$A$1:$A$49,products!$E$1:$E$49,0)</f>
        <v>34.154999999999994</v>
      </c>
      <c r="M591" s="6">
        <f>worksheet!E591*worksheet!L591</f>
        <v>204.92999999999995</v>
      </c>
      <c r="N591" t="str">
        <f t="shared" si="18"/>
        <v>Excelsa</v>
      </c>
      <c r="O591" t="str">
        <f t="shared" si="19"/>
        <v>Light</v>
      </c>
      <c r="P591" t="str">
        <f>_xlfn.XLOOKUP(worksheet[[#This Row],[Customer ID]],customers!$A$1:$A$1001,customers!$I$1:$I$1001,0)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
        <v>3826</v>
      </c>
      <c r="H592" s="2" t="str">
        <f>_xlfn.XLOOKUP(C592,customers!$A$1:$A$1001,customers!$G$1:$G$1001,0)</f>
        <v>United States</v>
      </c>
      <c r="I592" t="str">
        <f>_xlfn.XLOOKUP(D592,products!$A$1:$A$49,products!$B$1:$B$49,0)</f>
        <v>Exc</v>
      </c>
      <c r="J592" t="str">
        <f>_xlfn.XLOOKUP(worksheet!D592,products!$A$1:$A$49,products!$C$1:$C$49,0)</f>
        <v>M</v>
      </c>
      <c r="K592" s="5">
        <f>_xlfn.XLOOKUP(worksheet!D592,products!$A$1:$A$49,products!$D$1:$D$49,0)</f>
        <v>2.5</v>
      </c>
      <c r="L592" s="6">
        <f>_xlfn.XLOOKUP(worksheet!D592,products!$A$1:$A$49,products!$E$1:$E$49,0)</f>
        <v>31.624999999999996</v>
      </c>
      <c r="M592" s="6">
        <f>worksheet!E592*worksheet!L592</f>
        <v>63.249999999999993</v>
      </c>
      <c r="N592" t="str">
        <f t="shared" si="18"/>
        <v>Excelsa</v>
      </c>
      <c r="O592" t="str">
        <f t="shared" si="19"/>
        <v>Medium</v>
      </c>
      <c r="P592" t="str">
        <f>_xlfn.XLOOKUP(worksheet[[#This Row],[Customer ID]],customers!$A$1:$A$1001,customers!$I$1:$I$1001,0)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
        <v>3832</v>
      </c>
      <c r="H593" s="2" t="str">
        <f>_xlfn.XLOOKUP(C593,customers!$A$1:$A$1001,customers!$G$1:$G$1001,0)</f>
        <v>United States</v>
      </c>
      <c r="I593" t="str">
        <f>_xlfn.XLOOKUP(D593,products!$A$1:$A$49,products!$B$1:$B$49,0)</f>
        <v>Rob</v>
      </c>
      <c r="J593" t="str">
        <f>_xlfn.XLOOKUP(worksheet!D593,products!$A$1:$A$49,products!$C$1:$C$49,0)</f>
        <v>D</v>
      </c>
      <c r="K593" s="5">
        <f>_xlfn.XLOOKUP(worksheet!D593,products!$A$1:$A$49,products!$D$1:$D$49,0)</f>
        <v>0.2</v>
      </c>
      <c r="L593" s="6">
        <f>_xlfn.XLOOKUP(worksheet!D593,products!$A$1:$A$49,products!$E$1:$E$49,0)</f>
        <v>2.6849999999999996</v>
      </c>
      <c r="M593" s="6">
        <f>worksheet!E593*worksheet!L593</f>
        <v>8.0549999999999997</v>
      </c>
      <c r="N593" t="str">
        <f t="shared" si="18"/>
        <v>Robusta</v>
      </c>
      <c r="O593" t="str">
        <f t="shared" si="19"/>
        <v>Dark</v>
      </c>
      <c r="P593" t="str">
        <f>_xlfn.XLOOKUP(worksheet[[#This Row],[Customer ID]],customers!$A$1:$A$1001,customers!$I$1:$I$1001,0)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
        <v>6222</v>
      </c>
      <c r="H594" s="2" t="str">
        <f>_xlfn.XLOOKUP(C594,customers!$A$1:$A$1001,customers!$G$1:$G$1001,0)</f>
        <v>United States</v>
      </c>
      <c r="I594" t="str">
        <f>_xlfn.XLOOKUP(D594,products!$A$1:$A$49,products!$B$1:$B$49,0)</f>
        <v>Ara</v>
      </c>
      <c r="J594" t="str">
        <f>_xlfn.XLOOKUP(worksheet!D594,products!$A$1:$A$49,products!$C$1:$C$49,0)</f>
        <v>M</v>
      </c>
      <c r="K594" s="5">
        <f>_xlfn.XLOOKUP(worksheet!D594,products!$A$1:$A$49,products!$D$1:$D$49,0)</f>
        <v>2.5</v>
      </c>
      <c r="L594" s="6">
        <f>_xlfn.XLOOKUP(worksheet!D594,products!$A$1:$A$49,products!$E$1:$E$49,0)</f>
        <v>25.874999999999996</v>
      </c>
      <c r="M594" s="6">
        <f>worksheet!E594*worksheet!L594</f>
        <v>51.749999999999993</v>
      </c>
      <c r="N594" t="str">
        <f t="shared" si="18"/>
        <v>Arabica</v>
      </c>
      <c r="O594" t="str">
        <f t="shared" si="19"/>
        <v>Medium</v>
      </c>
      <c r="P594" t="str">
        <f>_xlfn.XLOOKUP(worksheet[[#This Row],[Customer ID]],customers!$A$1:$A$1001,customers!$I$1:$I$1001,0)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
        <v>3842</v>
      </c>
      <c r="H595" s="2" t="str">
        <f>_xlfn.XLOOKUP(C595,customers!$A$1:$A$1001,customers!$G$1:$G$1001,0)</f>
        <v>United Kingdom</v>
      </c>
      <c r="I595" t="str">
        <f>_xlfn.XLOOKUP(D595,products!$A$1:$A$49,products!$B$1:$B$49,0)</f>
        <v>Exc</v>
      </c>
      <c r="J595" t="str">
        <f>_xlfn.XLOOKUP(worksheet!D595,products!$A$1:$A$49,products!$C$1:$C$49,0)</f>
        <v>D</v>
      </c>
      <c r="K595" s="5">
        <f>_xlfn.XLOOKUP(worksheet!D595,products!$A$1:$A$49,products!$D$1:$D$49,0)</f>
        <v>2.5</v>
      </c>
      <c r="L595" s="6">
        <f>_xlfn.XLOOKUP(worksheet!D595,products!$A$1:$A$49,products!$E$1:$E$49,0)</f>
        <v>27.945</v>
      </c>
      <c r="M595" s="6">
        <f>worksheet!E595*worksheet!L595</f>
        <v>27.945</v>
      </c>
      <c r="N595" t="str">
        <f t="shared" si="18"/>
        <v>Excelsa</v>
      </c>
      <c r="O595" t="str">
        <f t="shared" si="19"/>
        <v>Dark</v>
      </c>
      <c r="P595" t="str">
        <f>_xlfn.XLOOKUP(worksheet[[#This Row],[Customer ID]],customers!$A$1:$A$1001,customers!$I$1:$I$1001,0)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
        <v>3847</v>
      </c>
      <c r="H596" s="2" t="str">
        <f>_xlfn.XLOOKUP(C596,customers!$A$1:$A$1001,customers!$G$1:$G$1001,0)</f>
        <v>United States</v>
      </c>
      <c r="I596" t="str">
        <f>_xlfn.XLOOKUP(D596,products!$A$1:$A$49,products!$B$1:$B$49,0)</f>
        <v>Ara</v>
      </c>
      <c r="J596" t="str">
        <f>_xlfn.XLOOKUP(worksheet!D596,products!$A$1:$A$49,products!$C$1:$C$49,0)</f>
        <v>L</v>
      </c>
      <c r="K596" s="5">
        <f>_xlfn.XLOOKUP(worksheet!D596,products!$A$1:$A$49,products!$D$1:$D$49,0)</f>
        <v>2.5</v>
      </c>
      <c r="L596" s="6">
        <f>_xlfn.XLOOKUP(worksheet!D596,products!$A$1:$A$49,products!$E$1:$E$49,0)</f>
        <v>29.784999999999997</v>
      </c>
      <c r="M596" s="6">
        <f>worksheet!E596*worksheet!L596</f>
        <v>59.569999999999993</v>
      </c>
      <c r="N596" t="str">
        <f t="shared" si="18"/>
        <v>Arabica</v>
      </c>
      <c r="O596" t="str">
        <f t="shared" si="19"/>
        <v>Light</v>
      </c>
      <c r="P596" t="str">
        <f>_xlfn.XLOOKUP(worksheet[[#This Row],[Customer ID]],customers!$A$1:$A$1001,customers!$I$1:$I$1001,0)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
        <v>6222</v>
      </c>
      <c r="H597" s="2" t="str">
        <f>_xlfn.XLOOKUP(C597,customers!$A$1:$A$1001,customers!$G$1:$G$1001,0)</f>
        <v>United Kingdom</v>
      </c>
      <c r="I597" t="str">
        <f>_xlfn.XLOOKUP(D597,products!$A$1:$A$49,products!$B$1:$B$49,0)</f>
        <v>Exc</v>
      </c>
      <c r="J597" t="str">
        <f>_xlfn.XLOOKUP(worksheet!D597,products!$A$1:$A$49,products!$C$1:$C$49,0)</f>
        <v>L</v>
      </c>
      <c r="K597" s="5">
        <f>_xlfn.XLOOKUP(worksheet!D597,products!$A$1:$A$49,products!$D$1:$D$49,0)</f>
        <v>1</v>
      </c>
      <c r="L597" s="6">
        <f>_xlfn.XLOOKUP(worksheet!D597,products!$A$1:$A$49,products!$E$1:$E$49,0)</f>
        <v>14.85</v>
      </c>
      <c r="M597" s="6">
        <f>worksheet!E597*worksheet!L597</f>
        <v>14.85</v>
      </c>
      <c r="N597" t="str">
        <f t="shared" si="18"/>
        <v>Excelsa</v>
      </c>
      <c r="O597" t="str">
        <f t="shared" si="19"/>
        <v>Light</v>
      </c>
      <c r="P597" t="str">
        <f>_xlfn.XLOOKUP(worksheet[[#This Row],[Customer ID]],customers!$A$1:$A$1001,customers!$I$1:$I$1001,0)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
        <v>3857</v>
      </c>
      <c r="H598" s="2" t="str">
        <f>_xlfn.XLOOKUP(C598,customers!$A$1:$A$1001,customers!$G$1:$G$1001,0)</f>
        <v>United States</v>
      </c>
      <c r="I598" t="str">
        <f>_xlfn.XLOOKUP(D598,products!$A$1:$A$49,products!$B$1:$B$49,0)</f>
        <v>Ara</v>
      </c>
      <c r="J598" t="str">
        <f>_xlfn.XLOOKUP(worksheet!D598,products!$A$1:$A$49,products!$C$1:$C$49,0)</f>
        <v>M</v>
      </c>
      <c r="K598" s="5">
        <f>_xlfn.XLOOKUP(worksheet!D598,products!$A$1:$A$49,products!$D$1:$D$49,0)</f>
        <v>0.5</v>
      </c>
      <c r="L598" s="6">
        <f>_xlfn.XLOOKUP(worksheet!D598,products!$A$1:$A$49,products!$E$1:$E$49,0)</f>
        <v>6.75</v>
      </c>
      <c r="M598" s="6">
        <f>worksheet!E598*worksheet!L598</f>
        <v>33.75</v>
      </c>
      <c r="N598" t="str">
        <f t="shared" si="18"/>
        <v>Arabica</v>
      </c>
      <c r="O598" t="str">
        <f t="shared" si="19"/>
        <v>Medium</v>
      </c>
      <c r="P598" t="str">
        <f>_xlfn.XLOOKUP(worksheet[[#This Row],[Customer ID]],customers!$A$1:$A$1001,customers!$I$1:$I$1001,0)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
        <v>3863</v>
      </c>
      <c r="H599" s="2" t="str">
        <f>_xlfn.XLOOKUP(C599,customers!$A$1:$A$1001,customers!$G$1:$G$1001,0)</f>
        <v>United States</v>
      </c>
      <c r="I599" t="str">
        <f>_xlfn.XLOOKUP(D599,products!$A$1:$A$49,products!$B$1:$B$49,0)</f>
        <v>Lib</v>
      </c>
      <c r="J599" t="str">
        <f>_xlfn.XLOOKUP(worksheet!D599,products!$A$1:$A$49,products!$C$1:$C$49,0)</f>
        <v>L</v>
      </c>
      <c r="K599" s="5">
        <f>_xlfn.XLOOKUP(worksheet!D599,products!$A$1:$A$49,products!$D$1:$D$49,0)</f>
        <v>2.5</v>
      </c>
      <c r="L599" s="6">
        <f>_xlfn.XLOOKUP(worksheet!D599,products!$A$1:$A$49,products!$E$1:$E$49,0)</f>
        <v>36.454999999999998</v>
      </c>
      <c r="M599" s="6">
        <f>worksheet!E599*worksheet!L599</f>
        <v>145.82</v>
      </c>
      <c r="N599" t="str">
        <f t="shared" si="18"/>
        <v>Liberica</v>
      </c>
      <c r="O599" t="str">
        <f t="shared" si="19"/>
        <v>Light</v>
      </c>
      <c r="P599" t="str">
        <f>_xlfn.XLOOKUP(worksheet[[#This Row],[Customer ID]],customers!$A$1:$A$1001,customers!$I$1:$I$1001,0)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
        <v>3869</v>
      </c>
      <c r="H600" s="2" t="str">
        <f>_xlfn.XLOOKUP(C600,customers!$A$1:$A$1001,customers!$G$1:$G$1001,0)</f>
        <v>United States</v>
      </c>
      <c r="I600" t="str">
        <f>_xlfn.XLOOKUP(D600,products!$A$1:$A$49,products!$B$1:$B$49,0)</f>
        <v>Rob</v>
      </c>
      <c r="J600" t="str">
        <f>_xlfn.XLOOKUP(worksheet!D600,products!$A$1:$A$49,products!$C$1:$C$49,0)</f>
        <v>M</v>
      </c>
      <c r="K600" s="5">
        <f>_xlfn.XLOOKUP(worksheet!D600,products!$A$1:$A$49,products!$D$1:$D$49,0)</f>
        <v>0.2</v>
      </c>
      <c r="L600" s="6">
        <f>_xlfn.XLOOKUP(worksheet!D600,products!$A$1:$A$49,products!$E$1:$E$49,0)</f>
        <v>2.9849999999999999</v>
      </c>
      <c r="M600" s="6">
        <f>worksheet!E600*worksheet!L600</f>
        <v>11.94</v>
      </c>
      <c r="N600" t="str">
        <f t="shared" si="18"/>
        <v>Robusta</v>
      </c>
      <c r="O600" t="str">
        <f t="shared" si="19"/>
        <v>Medium</v>
      </c>
      <c r="P600" t="str">
        <f>_xlfn.XLOOKUP(worksheet[[#This Row],[Customer ID]],customers!$A$1:$A$1001,customers!$I$1:$I$1001,0)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
        <v>3875</v>
      </c>
      <c r="H601" s="2" t="str">
        <f>_xlfn.XLOOKUP(C601,customers!$A$1:$A$1001,customers!$G$1:$G$1001,0)</f>
        <v>United States</v>
      </c>
      <c r="I601" t="str">
        <f>_xlfn.XLOOKUP(D601,products!$A$1:$A$49,products!$B$1:$B$49,0)</f>
        <v>Ara</v>
      </c>
      <c r="J601" t="str">
        <f>_xlfn.XLOOKUP(worksheet!D601,products!$A$1:$A$49,products!$C$1:$C$49,0)</f>
        <v>D</v>
      </c>
      <c r="K601" s="5">
        <f>_xlfn.XLOOKUP(worksheet!D601,products!$A$1:$A$49,products!$D$1:$D$49,0)</f>
        <v>0.2</v>
      </c>
      <c r="L601" s="6">
        <f>_xlfn.XLOOKUP(worksheet!D601,products!$A$1:$A$49,products!$E$1:$E$49,0)</f>
        <v>2.9849999999999999</v>
      </c>
      <c r="M601" s="6">
        <f>worksheet!E601*worksheet!L601</f>
        <v>11.94</v>
      </c>
      <c r="N601" t="str">
        <f t="shared" si="18"/>
        <v>Arabica</v>
      </c>
      <c r="O601" t="str">
        <f t="shared" si="19"/>
        <v>Dark</v>
      </c>
      <c r="P601" t="str">
        <f>_xlfn.XLOOKUP(worksheet[[#This Row],[Customer ID]],customers!$A$1:$A$1001,customers!$I$1:$I$1001,0)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
        <v>3880</v>
      </c>
      <c r="H602" s="2" t="str">
        <f>_xlfn.XLOOKUP(C602,customers!$A$1:$A$1001,customers!$G$1:$G$1001,0)</f>
        <v>United States</v>
      </c>
      <c r="I602" t="str">
        <f>_xlfn.XLOOKUP(D602,products!$A$1:$A$49,products!$B$1:$B$49,0)</f>
        <v>Lib</v>
      </c>
      <c r="J602" t="str">
        <f>_xlfn.XLOOKUP(worksheet!D602,products!$A$1:$A$49,products!$C$1:$C$49,0)</f>
        <v>D</v>
      </c>
      <c r="K602" s="5">
        <f>_xlfn.XLOOKUP(worksheet!D602,products!$A$1:$A$49,products!$D$1:$D$49,0)</f>
        <v>0.5</v>
      </c>
      <c r="L602" s="6">
        <f>_xlfn.XLOOKUP(worksheet!D602,products!$A$1:$A$49,products!$E$1:$E$49,0)</f>
        <v>7.77</v>
      </c>
      <c r="M602" s="6">
        <f>worksheet!E602*worksheet!L602</f>
        <v>7.77</v>
      </c>
      <c r="N602" t="str">
        <f t="shared" si="18"/>
        <v>Liberica</v>
      </c>
      <c r="O602" t="str">
        <f t="shared" si="19"/>
        <v>Dark</v>
      </c>
      <c r="P602" t="str">
        <f>_xlfn.XLOOKUP(worksheet[[#This Row],[Customer ID]],customers!$A$1:$A$1001,customers!$I$1:$I$1001,0)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
        <v>3886</v>
      </c>
      <c r="H603" s="2" t="str">
        <f>_xlfn.XLOOKUP(C603,customers!$A$1:$A$1001,customers!$G$1:$G$1001,0)</f>
        <v>United States</v>
      </c>
      <c r="I603" t="str">
        <f>_xlfn.XLOOKUP(D603,products!$A$1:$A$49,products!$B$1:$B$49,0)</f>
        <v>Rob</v>
      </c>
      <c r="J603" t="str">
        <f>_xlfn.XLOOKUP(worksheet!D603,products!$A$1:$A$49,products!$C$1:$C$49,0)</f>
        <v>L</v>
      </c>
      <c r="K603" s="5">
        <f>_xlfn.XLOOKUP(worksheet!D603,products!$A$1:$A$49,products!$D$1:$D$49,0)</f>
        <v>2.5</v>
      </c>
      <c r="L603" s="6">
        <f>_xlfn.XLOOKUP(worksheet!D603,products!$A$1:$A$49,products!$E$1:$E$49,0)</f>
        <v>27.484999999999996</v>
      </c>
      <c r="M603" s="6">
        <f>worksheet!E603*worksheet!L603</f>
        <v>109.93999999999998</v>
      </c>
      <c r="N603" t="str">
        <f t="shared" si="18"/>
        <v>Robusta</v>
      </c>
      <c r="O603" t="str">
        <f t="shared" si="19"/>
        <v>Light</v>
      </c>
      <c r="P603" t="str">
        <f>_xlfn.XLOOKUP(worksheet[[#This Row],[Customer ID]],customers!$A$1:$A$1001,customers!$I$1:$I$1001,0)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
        <v>3892</v>
      </c>
      <c r="H604" s="2" t="str">
        <f>_xlfn.XLOOKUP(C604,customers!$A$1:$A$1001,customers!$G$1:$G$1001,0)</f>
        <v>United States</v>
      </c>
      <c r="I604" t="str">
        <f>_xlfn.XLOOKUP(D604,products!$A$1:$A$49,products!$B$1:$B$49,0)</f>
        <v>Exc</v>
      </c>
      <c r="J604" t="str">
        <f>_xlfn.XLOOKUP(worksheet!D604,products!$A$1:$A$49,products!$C$1:$C$49,0)</f>
        <v>L</v>
      </c>
      <c r="K604" s="5">
        <f>_xlfn.XLOOKUP(worksheet!D604,products!$A$1:$A$49,products!$D$1:$D$49,0)</f>
        <v>0.2</v>
      </c>
      <c r="L604" s="6">
        <f>_xlfn.XLOOKUP(worksheet!D604,products!$A$1:$A$49,products!$E$1:$E$49,0)</f>
        <v>4.4550000000000001</v>
      </c>
      <c r="M604" s="6">
        <f>worksheet!E604*worksheet!L604</f>
        <v>22.274999999999999</v>
      </c>
      <c r="N604" t="str">
        <f t="shared" si="18"/>
        <v>Excelsa</v>
      </c>
      <c r="O604" t="str">
        <f t="shared" si="19"/>
        <v>Light</v>
      </c>
      <c r="P604" t="str">
        <f>_xlfn.XLOOKUP(worksheet[[#This Row],[Customer ID]],customers!$A$1:$A$1001,customers!$I$1:$I$1001,0)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
        <v>3898</v>
      </c>
      <c r="H605" s="2" t="str">
        <f>_xlfn.XLOOKUP(C605,customers!$A$1:$A$1001,customers!$G$1:$G$1001,0)</f>
        <v>United States</v>
      </c>
      <c r="I605" t="str">
        <f>_xlfn.XLOOKUP(D605,products!$A$1:$A$49,products!$B$1:$B$49,0)</f>
        <v>Rob</v>
      </c>
      <c r="J605" t="str">
        <f>_xlfn.XLOOKUP(worksheet!D605,products!$A$1:$A$49,products!$C$1:$C$49,0)</f>
        <v>M</v>
      </c>
      <c r="K605" s="5">
        <f>_xlfn.XLOOKUP(worksheet!D605,products!$A$1:$A$49,products!$D$1:$D$49,0)</f>
        <v>0.2</v>
      </c>
      <c r="L605" s="6">
        <f>_xlfn.XLOOKUP(worksheet!D605,products!$A$1:$A$49,products!$E$1:$E$49,0)</f>
        <v>2.9849999999999999</v>
      </c>
      <c r="M605" s="6">
        <f>worksheet!E605*worksheet!L605</f>
        <v>8.9550000000000001</v>
      </c>
      <c r="N605" t="str">
        <f t="shared" si="18"/>
        <v>Robusta</v>
      </c>
      <c r="O605" t="str">
        <f t="shared" si="19"/>
        <v>Medium</v>
      </c>
      <c r="P605" t="str">
        <f>_xlfn.XLOOKUP(worksheet[[#This Row],[Customer ID]],customers!$A$1:$A$1001,customers!$I$1:$I$1001,0)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
        <v>6222</v>
      </c>
      <c r="H606" s="2" t="str">
        <f>_xlfn.XLOOKUP(C606,customers!$A$1:$A$1001,customers!$G$1:$G$1001,0)</f>
        <v>Ireland</v>
      </c>
      <c r="I606" t="str">
        <f>_xlfn.XLOOKUP(D606,products!$A$1:$A$49,products!$B$1:$B$49,0)</f>
        <v>Lib</v>
      </c>
      <c r="J606" t="str">
        <f>_xlfn.XLOOKUP(worksheet!D606,products!$A$1:$A$49,products!$C$1:$C$49,0)</f>
        <v>D</v>
      </c>
      <c r="K606" s="5">
        <f>_xlfn.XLOOKUP(worksheet!D606,products!$A$1:$A$49,products!$D$1:$D$49,0)</f>
        <v>2.5</v>
      </c>
      <c r="L606" s="6">
        <f>_xlfn.XLOOKUP(worksheet!D606,products!$A$1:$A$49,products!$E$1:$E$49,0)</f>
        <v>29.784999999999997</v>
      </c>
      <c r="M606" s="6">
        <f>worksheet!E606*worksheet!L606</f>
        <v>119.13999999999999</v>
      </c>
      <c r="N606" t="str">
        <f t="shared" si="18"/>
        <v>Liberica</v>
      </c>
      <c r="O606" t="str">
        <f t="shared" si="19"/>
        <v>Dark</v>
      </c>
      <c r="P606" t="str">
        <f>_xlfn.XLOOKUP(worksheet[[#This Row],[Customer ID]],customers!$A$1:$A$1001,customers!$I$1:$I$1001,0)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
        <v>3908</v>
      </c>
      <c r="H607" s="2" t="str">
        <f>_xlfn.XLOOKUP(C607,customers!$A$1:$A$1001,customers!$G$1:$G$1001,0)</f>
        <v>United States</v>
      </c>
      <c r="I607" t="str">
        <f>_xlfn.XLOOKUP(D607,products!$A$1:$A$49,products!$B$1:$B$49,0)</f>
        <v>Ara</v>
      </c>
      <c r="J607" t="str">
        <f>_xlfn.XLOOKUP(worksheet!D607,products!$A$1:$A$49,products!$C$1:$C$49,0)</f>
        <v>L</v>
      </c>
      <c r="K607" s="5">
        <f>_xlfn.XLOOKUP(worksheet!D607,products!$A$1:$A$49,products!$D$1:$D$49,0)</f>
        <v>2.5</v>
      </c>
      <c r="L607" s="6">
        <f>_xlfn.XLOOKUP(worksheet!D607,products!$A$1:$A$49,products!$E$1:$E$49,0)</f>
        <v>29.784999999999997</v>
      </c>
      <c r="M607" s="6">
        <f>worksheet!E607*worksheet!L607</f>
        <v>148.92499999999998</v>
      </c>
      <c r="N607" t="str">
        <f t="shared" si="18"/>
        <v>Arabica</v>
      </c>
      <c r="O607" t="str">
        <f t="shared" si="19"/>
        <v>Light</v>
      </c>
      <c r="P607" t="str">
        <f>_xlfn.XLOOKUP(worksheet[[#This Row],[Customer ID]],customers!$A$1:$A$1001,customers!$I$1:$I$1001,0)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
        <v>3842</v>
      </c>
      <c r="H608" s="2" t="str">
        <f>_xlfn.XLOOKUP(C608,customers!$A$1:$A$1001,customers!$G$1:$G$1001,0)</f>
        <v>United Kingdom</v>
      </c>
      <c r="I608" t="str">
        <f>_xlfn.XLOOKUP(D608,products!$A$1:$A$49,products!$B$1:$B$49,0)</f>
        <v>Lib</v>
      </c>
      <c r="J608" t="str">
        <f>_xlfn.XLOOKUP(worksheet!D608,products!$A$1:$A$49,products!$C$1:$C$49,0)</f>
        <v>L</v>
      </c>
      <c r="K608" s="5">
        <f>_xlfn.XLOOKUP(worksheet!D608,products!$A$1:$A$49,products!$D$1:$D$49,0)</f>
        <v>2.5</v>
      </c>
      <c r="L608" s="6">
        <f>_xlfn.XLOOKUP(worksheet!D608,products!$A$1:$A$49,products!$E$1:$E$49,0)</f>
        <v>36.454999999999998</v>
      </c>
      <c r="M608" s="6">
        <f>worksheet!E608*worksheet!L608</f>
        <v>109.36499999999999</v>
      </c>
      <c r="N608" t="str">
        <f t="shared" si="18"/>
        <v>Liberica</v>
      </c>
      <c r="O608" t="str">
        <f t="shared" si="19"/>
        <v>Light</v>
      </c>
      <c r="P608" t="str">
        <f>_xlfn.XLOOKUP(worksheet[[#This Row],[Customer ID]],customers!$A$1:$A$1001,customers!$I$1:$I$1001,0)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
        <v>3920</v>
      </c>
      <c r="H609" s="2" t="str">
        <f>_xlfn.XLOOKUP(C609,customers!$A$1:$A$1001,customers!$G$1:$G$1001,0)</f>
        <v>United States</v>
      </c>
      <c r="I609" t="str">
        <f>_xlfn.XLOOKUP(D609,products!$A$1:$A$49,products!$B$1:$B$49,0)</f>
        <v>Exc</v>
      </c>
      <c r="J609" t="str">
        <f>_xlfn.XLOOKUP(worksheet!D609,products!$A$1:$A$49,products!$C$1:$C$49,0)</f>
        <v>D</v>
      </c>
      <c r="K609" s="5">
        <f>_xlfn.XLOOKUP(worksheet!D609,products!$A$1:$A$49,products!$D$1:$D$49,0)</f>
        <v>0.2</v>
      </c>
      <c r="L609" s="6">
        <f>_xlfn.XLOOKUP(worksheet!D609,products!$A$1:$A$49,products!$E$1:$E$49,0)</f>
        <v>3.645</v>
      </c>
      <c r="M609" s="6">
        <f>worksheet!E609*worksheet!L609</f>
        <v>3.645</v>
      </c>
      <c r="N609" t="str">
        <f t="shared" si="18"/>
        <v>Excelsa</v>
      </c>
      <c r="O609" t="str">
        <f t="shared" si="19"/>
        <v>Dark</v>
      </c>
      <c r="P609" t="str">
        <f>_xlfn.XLOOKUP(worksheet[[#This Row],[Customer ID]],customers!$A$1:$A$1001,customers!$I$1:$I$1001,0)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
        <v>6222</v>
      </c>
      <c r="H610" s="2" t="str">
        <f>_xlfn.XLOOKUP(C610,customers!$A$1:$A$1001,customers!$G$1:$G$1001,0)</f>
        <v>United States</v>
      </c>
      <c r="I610" t="str">
        <f>_xlfn.XLOOKUP(D610,products!$A$1:$A$49,products!$B$1:$B$49,0)</f>
        <v>Exc</v>
      </c>
      <c r="J610" t="str">
        <f>_xlfn.XLOOKUP(worksheet!D610,products!$A$1:$A$49,products!$C$1:$C$49,0)</f>
        <v>D</v>
      </c>
      <c r="K610" s="5">
        <f>_xlfn.XLOOKUP(worksheet!D610,products!$A$1:$A$49,products!$D$1:$D$49,0)</f>
        <v>2.5</v>
      </c>
      <c r="L610" s="6">
        <f>_xlfn.XLOOKUP(worksheet!D610,products!$A$1:$A$49,products!$E$1:$E$49,0)</f>
        <v>27.945</v>
      </c>
      <c r="M610" s="6">
        <f>worksheet!E610*worksheet!L610</f>
        <v>55.89</v>
      </c>
      <c r="N610" t="str">
        <f t="shared" si="18"/>
        <v>Excelsa</v>
      </c>
      <c r="O610" t="str">
        <f t="shared" si="19"/>
        <v>Dark</v>
      </c>
      <c r="P610" t="str">
        <f>_xlfn.XLOOKUP(worksheet[[#This Row],[Customer ID]],customers!$A$1:$A$1001,customers!$I$1:$I$1001,0)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
        <v>3930</v>
      </c>
      <c r="H611" s="2" t="str">
        <f>_xlfn.XLOOKUP(C611,customers!$A$1:$A$1001,customers!$G$1:$G$1001,0)</f>
        <v>United States</v>
      </c>
      <c r="I611" t="str">
        <f>_xlfn.XLOOKUP(D611,products!$A$1:$A$49,products!$B$1:$B$49,0)</f>
        <v>Lib</v>
      </c>
      <c r="J611" t="str">
        <f>_xlfn.XLOOKUP(worksheet!D611,products!$A$1:$A$49,products!$C$1:$C$49,0)</f>
        <v>M</v>
      </c>
      <c r="K611" s="5">
        <f>_xlfn.XLOOKUP(worksheet!D611,products!$A$1:$A$49,products!$D$1:$D$49,0)</f>
        <v>0.2</v>
      </c>
      <c r="L611" s="6">
        <f>_xlfn.XLOOKUP(worksheet!D611,products!$A$1:$A$49,products!$E$1:$E$49,0)</f>
        <v>4.3650000000000002</v>
      </c>
      <c r="M611" s="6">
        <f>worksheet!E611*worksheet!L611</f>
        <v>26.19</v>
      </c>
      <c r="N611" t="str">
        <f t="shared" si="18"/>
        <v>Liberica</v>
      </c>
      <c r="O611" t="str">
        <f t="shared" si="19"/>
        <v>Medium</v>
      </c>
      <c r="P611" t="str">
        <f>_xlfn.XLOOKUP(worksheet[[#This Row],[Customer ID]],customers!$A$1:$A$1001,customers!$I$1:$I$1001,0)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
        <v>3936</v>
      </c>
      <c r="H612" s="2" t="str">
        <f>_xlfn.XLOOKUP(C612,customers!$A$1:$A$1001,customers!$G$1:$G$1001,0)</f>
        <v>United States</v>
      </c>
      <c r="I612" t="str">
        <f>_xlfn.XLOOKUP(D612,products!$A$1:$A$49,products!$B$1:$B$49,0)</f>
        <v>Rob</v>
      </c>
      <c r="J612" t="str">
        <f>_xlfn.XLOOKUP(worksheet!D612,products!$A$1:$A$49,products!$C$1:$C$49,0)</f>
        <v>M</v>
      </c>
      <c r="K612" s="5">
        <f>_xlfn.XLOOKUP(worksheet!D612,products!$A$1:$A$49,products!$D$1:$D$49,0)</f>
        <v>1</v>
      </c>
      <c r="L612" s="6">
        <f>_xlfn.XLOOKUP(worksheet!D612,products!$A$1:$A$49,products!$E$1:$E$49,0)</f>
        <v>9.9499999999999993</v>
      </c>
      <c r="M612" s="6">
        <f>worksheet!E612*worksheet!L612</f>
        <v>39.799999999999997</v>
      </c>
      <c r="N612" t="str">
        <f t="shared" si="18"/>
        <v>Robusta</v>
      </c>
      <c r="O612" t="str">
        <f t="shared" si="19"/>
        <v>Medium</v>
      </c>
      <c r="P612" t="str">
        <f>_xlfn.XLOOKUP(worksheet[[#This Row],[Customer ID]],customers!$A$1:$A$1001,customers!$I$1:$I$1001,0)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
        <v>3942</v>
      </c>
      <c r="H613" s="2" t="str">
        <f>_xlfn.XLOOKUP(C613,customers!$A$1:$A$1001,customers!$G$1:$G$1001,0)</f>
        <v>United States</v>
      </c>
      <c r="I613" t="str">
        <f>_xlfn.XLOOKUP(D613,products!$A$1:$A$49,products!$B$1:$B$49,0)</f>
        <v>Exc</v>
      </c>
      <c r="J613" t="str">
        <f>_xlfn.XLOOKUP(worksheet!D613,products!$A$1:$A$49,products!$C$1:$C$49,0)</f>
        <v>L</v>
      </c>
      <c r="K613" s="5">
        <f>_xlfn.XLOOKUP(worksheet!D613,products!$A$1:$A$49,products!$D$1:$D$49,0)</f>
        <v>2.5</v>
      </c>
      <c r="L613" s="6">
        <f>_xlfn.XLOOKUP(worksheet!D613,products!$A$1:$A$49,products!$E$1:$E$49,0)</f>
        <v>34.154999999999994</v>
      </c>
      <c r="M613" s="6">
        <f>worksheet!E613*worksheet!L613</f>
        <v>68.309999999999988</v>
      </c>
      <c r="N613" t="str">
        <f t="shared" si="18"/>
        <v>Excelsa</v>
      </c>
      <c r="O613" t="str">
        <f t="shared" si="19"/>
        <v>Light</v>
      </c>
      <c r="P613" t="str">
        <f>_xlfn.XLOOKUP(worksheet[[#This Row],[Customer ID]],customers!$A$1:$A$1001,customers!$I$1:$I$1001,0)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
        <v>6222</v>
      </c>
      <c r="H614" s="2" t="str">
        <f>_xlfn.XLOOKUP(C614,customers!$A$1:$A$1001,customers!$G$1:$G$1001,0)</f>
        <v>Ireland</v>
      </c>
      <c r="I614" t="str">
        <f>_xlfn.XLOOKUP(D614,products!$A$1:$A$49,products!$B$1:$B$49,0)</f>
        <v>Ara</v>
      </c>
      <c r="J614" t="str">
        <f>_xlfn.XLOOKUP(worksheet!D614,products!$A$1:$A$49,products!$C$1:$C$49,0)</f>
        <v>M</v>
      </c>
      <c r="K614" s="5">
        <f>_xlfn.XLOOKUP(worksheet!D614,products!$A$1:$A$49,products!$D$1:$D$49,0)</f>
        <v>0.2</v>
      </c>
      <c r="L614" s="6">
        <f>_xlfn.XLOOKUP(worksheet!D614,products!$A$1:$A$49,products!$E$1:$E$49,0)</f>
        <v>3.375</v>
      </c>
      <c r="M614" s="6">
        <f>worksheet!E614*worksheet!L614</f>
        <v>13.5</v>
      </c>
      <c r="N614" t="str">
        <f t="shared" si="18"/>
        <v>Arabica</v>
      </c>
      <c r="O614" t="str">
        <f t="shared" si="19"/>
        <v>Medium</v>
      </c>
      <c r="P614" t="str">
        <f>_xlfn.XLOOKUP(worksheet[[#This Row],[Customer ID]],customers!$A$1:$A$1001,customers!$I$1:$I$1001,0)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
        <v>6222</v>
      </c>
      <c r="H615" s="2" t="str">
        <f>_xlfn.XLOOKUP(C615,customers!$A$1:$A$1001,customers!$G$1:$G$1001,0)</f>
        <v>United States</v>
      </c>
      <c r="I615" t="str">
        <f>_xlfn.XLOOKUP(D615,products!$A$1:$A$49,products!$B$1:$B$49,0)</f>
        <v>Rob</v>
      </c>
      <c r="J615" t="str">
        <f>_xlfn.XLOOKUP(worksheet!D615,products!$A$1:$A$49,products!$C$1:$C$49,0)</f>
        <v>M</v>
      </c>
      <c r="K615" s="5">
        <f>_xlfn.XLOOKUP(worksheet!D615,products!$A$1:$A$49,products!$D$1:$D$49,0)</f>
        <v>0.5</v>
      </c>
      <c r="L615" s="6">
        <f>_xlfn.XLOOKUP(worksheet!D615,products!$A$1:$A$49,products!$E$1:$E$49,0)</f>
        <v>5.97</v>
      </c>
      <c r="M615" s="6">
        <f>worksheet!E615*worksheet!L615</f>
        <v>5.97</v>
      </c>
      <c r="N615" t="str">
        <f t="shared" si="18"/>
        <v>Robusta</v>
      </c>
      <c r="O615" t="str">
        <f t="shared" si="19"/>
        <v>Medium</v>
      </c>
      <c r="P615" t="str">
        <f>_xlfn.XLOOKUP(worksheet[[#This Row],[Customer ID]],customers!$A$1:$A$1001,customers!$I$1:$I$1001,0)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
        <v>3842</v>
      </c>
      <c r="H616" s="2" t="str">
        <f>_xlfn.XLOOKUP(C616,customers!$A$1:$A$1001,customers!$G$1:$G$1001,0)</f>
        <v>United Kingdom</v>
      </c>
      <c r="I616" t="str">
        <f>_xlfn.XLOOKUP(D616,products!$A$1:$A$49,products!$B$1:$B$49,0)</f>
        <v>Rob</v>
      </c>
      <c r="J616" t="str">
        <f>_xlfn.XLOOKUP(worksheet!D616,products!$A$1:$A$49,products!$C$1:$C$49,0)</f>
        <v>M</v>
      </c>
      <c r="K616" s="5">
        <f>_xlfn.XLOOKUP(worksheet!D616,products!$A$1:$A$49,products!$D$1:$D$49,0)</f>
        <v>0.5</v>
      </c>
      <c r="L616" s="6">
        <f>_xlfn.XLOOKUP(worksheet!D616,products!$A$1:$A$49,products!$E$1:$E$49,0)</f>
        <v>5.97</v>
      </c>
      <c r="M616" s="6">
        <f>worksheet!E616*worksheet!L616</f>
        <v>29.849999999999998</v>
      </c>
      <c r="N616" t="str">
        <f t="shared" si="18"/>
        <v>Robusta</v>
      </c>
      <c r="O616" t="str">
        <f t="shared" si="19"/>
        <v>Medium</v>
      </c>
      <c r="P616" t="str">
        <f>_xlfn.XLOOKUP(worksheet[[#This Row],[Customer ID]],customers!$A$1:$A$1001,customers!$I$1:$I$1001,0)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
        <v>3963</v>
      </c>
      <c r="H617" s="2" t="str">
        <f>_xlfn.XLOOKUP(C617,customers!$A$1:$A$1001,customers!$G$1:$G$1001,0)</f>
        <v>United States</v>
      </c>
      <c r="I617" t="str">
        <f>_xlfn.XLOOKUP(D617,products!$A$1:$A$49,products!$B$1:$B$49,0)</f>
        <v>Lib</v>
      </c>
      <c r="J617" t="str">
        <f>_xlfn.XLOOKUP(worksheet!D617,products!$A$1:$A$49,products!$C$1:$C$49,0)</f>
        <v>L</v>
      </c>
      <c r="K617" s="5">
        <f>_xlfn.XLOOKUP(worksheet!D617,products!$A$1:$A$49,products!$D$1:$D$49,0)</f>
        <v>2.5</v>
      </c>
      <c r="L617" s="6">
        <f>_xlfn.XLOOKUP(worksheet!D617,products!$A$1:$A$49,products!$E$1:$E$49,0)</f>
        <v>36.454999999999998</v>
      </c>
      <c r="M617" s="6">
        <f>worksheet!E617*worksheet!L617</f>
        <v>72.91</v>
      </c>
      <c r="N617" t="str">
        <f t="shared" si="18"/>
        <v>Liberica</v>
      </c>
      <c r="O617" t="str">
        <f t="shared" si="19"/>
        <v>Light</v>
      </c>
      <c r="P617" t="str">
        <f>_xlfn.XLOOKUP(worksheet[[#This Row],[Customer ID]],customers!$A$1:$A$1001,customers!$I$1:$I$1001,0)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
        <v>3969</v>
      </c>
      <c r="H618" s="2" t="str">
        <f>_xlfn.XLOOKUP(C618,customers!$A$1:$A$1001,customers!$G$1:$G$1001,0)</f>
        <v>United Kingdom</v>
      </c>
      <c r="I618" t="str">
        <f>_xlfn.XLOOKUP(D618,products!$A$1:$A$49,products!$B$1:$B$49,0)</f>
        <v>Exc</v>
      </c>
      <c r="J618" t="str">
        <f>_xlfn.XLOOKUP(worksheet!D618,products!$A$1:$A$49,products!$C$1:$C$49,0)</f>
        <v>M</v>
      </c>
      <c r="K618" s="5">
        <f>_xlfn.XLOOKUP(worksheet!D618,products!$A$1:$A$49,products!$D$1:$D$49,0)</f>
        <v>2.5</v>
      </c>
      <c r="L618" s="6">
        <f>_xlfn.XLOOKUP(worksheet!D618,products!$A$1:$A$49,products!$E$1:$E$49,0)</f>
        <v>31.624999999999996</v>
      </c>
      <c r="M618" s="6">
        <f>worksheet!E618*worksheet!L618</f>
        <v>126.49999999999999</v>
      </c>
      <c r="N618" t="str">
        <f t="shared" si="18"/>
        <v>Excelsa</v>
      </c>
      <c r="O618" t="str">
        <f t="shared" si="19"/>
        <v>Medium</v>
      </c>
      <c r="P618" t="str">
        <f>_xlfn.XLOOKUP(worksheet[[#This Row],[Customer ID]],customers!$A$1:$A$1001,customers!$I$1:$I$1001,0)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
        <v>3975</v>
      </c>
      <c r="H619" s="2" t="str">
        <f>_xlfn.XLOOKUP(C619,customers!$A$1:$A$1001,customers!$G$1:$G$1001,0)</f>
        <v>United States</v>
      </c>
      <c r="I619" t="str">
        <f>_xlfn.XLOOKUP(D619,products!$A$1:$A$49,products!$B$1:$B$49,0)</f>
        <v>Lib</v>
      </c>
      <c r="J619" t="str">
        <f>_xlfn.XLOOKUP(worksheet!D619,products!$A$1:$A$49,products!$C$1:$C$49,0)</f>
        <v>M</v>
      </c>
      <c r="K619" s="5">
        <f>_xlfn.XLOOKUP(worksheet!D619,products!$A$1:$A$49,products!$D$1:$D$49,0)</f>
        <v>2.5</v>
      </c>
      <c r="L619" s="6">
        <f>_xlfn.XLOOKUP(worksheet!D619,products!$A$1:$A$49,products!$E$1:$E$49,0)</f>
        <v>33.464999999999996</v>
      </c>
      <c r="M619" s="6">
        <f>worksheet!E619*worksheet!L619</f>
        <v>33.464999999999996</v>
      </c>
      <c r="N619" t="str">
        <f t="shared" si="18"/>
        <v>Liberica</v>
      </c>
      <c r="O619" t="str">
        <f t="shared" si="19"/>
        <v>Medium</v>
      </c>
      <c r="P619" t="str">
        <f>_xlfn.XLOOKUP(worksheet[[#This Row],[Customer ID]],customers!$A$1:$A$1001,customers!$I$1:$I$1001,0)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
        <v>3981</v>
      </c>
      <c r="H620" s="2" t="str">
        <f>_xlfn.XLOOKUP(C620,customers!$A$1:$A$1001,customers!$G$1:$G$1001,0)</f>
        <v>United States</v>
      </c>
      <c r="I620" t="str">
        <f>_xlfn.XLOOKUP(D620,products!$A$1:$A$49,products!$B$1:$B$49,0)</f>
        <v>Exc</v>
      </c>
      <c r="J620" t="str">
        <f>_xlfn.XLOOKUP(worksheet!D620,products!$A$1:$A$49,products!$C$1:$C$49,0)</f>
        <v>D</v>
      </c>
      <c r="K620" s="5">
        <f>_xlfn.XLOOKUP(worksheet!D620,products!$A$1:$A$49,products!$D$1:$D$49,0)</f>
        <v>1</v>
      </c>
      <c r="L620" s="6">
        <f>_xlfn.XLOOKUP(worksheet!D620,products!$A$1:$A$49,products!$E$1:$E$49,0)</f>
        <v>12.15</v>
      </c>
      <c r="M620" s="6">
        <f>worksheet!E620*worksheet!L620</f>
        <v>72.900000000000006</v>
      </c>
      <c r="N620" t="str">
        <f t="shared" si="18"/>
        <v>Excelsa</v>
      </c>
      <c r="O620" t="str">
        <f t="shared" si="19"/>
        <v>Dark</v>
      </c>
      <c r="P620" t="str">
        <f>_xlfn.XLOOKUP(worksheet[[#This Row],[Customer ID]],customers!$A$1:$A$1001,customers!$I$1:$I$1001,0)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
        <v>3987</v>
      </c>
      <c r="H621" s="2" t="str">
        <f>_xlfn.XLOOKUP(C621,customers!$A$1:$A$1001,customers!$G$1:$G$1001,0)</f>
        <v>United States</v>
      </c>
      <c r="I621" t="str">
        <f>_xlfn.XLOOKUP(D621,products!$A$1:$A$49,products!$B$1:$B$49,0)</f>
        <v>Lib</v>
      </c>
      <c r="J621" t="str">
        <f>_xlfn.XLOOKUP(worksheet!D621,products!$A$1:$A$49,products!$C$1:$C$49,0)</f>
        <v>D</v>
      </c>
      <c r="K621" s="5">
        <f>_xlfn.XLOOKUP(worksheet!D621,products!$A$1:$A$49,products!$D$1:$D$49,0)</f>
        <v>0.5</v>
      </c>
      <c r="L621" s="6">
        <f>_xlfn.XLOOKUP(worksheet!D621,products!$A$1:$A$49,products!$E$1:$E$49,0)</f>
        <v>7.77</v>
      </c>
      <c r="M621" s="6">
        <f>worksheet!E621*worksheet!L621</f>
        <v>15.54</v>
      </c>
      <c r="N621" t="str">
        <f t="shared" si="18"/>
        <v>Liberica</v>
      </c>
      <c r="O621" t="str">
        <f t="shared" si="19"/>
        <v>Dark</v>
      </c>
      <c r="P621" t="str">
        <f>_xlfn.XLOOKUP(worksheet[[#This Row],[Customer ID]],customers!$A$1:$A$1001,customers!$I$1:$I$1001,0)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
        <v>4044</v>
      </c>
      <c r="H622" s="2" t="str">
        <f>_xlfn.XLOOKUP(C622,customers!$A$1:$A$1001,customers!$G$1:$G$1001,0)</f>
        <v>United States</v>
      </c>
      <c r="I622" t="str">
        <f>_xlfn.XLOOKUP(D622,products!$A$1:$A$49,products!$B$1:$B$49,0)</f>
        <v>Ara</v>
      </c>
      <c r="J622" t="str">
        <f>_xlfn.XLOOKUP(worksheet!D622,products!$A$1:$A$49,products!$C$1:$C$49,0)</f>
        <v>M</v>
      </c>
      <c r="K622" s="5">
        <f>_xlfn.XLOOKUP(worksheet!D622,products!$A$1:$A$49,products!$D$1:$D$49,0)</f>
        <v>0.2</v>
      </c>
      <c r="L622" s="6">
        <f>_xlfn.XLOOKUP(worksheet!D622,products!$A$1:$A$49,products!$E$1:$E$49,0)</f>
        <v>3.375</v>
      </c>
      <c r="M622" s="6">
        <f>worksheet!E622*worksheet!L622</f>
        <v>20.25</v>
      </c>
      <c r="N622" t="str">
        <f t="shared" si="18"/>
        <v>Arabica</v>
      </c>
      <c r="O622" t="str">
        <f t="shared" si="19"/>
        <v>Medium</v>
      </c>
      <c r="P622" t="str">
        <f>_xlfn.XLOOKUP(worksheet[[#This Row],[Customer ID]],customers!$A$1:$A$1001,customers!$I$1:$I$1001,0)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
        <v>3999</v>
      </c>
      <c r="H623" s="2" t="str">
        <f>_xlfn.XLOOKUP(C623,customers!$A$1:$A$1001,customers!$G$1:$G$1001,0)</f>
        <v>United States</v>
      </c>
      <c r="I623" t="str">
        <f>_xlfn.XLOOKUP(D623,products!$A$1:$A$49,products!$B$1:$B$49,0)</f>
        <v>Ara</v>
      </c>
      <c r="J623" t="str">
        <f>_xlfn.XLOOKUP(worksheet!D623,products!$A$1:$A$49,products!$C$1:$C$49,0)</f>
        <v>L</v>
      </c>
      <c r="K623" s="5">
        <f>_xlfn.XLOOKUP(worksheet!D623,products!$A$1:$A$49,products!$D$1:$D$49,0)</f>
        <v>1</v>
      </c>
      <c r="L623" s="6">
        <f>_xlfn.XLOOKUP(worksheet!D623,products!$A$1:$A$49,products!$E$1:$E$49,0)</f>
        <v>12.95</v>
      </c>
      <c r="M623" s="6">
        <f>worksheet!E623*worksheet!L623</f>
        <v>77.699999999999989</v>
      </c>
      <c r="N623" t="str">
        <f t="shared" si="18"/>
        <v>Arabica</v>
      </c>
      <c r="O623" t="str">
        <f t="shared" si="19"/>
        <v>Light</v>
      </c>
      <c r="P623" t="str">
        <f>_xlfn.XLOOKUP(worksheet[[#This Row],[Customer ID]],customers!$A$1:$A$1001,customers!$I$1:$I$1001,0)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
        <v>4005</v>
      </c>
      <c r="H624" s="2" t="str">
        <f>_xlfn.XLOOKUP(C624,customers!$A$1:$A$1001,customers!$G$1:$G$1001,0)</f>
        <v>United States</v>
      </c>
      <c r="I624" t="str">
        <f>_xlfn.XLOOKUP(D624,products!$A$1:$A$49,products!$B$1:$B$49,0)</f>
        <v>Lib</v>
      </c>
      <c r="J624" t="str">
        <f>_xlfn.XLOOKUP(worksheet!D624,products!$A$1:$A$49,products!$C$1:$C$49,0)</f>
        <v>M</v>
      </c>
      <c r="K624" s="5">
        <f>_xlfn.XLOOKUP(worksheet!D624,products!$A$1:$A$49,products!$D$1:$D$49,0)</f>
        <v>2.5</v>
      </c>
      <c r="L624" s="6">
        <f>_xlfn.XLOOKUP(worksheet!D624,products!$A$1:$A$49,products!$E$1:$E$49,0)</f>
        <v>33.464999999999996</v>
      </c>
      <c r="M624" s="6">
        <f>worksheet!E624*worksheet!L624</f>
        <v>133.85999999999999</v>
      </c>
      <c r="N624" t="str">
        <f t="shared" si="18"/>
        <v>Liberica</v>
      </c>
      <c r="O624" t="str">
        <f t="shared" si="19"/>
        <v>Medium</v>
      </c>
      <c r="P624" t="str">
        <f>_xlfn.XLOOKUP(worksheet[[#This Row],[Customer ID]],customers!$A$1:$A$1001,customers!$I$1:$I$1001,0)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
        <v>6222</v>
      </c>
      <c r="H625" s="2" t="str">
        <f>_xlfn.XLOOKUP(C625,customers!$A$1:$A$1001,customers!$G$1:$G$1001,0)</f>
        <v>United Kingdom</v>
      </c>
      <c r="I625" t="str">
        <f>_xlfn.XLOOKUP(D625,products!$A$1:$A$49,products!$B$1:$B$49,0)</f>
        <v>Exc</v>
      </c>
      <c r="J625" t="str">
        <f>_xlfn.XLOOKUP(worksheet!D625,products!$A$1:$A$49,products!$C$1:$C$49,0)</f>
        <v>D</v>
      </c>
      <c r="K625" s="5">
        <f>_xlfn.XLOOKUP(worksheet!D625,products!$A$1:$A$49,products!$D$1:$D$49,0)</f>
        <v>1</v>
      </c>
      <c r="L625" s="6">
        <f>_xlfn.XLOOKUP(worksheet!D625,products!$A$1:$A$49,products!$E$1:$E$49,0)</f>
        <v>12.15</v>
      </c>
      <c r="M625" s="6">
        <f>worksheet!E625*worksheet!L625</f>
        <v>12.15</v>
      </c>
      <c r="N625" t="str">
        <f t="shared" si="18"/>
        <v>Excelsa</v>
      </c>
      <c r="O625" t="str">
        <f t="shared" si="19"/>
        <v>Dark</v>
      </c>
      <c r="P625" t="str">
        <f>_xlfn.XLOOKUP(worksheet[[#This Row],[Customer ID]],customers!$A$1:$A$1001,customers!$I$1:$I$1001,0)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
        <v>4015</v>
      </c>
      <c r="H626" s="2" t="str">
        <f>_xlfn.XLOOKUP(C626,customers!$A$1:$A$1001,customers!$G$1:$G$1001,0)</f>
        <v>Ireland</v>
      </c>
      <c r="I626" t="str">
        <f>_xlfn.XLOOKUP(D626,products!$A$1:$A$49,products!$B$1:$B$49,0)</f>
        <v>Exc</v>
      </c>
      <c r="J626" t="str">
        <f>_xlfn.XLOOKUP(worksheet!D626,products!$A$1:$A$49,products!$C$1:$C$49,0)</f>
        <v>M</v>
      </c>
      <c r="K626" s="5">
        <f>_xlfn.XLOOKUP(worksheet!D626,products!$A$1:$A$49,products!$D$1:$D$49,0)</f>
        <v>2.5</v>
      </c>
      <c r="L626" s="6">
        <f>_xlfn.XLOOKUP(worksheet!D626,products!$A$1:$A$49,products!$E$1:$E$49,0)</f>
        <v>31.624999999999996</v>
      </c>
      <c r="M626" s="6">
        <f>worksheet!E626*worksheet!L626</f>
        <v>63.249999999999993</v>
      </c>
      <c r="N626" t="str">
        <f t="shared" si="18"/>
        <v>Excelsa</v>
      </c>
      <c r="O626" t="str">
        <f t="shared" si="19"/>
        <v>Medium</v>
      </c>
      <c r="P626" t="str">
        <f>_xlfn.XLOOKUP(worksheet[[#This Row],[Customer ID]],customers!$A$1:$A$1001,customers!$I$1:$I$1001,0)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
        <v>4020</v>
      </c>
      <c r="H627" s="2" t="str">
        <f>_xlfn.XLOOKUP(C627,customers!$A$1:$A$1001,customers!$G$1:$G$1001,0)</f>
        <v>United States</v>
      </c>
      <c r="I627" t="str">
        <f>_xlfn.XLOOKUP(D627,products!$A$1:$A$49,products!$B$1:$B$49,0)</f>
        <v>Rob</v>
      </c>
      <c r="J627" t="str">
        <f>_xlfn.XLOOKUP(worksheet!D627,products!$A$1:$A$49,products!$C$1:$C$49,0)</f>
        <v>L</v>
      </c>
      <c r="K627" s="5">
        <f>_xlfn.XLOOKUP(worksheet!D627,products!$A$1:$A$49,products!$D$1:$D$49,0)</f>
        <v>0.5</v>
      </c>
      <c r="L627" s="6">
        <f>_xlfn.XLOOKUP(worksheet!D627,products!$A$1:$A$49,products!$E$1:$E$49,0)</f>
        <v>7.169999999999999</v>
      </c>
      <c r="M627" s="6">
        <f>worksheet!E627*worksheet!L627</f>
        <v>35.849999999999994</v>
      </c>
      <c r="N627" t="str">
        <f t="shared" si="18"/>
        <v>Robusta</v>
      </c>
      <c r="O627" t="str">
        <f t="shared" si="19"/>
        <v>Light</v>
      </c>
      <c r="P627" t="str">
        <f>_xlfn.XLOOKUP(worksheet[[#This Row],[Customer ID]],customers!$A$1:$A$1001,customers!$I$1:$I$1001,0)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
        <v>4026</v>
      </c>
      <c r="H628" s="2" t="str">
        <f>_xlfn.XLOOKUP(C628,customers!$A$1:$A$1001,customers!$G$1:$G$1001,0)</f>
        <v>United States</v>
      </c>
      <c r="I628" t="str">
        <f>_xlfn.XLOOKUP(D628,products!$A$1:$A$49,products!$B$1:$B$49,0)</f>
        <v>Ara</v>
      </c>
      <c r="J628" t="str">
        <f>_xlfn.XLOOKUP(worksheet!D628,products!$A$1:$A$49,products!$C$1:$C$49,0)</f>
        <v>M</v>
      </c>
      <c r="K628" s="5">
        <f>_xlfn.XLOOKUP(worksheet!D628,products!$A$1:$A$49,products!$D$1:$D$49,0)</f>
        <v>2.5</v>
      </c>
      <c r="L628" s="6">
        <f>_xlfn.XLOOKUP(worksheet!D628,products!$A$1:$A$49,products!$E$1:$E$49,0)</f>
        <v>25.874999999999996</v>
      </c>
      <c r="M628" s="6">
        <f>worksheet!E628*worksheet!L628</f>
        <v>77.624999999999986</v>
      </c>
      <c r="N628" t="str">
        <f t="shared" si="18"/>
        <v>Arabica</v>
      </c>
      <c r="O628" t="str">
        <f t="shared" si="19"/>
        <v>Medium</v>
      </c>
      <c r="P628" t="str">
        <f>_xlfn.XLOOKUP(worksheet[[#This Row],[Customer ID]],customers!$A$1:$A$1001,customers!$I$1:$I$1001,0)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
        <v>4032</v>
      </c>
      <c r="H629" s="2" t="str">
        <f>_xlfn.XLOOKUP(C629,customers!$A$1:$A$1001,customers!$G$1:$G$1001,0)</f>
        <v>United States</v>
      </c>
      <c r="I629" t="str">
        <f>_xlfn.XLOOKUP(D629,products!$A$1:$A$49,products!$B$1:$B$49,0)</f>
        <v>Exc</v>
      </c>
      <c r="J629" t="str">
        <f>_xlfn.XLOOKUP(worksheet!D629,products!$A$1:$A$49,products!$C$1:$C$49,0)</f>
        <v>M</v>
      </c>
      <c r="K629" s="5">
        <f>_xlfn.XLOOKUP(worksheet!D629,products!$A$1:$A$49,products!$D$1:$D$49,0)</f>
        <v>2.5</v>
      </c>
      <c r="L629" s="6">
        <f>_xlfn.XLOOKUP(worksheet!D629,products!$A$1:$A$49,products!$E$1:$E$49,0)</f>
        <v>31.624999999999996</v>
      </c>
      <c r="M629" s="6">
        <f>worksheet!E629*worksheet!L629</f>
        <v>63.249999999999993</v>
      </c>
      <c r="N629" t="str">
        <f t="shared" si="18"/>
        <v>Excelsa</v>
      </c>
      <c r="O629" t="str">
        <f t="shared" si="19"/>
        <v>Medium</v>
      </c>
      <c r="P629" t="str">
        <f>_xlfn.XLOOKUP(worksheet[[#This Row],[Customer ID]],customers!$A$1:$A$1001,customers!$I$1:$I$1001,0)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
        <v>4038</v>
      </c>
      <c r="H630" s="2" t="str">
        <f>_xlfn.XLOOKUP(C630,customers!$A$1:$A$1001,customers!$G$1:$G$1001,0)</f>
        <v>Ireland</v>
      </c>
      <c r="I630" t="str">
        <f>_xlfn.XLOOKUP(D630,products!$A$1:$A$49,products!$B$1:$B$49,0)</f>
        <v>Exc</v>
      </c>
      <c r="J630" t="str">
        <f>_xlfn.XLOOKUP(worksheet!D630,products!$A$1:$A$49,products!$C$1:$C$49,0)</f>
        <v>L</v>
      </c>
      <c r="K630" s="5">
        <f>_xlfn.XLOOKUP(worksheet!D630,products!$A$1:$A$49,products!$D$1:$D$49,0)</f>
        <v>0.2</v>
      </c>
      <c r="L630" s="6">
        <f>_xlfn.XLOOKUP(worksheet!D630,products!$A$1:$A$49,products!$E$1:$E$49,0)</f>
        <v>4.4550000000000001</v>
      </c>
      <c r="M630" s="6">
        <f>worksheet!E630*worksheet!L630</f>
        <v>26.73</v>
      </c>
      <c r="N630" t="str">
        <f t="shared" si="18"/>
        <v>Excelsa</v>
      </c>
      <c r="O630" t="str">
        <f t="shared" si="19"/>
        <v>Light</v>
      </c>
      <c r="P630" t="str">
        <f>_xlfn.XLOOKUP(worksheet[[#This Row],[Customer ID]],customers!$A$1:$A$1001,customers!$I$1:$I$1001,0)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
        <v>4038</v>
      </c>
      <c r="H631" s="2" t="str">
        <f>_xlfn.XLOOKUP(C631,customers!$A$1:$A$1001,customers!$G$1:$G$1001,0)</f>
        <v>Ireland</v>
      </c>
      <c r="I631" t="str">
        <f>_xlfn.XLOOKUP(D631,products!$A$1:$A$49,products!$B$1:$B$49,0)</f>
        <v>Lib</v>
      </c>
      <c r="J631" t="str">
        <f>_xlfn.XLOOKUP(worksheet!D631,products!$A$1:$A$49,products!$C$1:$C$49,0)</f>
        <v>D</v>
      </c>
      <c r="K631" s="5">
        <f>_xlfn.XLOOKUP(worksheet!D631,products!$A$1:$A$49,products!$D$1:$D$49,0)</f>
        <v>0.5</v>
      </c>
      <c r="L631" s="6">
        <f>_xlfn.XLOOKUP(worksheet!D631,products!$A$1:$A$49,products!$E$1:$E$49,0)</f>
        <v>7.77</v>
      </c>
      <c r="M631" s="6">
        <f>worksheet!E631*worksheet!L631</f>
        <v>31.08</v>
      </c>
      <c r="N631" t="str">
        <f t="shared" si="18"/>
        <v>Liberica</v>
      </c>
      <c r="O631" t="str">
        <f t="shared" si="19"/>
        <v>Dark</v>
      </c>
      <c r="P631" t="str">
        <f>_xlfn.XLOOKUP(worksheet[[#This Row],[Customer ID]],customers!$A$1:$A$1001,customers!$I$1:$I$1001,0)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
        <v>4038</v>
      </c>
      <c r="H632" s="2" t="str">
        <f>_xlfn.XLOOKUP(C632,customers!$A$1:$A$1001,customers!$G$1:$G$1001,0)</f>
        <v>Ireland</v>
      </c>
      <c r="I632" t="str">
        <f>_xlfn.XLOOKUP(D632,products!$A$1:$A$49,products!$B$1:$B$49,0)</f>
        <v>Ara</v>
      </c>
      <c r="J632" t="str">
        <f>_xlfn.XLOOKUP(worksheet!D632,products!$A$1:$A$49,products!$C$1:$C$49,0)</f>
        <v>D</v>
      </c>
      <c r="K632" s="5">
        <f>_xlfn.XLOOKUP(worksheet!D632,products!$A$1:$A$49,products!$D$1:$D$49,0)</f>
        <v>0.2</v>
      </c>
      <c r="L632" s="6">
        <f>_xlfn.XLOOKUP(worksheet!D632,products!$A$1:$A$49,products!$E$1:$E$49,0)</f>
        <v>2.9849999999999999</v>
      </c>
      <c r="M632" s="6">
        <f>worksheet!E632*worksheet!L632</f>
        <v>2.9849999999999999</v>
      </c>
      <c r="N632" t="str">
        <f t="shared" si="18"/>
        <v>Arabica</v>
      </c>
      <c r="O632" t="str">
        <f t="shared" si="19"/>
        <v>Dark</v>
      </c>
      <c r="P632" t="str">
        <f>_xlfn.XLOOKUP(worksheet[[#This Row],[Customer ID]],customers!$A$1:$A$1001,customers!$I$1:$I$1001,0)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
        <v>4038</v>
      </c>
      <c r="H633" s="2" t="str">
        <f>_xlfn.XLOOKUP(C633,customers!$A$1:$A$1001,customers!$G$1:$G$1001,0)</f>
        <v>Ireland</v>
      </c>
      <c r="I633" t="str">
        <f>_xlfn.XLOOKUP(D633,products!$A$1:$A$49,products!$B$1:$B$49,0)</f>
        <v>Rob</v>
      </c>
      <c r="J633" t="str">
        <f>_xlfn.XLOOKUP(worksheet!D633,products!$A$1:$A$49,products!$C$1:$C$49,0)</f>
        <v>D</v>
      </c>
      <c r="K633" s="5">
        <f>_xlfn.XLOOKUP(worksheet!D633,products!$A$1:$A$49,products!$D$1:$D$49,0)</f>
        <v>2.5</v>
      </c>
      <c r="L633" s="6">
        <f>_xlfn.XLOOKUP(worksheet!D633,products!$A$1:$A$49,products!$E$1:$E$49,0)</f>
        <v>20.584999999999997</v>
      </c>
      <c r="M633" s="6">
        <f>worksheet!E633*worksheet!L633</f>
        <v>102.92499999999998</v>
      </c>
      <c r="N633" t="str">
        <f t="shared" si="18"/>
        <v>Robusta</v>
      </c>
      <c r="O633" t="str">
        <f t="shared" si="19"/>
        <v>Dark</v>
      </c>
      <c r="P633" t="str">
        <f>_xlfn.XLOOKUP(worksheet[[#This Row],[Customer ID]],customers!$A$1:$A$1001,customers!$I$1:$I$1001,0)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
        <v>4059</v>
      </c>
      <c r="H634" s="2" t="str">
        <f>_xlfn.XLOOKUP(C634,customers!$A$1:$A$1001,customers!$G$1:$G$1001,0)</f>
        <v>United States</v>
      </c>
      <c r="I634" t="str">
        <f>_xlfn.XLOOKUP(D634,products!$A$1:$A$49,products!$B$1:$B$49,0)</f>
        <v>Exc</v>
      </c>
      <c r="J634" t="str">
        <f>_xlfn.XLOOKUP(worksheet!D634,products!$A$1:$A$49,products!$C$1:$C$49,0)</f>
        <v>L</v>
      </c>
      <c r="K634" s="5">
        <f>_xlfn.XLOOKUP(worksheet!D634,products!$A$1:$A$49,products!$D$1:$D$49,0)</f>
        <v>0.5</v>
      </c>
      <c r="L634" s="6">
        <f>_xlfn.XLOOKUP(worksheet!D634,products!$A$1:$A$49,products!$E$1:$E$49,0)</f>
        <v>8.91</v>
      </c>
      <c r="M634" s="6">
        <f>worksheet!E634*worksheet!L634</f>
        <v>35.64</v>
      </c>
      <c r="N634" t="str">
        <f t="shared" si="18"/>
        <v>Excelsa</v>
      </c>
      <c r="O634" t="str">
        <f t="shared" si="19"/>
        <v>Light</v>
      </c>
      <c r="P634" t="str">
        <f>_xlfn.XLOOKUP(worksheet[[#This Row],[Customer ID]],customers!$A$1:$A$1001,customers!$I$1:$I$1001,0)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
        <v>4065</v>
      </c>
      <c r="H635" s="2" t="str">
        <f>_xlfn.XLOOKUP(C635,customers!$A$1:$A$1001,customers!$G$1:$G$1001,0)</f>
        <v>United States</v>
      </c>
      <c r="I635" t="str">
        <f>_xlfn.XLOOKUP(D635,products!$A$1:$A$49,products!$B$1:$B$49,0)</f>
        <v>Rob</v>
      </c>
      <c r="J635" t="str">
        <f>_xlfn.XLOOKUP(worksheet!D635,products!$A$1:$A$49,products!$C$1:$C$49,0)</f>
        <v>L</v>
      </c>
      <c r="K635" s="5">
        <f>_xlfn.XLOOKUP(worksheet!D635,products!$A$1:$A$49,products!$D$1:$D$49,0)</f>
        <v>1</v>
      </c>
      <c r="L635" s="6">
        <f>_xlfn.XLOOKUP(worksheet!D635,products!$A$1:$A$49,products!$E$1:$E$49,0)</f>
        <v>11.95</v>
      </c>
      <c r="M635" s="6">
        <f>worksheet!E635*worksheet!L635</f>
        <v>47.8</v>
      </c>
      <c r="N635" t="str">
        <f t="shared" si="18"/>
        <v>Robusta</v>
      </c>
      <c r="O635" t="str">
        <f t="shared" si="19"/>
        <v>Light</v>
      </c>
      <c r="P635" t="str">
        <f>_xlfn.XLOOKUP(worksheet[[#This Row],[Customer ID]],customers!$A$1:$A$1001,customers!$I$1:$I$1001,0)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
        <v>4071</v>
      </c>
      <c r="H636" s="2" t="str">
        <f>_xlfn.XLOOKUP(C636,customers!$A$1:$A$1001,customers!$G$1:$G$1001,0)</f>
        <v>United States</v>
      </c>
      <c r="I636" t="str">
        <f>_xlfn.XLOOKUP(D636,products!$A$1:$A$49,products!$B$1:$B$49,0)</f>
        <v>Lib</v>
      </c>
      <c r="J636" t="str">
        <f>_xlfn.XLOOKUP(worksheet!D636,products!$A$1:$A$49,products!$C$1:$C$49,0)</f>
        <v>M</v>
      </c>
      <c r="K636" s="5">
        <f>_xlfn.XLOOKUP(worksheet!D636,products!$A$1:$A$49,products!$D$1:$D$49,0)</f>
        <v>1</v>
      </c>
      <c r="L636" s="6">
        <f>_xlfn.XLOOKUP(worksheet!D636,products!$A$1:$A$49,products!$E$1:$E$49,0)</f>
        <v>14.55</v>
      </c>
      <c r="M636" s="6">
        <f>worksheet!E636*worksheet!L636</f>
        <v>43.650000000000006</v>
      </c>
      <c r="N636" t="str">
        <f t="shared" si="18"/>
        <v>Liberica</v>
      </c>
      <c r="O636" t="str">
        <f t="shared" si="19"/>
        <v>Medium</v>
      </c>
      <c r="P636" t="str">
        <f>_xlfn.XLOOKUP(worksheet[[#This Row],[Customer ID]],customers!$A$1:$A$1001,customers!$I$1:$I$1001,0)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
        <v>4077</v>
      </c>
      <c r="H637" s="2" t="str">
        <f>_xlfn.XLOOKUP(C637,customers!$A$1:$A$1001,customers!$G$1:$G$1001,0)</f>
        <v>United States</v>
      </c>
      <c r="I637" t="str">
        <f>_xlfn.XLOOKUP(D637,products!$A$1:$A$49,products!$B$1:$B$49,0)</f>
        <v>Exc</v>
      </c>
      <c r="J637" t="str">
        <f>_xlfn.XLOOKUP(worksheet!D637,products!$A$1:$A$49,products!$C$1:$C$49,0)</f>
        <v>L</v>
      </c>
      <c r="K637" s="5">
        <f>_xlfn.XLOOKUP(worksheet!D637,products!$A$1:$A$49,products!$D$1:$D$49,0)</f>
        <v>0.5</v>
      </c>
      <c r="L637" s="6">
        <f>_xlfn.XLOOKUP(worksheet!D637,products!$A$1:$A$49,products!$E$1:$E$49,0)</f>
        <v>8.91</v>
      </c>
      <c r="M637" s="6">
        <f>worksheet!E637*worksheet!L637</f>
        <v>35.64</v>
      </c>
      <c r="N637" t="str">
        <f t="shared" si="18"/>
        <v>Excelsa</v>
      </c>
      <c r="O637" t="str">
        <f t="shared" si="19"/>
        <v>Light</v>
      </c>
      <c r="P637" t="str">
        <f>_xlfn.XLOOKUP(worksheet[[#This Row],[Customer ID]],customers!$A$1:$A$1001,customers!$I$1:$I$1001,0)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
        <v>4083</v>
      </c>
      <c r="H638" s="2" t="str">
        <f>_xlfn.XLOOKUP(C638,customers!$A$1:$A$1001,customers!$G$1:$G$1001,0)</f>
        <v>United States</v>
      </c>
      <c r="I638" t="str">
        <f>_xlfn.XLOOKUP(D638,products!$A$1:$A$49,products!$B$1:$B$49,0)</f>
        <v>Lib</v>
      </c>
      <c r="J638" t="str">
        <f>_xlfn.XLOOKUP(worksheet!D638,products!$A$1:$A$49,products!$C$1:$C$49,0)</f>
        <v>L</v>
      </c>
      <c r="K638" s="5">
        <f>_xlfn.XLOOKUP(worksheet!D638,products!$A$1:$A$49,products!$D$1:$D$49,0)</f>
        <v>1</v>
      </c>
      <c r="L638" s="6">
        <f>_xlfn.XLOOKUP(worksheet!D638,products!$A$1:$A$49,products!$E$1:$E$49,0)</f>
        <v>15.85</v>
      </c>
      <c r="M638" s="6">
        <f>worksheet!E638*worksheet!L638</f>
        <v>95.1</v>
      </c>
      <c r="N638" t="str">
        <f t="shared" si="18"/>
        <v>Liberica</v>
      </c>
      <c r="O638" t="str">
        <f t="shared" si="19"/>
        <v>Light</v>
      </c>
      <c r="P638" t="str">
        <f>_xlfn.XLOOKUP(worksheet[[#This Row],[Customer ID]],customers!$A$1:$A$1001,customers!$I$1:$I$1001,0)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
        <v>4089</v>
      </c>
      <c r="H639" s="2" t="str">
        <f>_xlfn.XLOOKUP(C639,customers!$A$1:$A$1001,customers!$G$1:$G$1001,0)</f>
        <v>Ireland</v>
      </c>
      <c r="I639" t="str">
        <f>_xlfn.XLOOKUP(D639,products!$A$1:$A$49,products!$B$1:$B$49,0)</f>
        <v>Exc</v>
      </c>
      <c r="J639" t="str">
        <f>_xlfn.XLOOKUP(worksheet!D639,products!$A$1:$A$49,products!$C$1:$C$49,0)</f>
        <v>M</v>
      </c>
      <c r="K639" s="5">
        <f>_xlfn.XLOOKUP(worksheet!D639,products!$A$1:$A$49,products!$D$1:$D$49,0)</f>
        <v>2.5</v>
      </c>
      <c r="L639" s="6">
        <f>_xlfn.XLOOKUP(worksheet!D639,products!$A$1:$A$49,products!$E$1:$E$49,0)</f>
        <v>31.624999999999996</v>
      </c>
      <c r="M639" s="6">
        <f>worksheet!E639*worksheet!L639</f>
        <v>31.624999999999996</v>
      </c>
      <c r="N639" t="str">
        <f t="shared" si="18"/>
        <v>Excelsa</v>
      </c>
      <c r="O639" t="str">
        <f t="shared" si="19"/>
        <v>Medium</v>
      </c>
      <c r="P639" t="str">
        <f>_xlfn.XLOOKUP(worksheet[[#This Row],[Customer ID]],customers!$A$1:$A$1001,customers!$I$1:$I$1001,0)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
        <v>6222</v>
      </c>
      <c r="H640" s="2" t="str">
        <f>_xlfn.XLOOKUP(C640,customers!$A$1:$A$1001,customers!$G$1:$G$1001,0)</f>
        <v>Ireland</v>
      </c>
      <c r="I640" t="str">
        <f>_xlfn.XLOOKUP(D640,products!$A$1:$A$49,products!$B$1:$B$49,0)</f>
        <v>Ara</v>
      </c>
      <c r="J640" t="str">
        <f>_xlfn.XLOOKUP(worksheet!D640,products!$A$1:$A$49,products!$C$1:$C$49,0)</f>
        <v>M</v>
      </c>
      <c r="K640" s="5">
        <f>_xlfn.XLOOKUP(worksheet!D640,products!$A$1:$A$49,products!$D$1:$D$49,0)</f>
        <v>2.5</v>
      </c>
      <c r="L640" s="6">
        <f>_xlfn.XLOOKUP(worksheet!D640,products!$A$1:$A$49,products!$E$1:$E$49,0)</f>
        <v>25.874999999999996</v>
      </c>
      <c r="M640" s="6">
        <f>worksheet!E640*worksheet!L640</f>
        <v>77.624999999999986</v>
      </c>
      <c r="N640" t="str">
        <f t="shared" si="18"/>
        <v>Arabica</v>
      </c>
      <c r="O640" t="str">
        <f t="shared" si="19"/>
        <v>Medium</v>
      </c>
      <c r="P640" t="str">
        <f>_xlfn.XLOOKUP(worksheet[[#This Row],[Customer ID]],customers!$A$1:$A$1001,customers!$I$1:$I$1001,0)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
        <v>4101</v>
      </c>
      <c r="H641" s="2" t="str">
        <f>_xlfn.XLOOKUP(C641,customers!$A$1:$A$1001,customers!$G$1:$G$1001,0)</f>
        <v>United States</v>
      </c>
      <c r="I641" t="str">
        <f>_xlfn.XLOOKUP(D641,products!$A$1:$A$49,products!$B$1:$B$49,0)</f>
        <v>Lib</v>
      </c>
      <c r="J641" t="str">
        <f>_xlfn.XLOOKUP(worksheet!D641,products!$A$1:$A$49,products!$C$1:$C$49,0)</f>
        <v>D</v>
      </c>
      <c r="K641" s="5">
        <f>_xlfn.XLOOKUP(worksheet!D641,products!$A$1:$A$49,products!$D$1:$D$49,0)</f>
        <v>0.2</v>
      </c>
      <c r="L641" s="6">
        <f>_xlfn.XLOOKUP(worksheet!D641,products!$A$1:$A$49,products!$E$1:$E$49,0)</f>
        <v>3.8849999999999998</v>
      </c>
      <c r="M641" s="6">
        <f>worksheet!E641*worksheet!L641</f>
        <v>3.8849999999999998</v>
      </c>
      <c r="N641" t="str">
        <f t="shared" si="18"/>
        <v>Liberica</v>
      </c>
      <c r="O641" t="str">
        <f t="shared" si="19"/>
        <v>Dark</v>
      </c>
      <c r="P641" t="str">
        <f>_xlfn.XLOOKUP(worksheet[[#This Row],[Customer ID]],customers!$A$1:$A$1001,customers!$I$1:$I$1001,0)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
        <v>4154</v>
      </c>
      <c r="H642" s="2" t="str">
        <f>_xlfn.XLOOKUP(C642,customers!$A$1:$A$1001,customers!$G$1:$G$1001,0)</f>
        <v>United States</v>
      </c>
      <c r="I642" t="str">
        <f>_xlfn.XLOOKUP(D642,products!$A$1:$A$49,products!$B$1:$B$49,0)</f>
        <v>Rob</v>
      </c>
      <c r="J642" t="str">
        <f>_xlfn.XLOOKUP(worksheet!D642,products!$A$1:$A$49,products!$C$1:$C$49,0)</f>
        <v>L</v>
      </c>
      <c r="K642" s="5">
        <f>_xlfn.XLOOKUP(worksheet!D642,products!$A$1:$A$49,products!$D$1:$D$49,0)</f>
        <v>2.5</v>
      </c>
      <c r="L642" s="6">
        <f>_xlfn.XLOOKUP(worksheet!D642,products!$A$1:$A$49,products!$E$1:$E$49,0)</f>
        <v>27.484999999999996</v>
      </c>
      <c r="M642" s="6">
        <f>worksheet!E642*worksheet!L642</f>
        <v>137.42499999999998</v>
      </c>
      <c r="N642" t="str">
        <f t="shared" si="18"/>
        <v>Robusta</v>
      </c>
      <c r="O642" t="str">
        <f t="shared" si="19"/>
        <v>Light</v>
      </c>
      <c r="P642" t="str">
        <f>_xlfn.XLOOKUP(worksheet[[#This Row],[Customer ID]],customers!$A$1:$A$1001,customers!$I$1:$I$1001,0)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
        <v>4112</v>
      </c>
      <c r="H643" s="2" t="str">
        <f>_xlfn.XLOOKUP(C643,customers!$A$1:$A$1001,customers!$G$1:$G$1001,0)</f>
        <v>United States</v>
      </c>
      <c r="I643" t="str">
        <f>_xlfn.XLOOKUP(D643,products!$A$1:$A$49,products!$B$1:$B$49,0)</f>
        <v>Rob</v>
      </c>
      <c r="J643" t="str">
        <f>_xlfn.XLOOKUP(worksheet!D643,products!$A$1:$A$49,products!$C$1:$C$49,0)</f>
        <v>L</v>
      </c>
      <c r="K643" s="5">
        <f>_xlfn.XLOOKUP(worksheet!D643,products!$A$1:$A$49,products!$D$1:$D$49,0)</f>
        <v>1</v>
      </c>
      <c r="L643" s="6">
        <f>_xlfn.XLOOKUP(worksheet!D643,products!$A$1:$A$49,products!$E$1:$E$49,0)</f>
        <v>11.95</v>
      </c>
      <c r="M643" s="6">
        <f>worksheet!E643*worksheet!L643</f>
        <v>35.849999999999994</v>
      </c>
      <c r="N643" t="str">
        <f t="shared" ref="N643:N706" si="20">IF(I643="Rob","Robusta",IF(I643="Exc","Excelsa",IF(I643="Ara","Arabica",IF(I643="Lib","Liberica",""))))</f>
        <v>Robusta</v>
      </c>
      <c r="O643" t="str">
        <f t="shared" ref="O643:O706" si="21">IF(J643="M","Medium",IF(J643="L","Light",IF(J643="D","Dark","")))</f>
        <v>Light</v>
      </c>
      <c r="P643" t="str">
        <f>_xlfn.XLOOKUP(worksheet[[#This Row],[Customer ID]],customers!$A$1:$A$1001,customers!$I$1:$I$1001,0)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
        <v>4118</v>
      </c>
      <c r="H644" s="2" t="str">
        <f>_xlfn.XLOOKUP(C644,customers!$A$1:$A$1001,customers!$G$1:$G$1001,0)</f>
        <v>United Kingdom</v>
      </c>
      <c r="I644" t="str">
        <f>_xlfn.XLOOKUP(D644,products!$A$1:$A$49,products!$B$1:$B$49,0)</f>
        <v>Exc</v>
      </c>
      <c r="J644" t="str">
        <f>_xlfn.XLOOKUP(worksheet!D644,products!$A$1:$A$49,products!$C$1:$C$49,0)</f>
        <v>M</v>
      </c>
      <c r="K644" s="5">
        <f>_xlfn.XLOOKUP(worksheet!D644,products!$A$1:$A$49,products!$D$1:$D$49,0)</f>
        <v>0.2</v>
      </c>
      <c r="L644" s="6">
        <f>_xlfn.XLOOKUP(worksheet!D644,products!$A$1:$A$49,products!$E$1:$E$49,0)</f>
        <v>4.125</v>
      </c>
      <c r="M644" s="6">
        <f>worksheet!E644*worksheet!L644</f>
        <v>8.25</v>
      </c>
      <c r="N644" t="str">
        <f t="shared" si="20"/>
        <v>Excelsa</v>
      </c>
      <c r="O644" t="str">
        <f t="shared" si="21"/>
        <v>Medium</v>
      </c>
      <c r="P644" t="str">
        <f>_xlfn.XLOOKUP(worksheet[[#This Row],[Customer ID]],customers!$A$1:$A$1001,customers!$I$1:$I$1001,0)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
        <v>4126</v>
      </c>
      <c r="H645" s="2" t="str">
        <f>_xlfn.XLOOKUP(C645,customers!$A$1:$A$1001,customers!$G$1:$G$1001,0)</f>
        <v>United States</v>
      </c>
      <c r="I645" t="str">
        <f>_xlfn.XLOOKUP(D645,products!$A$1:$A$49,products!$B$1:$B$49,0)</f>
        <v>Exc</v>
      </c>
      <c r="J645" t="str">
        <f>_xlfn.XLOOKUP(worksheet!D645,products!$A$1:$A$49,products!$C$1:$C$49,0)</f>
        <v>L</v>
      </c>
      <c r="K645" s="5">
        <f>_xlfn.XLOOKUP(worksheet!D645,products!$A$1:$A$49,products!$D$1:$D$49,0)</f>
        <v>2.5</v>
      </c>
      <c r="L645" s="6">
        <f>_xlfn.XLOOKUP(worksheet!D645,products!$A$1:$A$49,products!$E$1:$E$49,0)</f>
        <v>34.154999999999994</v>
      </c>
      <c r="M645" s="6">
        <f>worksheet!E645*worksheet!L645</f>
        <v>102.46499999999997</v>
      </c>
      <c r="N645" t="str">
        <f t="shared" si="20"/>
        <v>Excelsa</v>
      </c>
      <c r="O645" t="str">
        <f t="shared" si="21"/>
        <v>Light</v>
      </c>
      <c r="P645" t="str">
        <f>_xlfn.XLOOKUP(worksheet[[#This Row],[Customer ID]],customers!$A$1:$A$1001,customers!$I$1:$I$1001,0)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
        <v>6222</v>
      </c>
      <c r="H646" s="2" t="str">
        <f>_xlfn.XLOOKUP(C646,customers!$A$1:$A$1001,customers!$G$1:$G$1001,0)</f>
        <v>United States</v>
      </c>
      <c r="I646" t="str">
        <f>_xlfn.XLOOKUP(D646,products!$A$1:$A$49,products!$B$1:$B$49,0)</f>
        <v>Rob</v>
      </c>
      <c r="J646" t="str">
        <f>_xlfn.XLOOKUP(worksheet!D646,products!$A$1:$A$49,products!$C$1:$C$49,0)</f>
        <v>D</v>
      </c>
      <c r="K646" s="5">
        <f>_xlfn.XLOOKUP(worksheet!D646,products!$A$1:$A$49,products!$D$1:$D$49,0)</f>
        <v>2.5</v>
      </c>
      <c r="L646" s="6">
        <f>_xlfn.XLOOKUP(worksheet!D646,products!$A$1:$A$49,products!$E$1:$E$49,0)</f>
        <v>20.584999999999997</v>
      </c>
      <c r="M646" s="6">
        <f>worksheet!E646*worksheet!L646</f>
        <v>41.169999999999995</v>
      </c>
      <c r="N646" t="str">
        <f t="shared" si="20"/>
        <v>Robusta</v>
      </c>
      <c r="O646" t="str">
        <f t="shared" si="21"/>
        <v>Dark</v>
      </c>
      <c r="P646" t="str">
        <f>_xlfn.XLOOKUP(worksheet[[#This Row],[Customer ID]],customers!$A$1:$A$1001,customers!$I$1:$I$1001,0)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
        <v>4136</v>
      </c>
      <c r="H647" s="2" t="str">
        <f>_xlfn.XLOOKUP(C647,customers!$A$1:$A$1001,customers!$G$1:$G$1001,0)</f>
        <v>United States</v>
      </c>
      <c r="I647" t="str">
        <f>_xlfn.XLOOKUP(D647,products!$A$1:$A$49,products!$B$1:$B$49,0)</f>
        <v>Ara</v>
      </c>
      <c r="J647" t="str">
        <f>_xlfn.XLOOKUP(worksheet!D647,products!$A$1:$A$49,products!$C$1:$C$49,0)</f>
        <v>D</v>
      </c>
      <c r="K647" s="5">
        <f>_xlfn.XLOOKUP(worksheet!D647,products!$A$1:$A$49,products!$D$1:$D$49,0)</f>
        <v>2.5</v>
      </c>
      <c r="L647" s="6">
        <f>_xlfn.XLOOKUP(worksheet!D647,products!$A$1:$A$49,products!$E$1:$E$49,0)</f>
        <v>22.884999999999998</v>
      </c>
      <c r="M647" s="6">
        <f>worksheet!E647*worksheet!L647</f>
        <v>68.655000000000001</v>
      </c>
      <c r="N647" t="str">
        <f t="shared" si="20"/>
        <v>Arabica</v>
      </c>
      <c r="O647" t="str">
        <f t="shared" si="21"/>
        <v>Dark</v>
      </c>
      <c r="P647" t="str">
        <f>_xlfn.XLOOKUP(worksheet[[#This Row],[Customer ID]],customers!$A$1:$A$1001,customers!$I$1:$I$1001,0)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
        <v>4142</v>
      </c>
      <c r="H648" s="2" t="str">
        <f>_xlfn.XLOOKUP(C648,customers!$A$1:$A$1001,customers!$G$1:$G$1001,0)</f>
        <v>United States</v>
      </c>
      <c r="I648" t="str">
        <f>_xlfn.XLOOKUP(D648,products!$A$1:$A$49,products!$B$1:$B$49,0)</f>
        <v>Ara</v>
      </c>
      <c r="J648" t="str">
        <f>_xlfn.XLOOKUP(worksheet!D648,products!$A$1:$A$49,products!$C$1:$C$49,0)</f>
        <v>D</v>
      </c>
      <c r="K648" s="5">
        <f>_xlfn.XLOOKUP(worksheet!D648,products!$A$1:$A$49,products!$D$1:$D$49,0)</f>
        <v>1</v>
      </c>
      <c r="L648" s="6">
        <f>_xlfn.XLOOKUP(worksheet!D648,products!$A$1:$A$49,products!$E$1:$E$49,0)</f>
        <v>9.9499999999999993</v>
      </c>
      <c r="M648" s="6">
        <f>worksheet!E648*worksheet!L648</f>
        <v>9.9499999999999993</v>
      </c>
      <c r="N648" t="str">
        <f t="shared" si="20"/>
        <v>Arabica</v>
      </c>
      <c r="O648" t="str">
        <f t="shared" si="21"/>
        <v>Dark</v>
      </c>
      <c r="P648" t="str">
        <f>_xlfn.XLOOKUP(worksheet[[#This Row],[Customer ID]],customers!$A$1:$A$1001,customers!$I$1:$I$1001,0)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
        <v>4148</v>
      </c>
      <c r="H649" s="2" t="str">
        <f>_xlfn.XLOOKUP(C649,customers!$A$1:$A$1001,customers!$G$1:$G$1001,0)</f>
        <v>United Kingdom</v>
      </c>
      <c r="I649" t="str">
        <f>_xlfn.XLOOKUP(D649,products!$A$1:$A$49,products!$B$1:$B$49,0)</f>
        <v>Lib</v>
      </c>
      <c r="J649" t="str">
        <f>_xlfn.XLOOKUP(worksheet!D649,products!$A$1:$A$49,products!$C$1:$C$49,0)</f>
        <v>L</v>
      </c>
      <c r="K649" s="5">
        <f>_xlfn.XLOOKUP(worksheet!D649,products!$A$1:$A$49,products!$D$1:$D$49,0)</f>
        <v>0.5</v>
      </c>
      <c r="L649" s="6">
        <f>_xlfn.XLOOKUP(worksheet!D649,products!$A$1:$A$49,products!$E$1:$E$49,0)</f>
        <v>9.51</v>
      </c>
      <c r="M649" s="6">
        <f>worksheet!E649*worksheet!L649</f>
        <v>28.53</v>
      </c>
      <c r="N649" t="str">
        <f t="shared" si="20"/>
        <v>Liberica</v>
      </c>
      <c r="O649" t="str">
        <f t="shared" si="21"/>
        <v>Light</v>
      </c>
      <c r="P649" t="str">
        <f>_xlfn.XLOOKUP(worksheet[[#This Row],[Customer ID]],customers!$A$1:$A$1001,customers!$I$1:$I$1001,0)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
        <v>4154</v>
      </c>
      <c r="H650" s="2" t="str">
        <f>_xlfn.XLOOKUP(C650,customers!$A$1:$A$1001,customers!$G$1:$G$1001,0)</f>
        <v>United States</v>
      </c>
      <c r="I650" t="str">
        <f>_xlfn.XLOOKUP(D650,products!$A$1:$A$49,products!$B$1:$B$49,0)</f>
        <v>Rob</v>
      </c>
      <c r="J650" t="str">
        <f>_xlfn.XLOOKUP(worksheet!D650,products!$A$1:$A$49,products!$C$1:$C$49,0)</f>
        <v>D</v>
      </c>
      <c r="K650" s="5">
        <f>_xlfn.XLOOKUP(worksheet!D650,products!$A$1:$A$49,products!$D$1:$D$49,0)</f>
        <v>0.2</v>
      </c>
      <c r="L650" s="6">
        <f>_xlfn.XLOOKUP(worksheet!D650,products!$A$1:$A$49,products!$E$1:$E$49,0)</f>
        <v>2.6849999999999996</v>
      </c>
      <c r="M650" s="6">
        <f>worksheet!E650*worksheet!L650</f>
        <v>16.11</v>
      </c>
      <c r="N650" t="str">
        <f t="shared" si="20"/>
        <v>Robusta</v>
      </c>
      <c r="O650" t="str">
        <f t="shared" si="21"/>
        <v>Dark</v>
      </c>
      <c r="P650" t="str">
        <f>_xlfn.XLOOKUP(worksheet[[#This Row],[Customer ID]],customers!$A$1:$A$1001,customers!$I$1:$I$1001,0)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
        <v>4160</v>
      </c>
      <c r="H651" s="2" t="str">
        <f>_xlfn.XLOOKUP(C651,customers!$A$1:$A$1001,customers!$G$1:$G$1001,0)</f>
        <v>United Kingdom</v>
      </c>
      <c r="I651" t="str">
        <f>_xlfn.XLOOKUP(D651,products!$A$1:$A$49,products!$B$1:$B$49,0)</f>
        <v>Lib</v>
      </c>
      <c r="J651" t="str">
        <f>_xlfn.XLOOKUP(worksheet!D651,products!$A$1:$A$49,products!$C$1:$C$49,0)</f>
        <v>L</v>
      </c>
      <c r="K651" s="5">
        <f>_xlfn.XLOOKUP(worksheet!D651,products!$A$1:$A$49,products!$D$1:$D$49,0)</f>
        <v>1</v>
      </c>
      <c r="L651" s="6">
        <f>_xlfn.XLOOKUP(worksheet!D651,products!$A$1:$A$49,products!$E$1:$E$49,0)</f>
        <v>15.85</v>
      </c>
      <c r="M651" s="6">
        <f>worksheet!E651*worksheet!L651</f>
        <v>95.1</v>
      </c>
      <c r="N651" t="str">
        <f t="shared" si="20"/>
        <v>Liberica</v>
      </c>
      <c r="O651" t="str">
        <f t="shared" si="21"/>
        <v>Light</v>
      </c>
      <c r="P651" t="str">
        <f>_xlfn.XLOOKUP(worksheet[[#This Row],[Customer ID]],customers!$A$1:$A$1001,customers!$I$1:$I$1001,0)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
        <v>4166</v>
      </c>
      <c r="H652" s="2" t="str">
        <f>_xlfn.XLOOKUP(C652,customers!$A$1:$A$1001,customers!$G$1:$G$1001,0)</f>
        <v>United States</v>
      </c>
      <c r="I652" t="str">
        <f>_xlfn.XLOOKUP(D652,products!$A$1:$A$49,products!$B$1:$B$49,0)</f>
        <v>Rob</v>
      </c>
      <c r="J652" t="str">
        <f>_xlfn.XLOOKUP(worksheet!D652,products!$A$1:$A$49,products!$C$1:$C$49,0)</f>
        <v>D</v>
      </c>
      <c r="K652" s="5">
        <f>_xlfn.XLOOKUP(worksheet!D652,products!$A$1:$A$49,products!$D$1:$D$49,0)</f>
        <v>0.5</v>
      </c>
      <c r="L652" s="6">
        <f>_xlfn.XLOOKUP(worksheet!D652,products!$A$1:$A$49,products!$E$1:$E$49,0)</f>
        <v>5.3699999999999992</v>
      </c>
      <c r="M652" s="6">
        <f>worksheet!E652*worksheet!L652</f>
        <v>5.3699999999999992</v>
      </c>
      <c r="N652" t="str">
        <f t="shared" si="20"/>
        <v>Robusta</v>
      </c>
      <c r="O652" t="str">
        <f t="shared" si="21"/>
        <v>Dark</v>
      </c>
      <c r="P652" t="str">
        <f>_xlfn.XLOOKUP(worksheet[[#This Row],[Customer ID]],customers!$A$1:$A$1001,customers!$I$1:$I$1001,0)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
        <v>6222</v>
      </c>
      <c r="H653" s="2" t="str">
        <f>_xlfn.XLOOKUP(C653,customers!$A$1:$A$1001,customers!$G$1:$G$1001,0)</f>
        <v>United States</v>
      </c>
      <c r="I653" t="str">
        <f>_xlfn.XLOOKUP(D653,products!$A$1:$A$49,products!$B$1:$B$49,0)</f>
        <v>Rob</v>
      </c>
      <c r="J653" t="str">
        <f>_xlfn.XLOOKUP(worksheet!D653,products!$A$1:$A$49,products!$C$1:$C$49,0)</f>
        <v>L</v>
      </c>
      <c r="K653" s="5">
        <f>_xlfn.XLOOKUP(worksheet!D653,products!$A$1:$A$49,products!$D$1:$D$49,0)</f>
        <v>1</v>
      </c>
      <c r="L653" s="6">
        <f>_xlfn.XLOOKUP(worksheet!D653,products!$A$1:$A$49,products!$E$1:$E$49,0)</f>
        <v>11.95</v>
      </c>
      <c r="M653" s="6">
        <f>worksheet!E653*worksheet!L653</f>
        <v>47.8</v>
      </c>
      <c r="N653" t="str">
        <f t="shared" si="20"/>
        <v>Robusta</v>
      </c>
      <c r="O653" t="str">
        <f t="shared" si="21"/>
        <v>Light</v>
      </c>
      <c r="P653" t="str">
        <f>_xlfn.XLOOKUP(worksheet[[#This Row],[Customer ID]],customers!$A$1:$A$1001,customers!$I$1:$I$1001,0)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
        <v>4177</v>
      </c>
      <c r="H654" s="2" t="str">
        <f>_xlfn.XLOOKUP(C654,customers!$A$1:$A$1001,customers!$G$1:$G$1001,0)</f>
        <v>Ireland</v>
      </c>
      <c r="I654" t="str">
        <f>_xlfn.XLOOKUP(D654,products!$A$1:$A$49,products!$B$1:$B$49,0)</f>
        <v>Lib</v>
      </c>
      <c r="J654" t="str">
        <f>_xlfn.XLOOKUP(worksheet!D654,products!$A$1:$A$49,products!$C$1:$C$49,0)</f>
        <v>L</v>
      </c>
      <c r="K654" s="5">
        <f>_xlfn.XLOOKUP(worksheet!D654,products!$A$1:$A$49,products!$D$1:$D$49,0)</f>
        <v>1</v>
      </c>
      <c r="L654" s="6">
        <f>_xlfn.XLOOKUP(worksheet!D654,products!$A$1:$A$49,products!$E$1:$E$49,0)</f>
        <v>15.85</v>
      </c>
      <c r="M654" s="6">
        <f>worksheet!E654*worksheet!L654</f>
        <v>63.4</v>
      </c>
      <c r="N654" t="str">
        <f t="shared" si="20"/>
        <v>Liberica</v>
      </c>
      <c r="O654" t="str">
        <f t="shared" si="21"/>
        <v>Light</v>
      </c>
      <c r="P654" t="str">
        <f>_xlfn.XLOOKUP(worksheet[[#This Row],[Customer ID]],customers!$A$1:$A$1001,customers!$I$1:$I$1001,0)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
        <v>4182</v>
      </c>
      <c r="H655" s="2" t="str">
        <f>_xlfn.XLOOKUP(C655,customers!$A$1:$A$1001,customers!$G$1:$G$1001,0)</f>
        <v>United States</v>
      </c>
      <c r="I655" t="str">
        <f>_xlfn.XLOOKUP(D655,products!$A$1:$A$49,products!$B$1:$B$49,0)</f>
        <v>Ara</v>
      </c>
      <c r="J655" t="str">
        <f>_xlfn.XLOOKUP(worksheet!D655,products!$A$1:$A$49,products!$C$1:$C$49,0)</f>
        <v>M</v>
      </c>
      <c r="K655" s="5">
        <f>_xlfn.XLOOKUP(worksheet!D655,products!$A$1:$A$49,products!$D$1:$D$49,0)</f>
        <v>2.5</v>
      </c>
      <c r="L655" s="6">
        <f>_xlfn.XLOOKUP(worksheet!D655,products!$A$1:$A$49,products!$E$1:$E$49,0)</f>
        <v>25.874999999999996</v>
      </c>
      <c r="M655" s="6">
        <f>worksheet!E655*worksheet!L655</f>
        <v>103.49999999999999</v>
      </c>
      <c r="N655" t="str">
        <f t="shared" si="20"/>
        <v>Arabica</v>
      </c>
      <c r="O655" t="str">
        <f t="shared" si="21"/>
        <v>Medium</v>
      </c>
      <c r="P655" t="str">
        <f>_xlfn.XLOOKUP(worksheet[[#This Row],[Customer ID]],customers!$A$1:$A$1001,customers!$I$1:$I$1001,0)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
        <v>4188</v>
      </c>
      <c r="H656" s="2" t="str">
        <f>_xlfn.XLOOKUP(C656,customers!$A$1:$A$1001,customers!$G$1:$G$1001,0)</f>
        <v>United States</v>
      </c>
      <c r="I656" t="str">
        <f>_xlfn.XLOOKUP(D656,products!$A$1:$A$49,products!$B$1:$B$49,0)</f>
        <v>Ara</v>
      </c>
      <c r="J656" t="str">
        <f>_xlfn.XLOOKUP(worksheet!D656,products!$A$1:$A$49,products!$C$1:$C$49,0)</f>
        <v>D</v>
      </c>
      <c r="K656" s="5">
        <f>_xlfn.XLOOKUP(worksheet!D656,products!$A$1:$A$49,products!$D$1:$D$49,0)</f>
        <v>2.5</v>
      </c>
      <c r="L656" s="6">
        <f>_xlfn.XLOOKUP(worksheet!D656,products!$A$1:$A$49,products!$E$1:$E$49,0)</f>
        <v>22.884999999999998</v>
      </c>
      <c r="M656" s="6">
        <f>worksheet!E656*worksheet!L656</f>
        <v>68.655000000000001</v>
      </c>
      <c r="N656" t="str">
        <f t="shared" si="20"/>
        <v>Arabica</v>
      </c>
      <c r="O656" t="str">
        <f t="shared" si="21"/>
        <v>Dark</v>
      </c>
      <c r="P656" t="str">
        <f>_xlfn.XLOOKUP(worksheet[[#This Row],[Customer ID]],customers!$A$1:$A$1001,customers!$I$1:$I$1001,0)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
        <v>4194</v>
      </c>
      <c r="H657" s="2" t="str">
        <f>_xlfn.XLOOKUP(C657,customers!$A$1:$A$1001,customers!$G$1:$G$1001,0)</f>
        <v>United States</v>
      </c>
      <c r="I657" t="str">
        <f>_xlfn.XLOOKUP(D657,products!$A$1:$A$49,products!$B$1:$B$49,0)</f>
        <v>Rob</v>
      </c>
      <c r="J657" t="str">
        <f>_xlfn.XLOOKUP(worksheet!D657,products!$A$1:$A$49,products!$C$1:$C$49,0)</f>
        <v>M</v>
      </c>
      <c r="K657" s="5">
        <f>_xlfn.XLOOKUP(worksheet!D657,products!$A$1:$A$49,products!$D$1:$D$49,0)</f>
        <v>2.5</v>
      </c>
      <c r="L657" s="6">
        <f>_xlfn.XLOOKUP(worksheet!D657,products!$A$1:$A$49,products!$E$1:$E$49,0)</f>
        <v>22.884999999999998</v>
      </c>
      <c r="M657" s="6">
        <f>worksheet!E657*worksheet!L657</f>
        <v>45.769999999999996</v>
      </c>
      <c r="N657" t="str">
        <f t="shared" si="20"/>
        <v>Robusta</v>
      </c>
      <c r="O657" t="str">
        <f t="shared" si="21"/>
        <v>Medium</v>
      </c>
      <c r="P657" t="str">
        <f>_xlfn.XLOOKUP(worksheet[[#This Row],[Customer ID]],customers!$A$1:$A$1001,customers!$I$1:$I$1001,0)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
        <v>4199</v>
      </c>
      <c r="H658" s="2" t="str">
        <f>_xlfn.XLOOKUP(C658,customers!$A$1:$A$1001,customers!$G$1:$G$1001,0)</f>
        <v>United States</v>
      </c>
      <c r="I658" t="str">
        <f>_xlfn.XLOOKUP(D658,products!$A$1:$A$49,products!$B$1:$B$49,0)</f>
        <v>Lib</v>
      </c>
      <c r="J658" t="str">
        <f>_xlfn.XLOOKUP(worksheet!D658,products!$A$1:$A$49,products!$C$1:$C$49,0)</f>
        <v>D</v>
      </c>
      <c r="K658" s="5">
        <f>_xlfn.XLOOKUP(worksheet!D658,products!$A$1:$A$49,products!$D$1:$D$49,0)</f>
        <v>1</v>
      </c>
      <c r="L658" s="6">
        <f>_xlfn.XLOOKUP(worksheet!D658,products!$A$1:$A$49,products!$E$1:$E$49,0)</f>
        <v>12.95</v>
      </c>
      <c r="M658" s="6">
        <f>worksheet!E658*worksheet!L658</f>
        <v>51.8</v>
      </c>
      <c r="N658" t="str">
        <f t="shared" si="20"/>
        <v>Liberica</v>
      </c>
      <c r="O658" t="str">
        <f t="shared" si="21"/>
        <v>Dark</v>
      </c>
      <c r="P658" t="str">
        <f>_xlfn.XLOOKUP(worksheet[[#This Row],[Customer ID]],customers!$A$1:$A$1001,customers!$I$1:$I$1001,0)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
        <v>4204</v>
      </c>
      <c r="H659" s="2" t="str">
        <f>_xlfn.XLOOKUP(C659,customers!$A$1:$A$1001,customers!$G$1:$G$1001,0)</f>
        <v>United States</v>
      </c>
      <c r="I659" t="str">
        <f>_xlfn.XLOOKUP(D659,products!$A$1:$A$49,products!$B$1:$B$49,0)</f>
        <v>Ara</v>
      </c>
      <c r="J659" t="str">
        <f>_xlfn.XLOOKUP(worksheet!D659,products!$A$1:$A$49,products!$C$1:$C$49,0)</f>
        <v>M</v>
      </c>
      <c r="K659" s="5">
        <f>_xlfn.XLOOKUP(worksheet!D659,products!$A$1:$A$49,products!$D$1:$D$49,0)</f>
        <v>0.5</v>
      </c>
      <c r="L659" s="6">
        <f>_xlfn.XLOOKUP(worksheet!D659,products!$A$1:$A$49,products!$E$1:$E$49,0)</f>
        <v>6.75</v>
      </c>
      <c r="M659" s="6">
        <f>worksheet!E659*worksheet!L659</f>
        <v>13.5</v>
      </c>
      <c r="N659" t="str">
        <f t="shared" si="20"/>
        <v>Arabica</v>
      </c>
      <c r="O659" t="str">
        <f t="shared" si="21"/>
        <v>Medium</v>
      </c>
      <c r="P659" t="str">
        <f>_xlfn.XLOOKUP(worksheet[[#This Row],[Customer ID]],customers!$A$1:$A$1001,customers!$I$1:$I$1001,0)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
        <v>4265</v>
      </c>
      <c r="H660" s="2" t="str">
        <f>_xlfn.XLOOKUP(C660,customers!$A$1:$A$1001,customers!$G$1:$G$1001,0)</f>
        <v>United States</v>
      </c>
      <c r="I660" t="str">
        <f>_xlfn.XLOOKUP(D660,products!$A$1:$A$49,products!$B$1:$B$49,0)</f>
        <v>Exc</v>
      </c>
      <c r="J660" t="str">
        <f>_xlfn.XLOOKUP(worksheet!D660,products!$A$1:$A$49,products!$C$1:$C$49,0)</f>
        <v>M</v>
      </c>
      <c r="K660" s="5">
        <f>_xlfn.XLOOKUP(worksheet!D660,products!$A$1:$A$49,products!$D$1:$D$49,0)</f>
        <v>0.5</v>
      </c>
      <c r="L660" s="6">
        <f>_xlfn.XLOOKUP(worksheet!D660,products!$A$1:$A$49,products!$E$1:$E$49,0)</f>
        <v>8.25</v>
      </c>
      <c r="M660" s="6">
        <f>worksheet!E660*worksheet!L660</f>
        <v>24.75</v>
      </c>
      <c r="N660" t="str">
        <f t="shared" si="20"/>
        <v>Excelsa</v>
      </c>
      <c r="O660" t="str">
        <f t="shared" si="21"/>
        <v>Medium</v>
      </c>
      <c r="P660" t="str">
        <f>_xlfn.XLOOKUP(worksheet[[#This Row],[Customer ID]],customers!$A$1:$A$1001,customers!$I$1:$I$1001,0)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
        <v>4214</v>
      </c>
      <c r="H661" s="2" t="str">
        <f>_xlfn.XLOOKUP(C661,customers!$A$1:$A$1001,customers!$G$1:$G$1001,0)</f>
        <v>Ireland</v>
      </c>
      <c r="I661" t="str">
        <f>_xlfn.XLOOKUP(D661,products!$A$1:$A$49,products!$B$1:$B$49,0)</f>
        <v>Ara</v>
      </c>
      <c r="J661" t="str">
        <f>_xlfn.XLOOKUP(worksheet!D661,products!$A$1:$A$49,products!$C$1:$C$49,0)</f>
        <v>D</v>
      </c>
      <c r="K661" s="5">
        <f>_xlfn.XLOOKUP(worksheet!D661,products!$A$1:$A$49,products!$D$1:$D$49,0)</f>
        <v>2.5</v>
      </c>
      <c r="L661" s="6">
        <f>_xlfn.XLOOKUP(worksheet!D661,products!$A$1:$A$49,products!$E$1:$E$49,0)</f>
        <v>22.884999999999998</v>
      </c>
      <c r="M661" s="6">
        <f>worksheet!E661*worksheet!L661</f>
        <v>45.769999999999996</v>
      </c>
      <c r="N661" t="str">
        <f t="shared" si="20"/>
        <v>Arabica</v>
      </c>
      <c r="O661" t="str">
        <f t="shared" si="21"/>
        <v>Dark</v>
      </c>
      <c r="P661" t="str">
        <f>_xlfn.XLOOKUP(worksheet[[#This Row],[Customer ID]],customers!$A$1:$A$1001,customers!$I$1:$I$1001,0)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
        <v>4220</v>
      </c>
      <c r="H662" s="2" t="str">
        <f>_xlfn.XLOOKUP(C662,customers!$A$1:$A$1001,customers!$G$1:$G$1001,0)</f>
        <v>United States</v>
      </c>
      <c r="I662" t="str">
        <f>_xlfn.XLOOKUP(D662,products!$A$1:$A$49,products!$B$1:$B$49,0)</f>
        <v>Exc</v>
      </c>
      <c r="J662" t="str">
        <f>_xlfn.XLOOKUP(worksheet!D662,products!$A$1:$A$49,products!$C$1:$C$49,0)</f>
        <v>L</v>
      </c>
      <c r="K662" s="5">
        <f>_xlfn.XLOOKUP(worksheet!D662,products!$A$1:$A$49,products!$D$1:$D$49,0)</f>
        <v>0.5</v>
      </c>
      <c r="L662" s="6">
        <f>_xlfn.XLOOKUP(worksheet!D662,products!$A$1:$A$49,products!$E$1:$E$49,0)</f>
        <v>8.91</v>
      </c>
      <c r="M662" s="6">
        <f>worksheet!E662*worksheet!L662</f>
        <v>53.46</v>
      </c>
      <c r="N662" t="str">
        <f t="shared" si="20"/>
        <v>Excelsa</v>
      </c>
      <c r="O662" t="str">
        <f t="shared" si="21"/>
        <v>Light</v>
      </c>
      <c r="P662" t="str">
        <f>_xlfn.XLOOKUP(worksheet[[#This Row],[Customer ID]],customers!$A$1:$A$1001,customers!$I$1:$I$1001,0)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
        <v>4226</v>
      </c>
      <c r="H663" s="2" t="str">
        <f>_xlfn.XLOOKUP(C663,customers!$A$1:$A$1001,customers!$G$1:$G$1001,0)</f>
        <v>United States</v>
      </c>
      <c r="I663" t="str">
        <f>_xlfn.XLOOKUP(D663,products!$A$1:$A$49,products!$B$1:$B$49,0)</f>
        <v>Ara</v>
      </c>
      <c r="J663" t="str">
        <f>_xlfn.XLOOKUP(worksheet!D663,products!$A$1:$A$49,products!$C$1:$C$49,0)</f>
        <v>M</v>
      </c>
      <c r="K663" s="5">
        <f>_xlfn.XLOOKUP(worksheet!D663,products!$A$1:$A$49,products!$D$1:$D$49,0)</f>
        <v>0.2</v>
      </c>
      <c r="L663" s="6">
        <f>_xlfn.XLOOKUP(worksheet!D663,products!$A$1:$A$49,products!$E$1:$E$49,0)</f>
        <v>3.375</v>
      </c>
      <c r="M663" s="6">
        <f>worksheet!E663*worksheet!L663</f>
        <v>20.25</v>
      </c>
      <c r="N663" t="str">
        <f t="shared" si="20"/>
        <v>Arabica</v>
      </c>
      <c r="O663" t="str">
        <f t="shared" si="21"/>
        <v>Medium</v>
      </c>
      <c r="P663" t="str">
        <f>_xlfn.XLOOKUP(worksheet[[#This Row],[Customer ID]],customers!$A$1:$A$1001,customers!$I$1:$I$1001,0)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
        <v>4232</v>
      </c>
      <c r="H664" s="2" t="str">
        <f>_xlfn.XLOOKUP(C664,customers!$A$1:$A$1001,customers!$G$1:$G$1001,0)</f>
        <v>United States</v>
      </c>
      <c r="I664" t="str">
        <f>_xlfn.XLOOKUP(D664,products!$A$1:$A$49,products!$B$1:$B$49,0)</f>
        <v>Lib</v>
      </c>
      <c r="J664" t="str">
        <f>_xlfn.XLOOKUP(worksheet!D664,products!$A$1:$A$49,products!$C$1:$C$49,0)</f>
        <v>D</v>
      </c>
      <c r="K664" s="5">
        <f>_xlfn.XLOOKUP(worksheet!D664,products!$A$1:$A$49,products!$D$1:$D$49,0)</f>
        <v>2.5</v>
      </c>
      <c r="L664" s="6">
        <f>_xlfn.XLOOKUP(worksheet!D664,products!$A$1:$A$49,products!$E$1:$E$49,0)</f>
        <v>29.784999999999997</v>
      </c>
      <c r="M664" s="6">
        <f>worksheet!E664*worksheet!L664</f>
        <v>148.92499999999998</v>
      </c>
      <c r="N664" t="str">
        <f t="shared" si="20"/>
        <v>Liberica</v>
      </c>
      <c r="O664" t="str">
        <f t="shared" si="21"/>
        <v>Dark</v>
      </c>
      <c r="P664" t="str">
        <f>_xlfn.XLOOKUP(worksheet[[#This Row],[Customer ID]],customers!$A$1:$A$1001,customers!$I$1:$I$1001,0)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
        <v>4237</v>
      </c>
      <c r="H665" s="2" t="str">
        <f>_xlfn.XLOOKUP(C665,customers!$A$1:$A$1001,customers!$G$1:$G$1001,0)</f>
        <v>United States</v>
      </c>
      <c r="I665" t="str">
        <f>_xlfn.XLOOKUP(D665,products!$A$1:$A$49,products!$B$1:$B$49,0)</f>
        <v>Ara</v>
      </c>
      <c r="J665" t="str">
        <f>_xlfn.XLOOKUP(worksheet!D665,products!$A$1:$A$49,products!$C$1:$C$49,0)</f>
        <v>M</v>
      </c>
      <c r="K665" s="5">
        <f>_xlfn.XLOOKUP(worksheet!D665,products!$A$1:$A$49,products!$D$1:$D$49,0)</f>
        <v>1</v>
      </c>
      <c r="L665" s="6">
        <f>_xlfn.XLOOKUP(worksheet!D665,products!$A$1:$A$49,products!$E$1:$E$49,0)</f>
        <v>11.25</v>
      </c>
      <c r="M665" s="6">
        <f>worksheet!E665*worksheet!L665</f>
        <v>67.5</v>
      </c>
      <c r="N665" t="str">
        <f t="shared" si="20"/>
        <v>Arabica</v>
      </c>
      <c r="O665" t="str">
        <f t="shared" si="21"/>
        <v>Medium</v>
      </c>
      <c r="P665" t="str">
        <f>_xlfn.XLOOKUP(worksheet[[#This Row],[Customer ID]],customers!$A$1:$A$1001,customers!$I$1:$I$1001,0)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
        <v>4242</v>
      </c>
      <c r="H666" s="2" t="str">
        <f>_xlfn.XLOOKUP(C666,customers!$A$1:$A$1001,customers!$G$1:$G$1001,0)</f>
        <v>United States</v>
      </c>
      <c r="I666" t="str">
        <f>_xlfn.XLOOKUP(D666,products!$A$1:$A$49,products!$B$1:$B$49,0)</f>
        <v>Exc</v>
      </c>
      <c r="J666" t="str">
        <f>_xlfn.XLOOKUP(worksheet!D666,products!$A$1:$A$49,products!$C$1:$C$49,0)</f>
        <v>D</v>
      </c>
      <c r="K666" s="5">
        <f>_xlfn.XLOOKUP(worksheet!D666,products!$A$1:$A$49,products!$D$1:$D$49,0)</f>
        <v>1</v>
      </c>
      <c r="L666" s="6">
        <f>_xlfn.XLOOKUP(worksheet!D666,products!$A$1:$A$49,products!$E$1:$E$49,0)</f>
        <v>12.15</v>
      </c>
      <c r="M666" s="6">
        <f>worksheet!E666*worksheet!L666</f>
        <v>72.900000000000006</v>
      </c>
      <c r="N666" t="str">
        <f t="shared" si="20"/>
        <v>Excelsa</v>
      </c>
      <c r="O666" t="str">
        <f t="shared" si="21"/>
        <v>Dark</v>
      </c>
      <c r="P666" t="str">
        <f>_xlfn.XLOOKUP(worksheet[[#This Row],[Customer ID]],customers!$A$1:$A$1001,customers!$I$1:$I$1001,0)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
        <v>4242</v>
      </c>
      <c r="H667" s="2" t="str">
        <f>_xlfn.XLOOKUP(C667,customers!$A$1:$A$1001,customers!$G$1:$G$1001,0)</f>
        <v>United States</v>
      </c>
      <c r="I667" t="str">
        <f>_xlfn.XLOOKUP(D667,products!$A$1:$A$49,products!$B$1:$B$49,0)</f>
        <v>Lib</v>
      </c>
      <c r="J667" t="str">
        <f>_xlfn.XLOOKUP(worksheet!D667,products!$A$1:$A$49,products!$C$1:$C$49,0)</f>
        <v>D</v>
      </c>
      <c r="K667" s="5">
        <f>_xlfn.XLOOKUP(worksheet!D667,products!$A$1:$A$49,products!$D$1:$D$49,0)</f>
        <v>0.2</v>
      </c>
      <c r="L667" s="6">
        <f>_xlfn.XLOOKUP(worksheet!D667,products!$A$1:$A$49,products!$E$1:$E$49,0)</f>
        <v>3.8849999999999998</v>
      </c>
      <c r="M667" s="6">
        <f>worksheet!E667*worksheet!L667</f>
        <v>7.77</v>
      </c>
      <c r="N667" t="str">
        <f t="shared" si="20"/>
        <v>Liberica</v>
      </c>
      <c r="O667" t="str">
        <f t="shared" si="21"/>
        <v>Dark</v>
      </c>
      <c r="P667" t="str">
        <f>_xlfn.XLOOKUP(worksheet[[#This Row],[Customer ID]],customers!$A$1:$A$1001,customers!$I$1:$I$1001,0)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
        <v>4253</v>
      </c>
      <c r="H668" s="2" t="str">
        <f>_xlfn.XLOOKUP(C668,customers!$A$1:$A$1001,customers!$G$1:$G$1001,0)</f>
        <v>United States</v>
      </c>
      <c r="I668" t="str">
        <f>_xlfn.XLOOKUP(D668,products!$A$1:$A$49,products!$B$1:$B$49,0)</f>
        <v>Ara</v>
      </c>
      <c r="J668" t="str">
        <f>_xlfn.XLOOKUP(worksheet!D668,products!$A$1:$A$49,products!$C$1:$C$49,0)</f>
        <v>D</v>
      </c>
      <c r="K668" s="5">
        <f>_xlfn.XLOOKUP(worksheet!D668,products!$A$1:$A$49,products!$D$1:$D$49,0)</f>
        <v>2.5</v>
      </c>
      <c r="L668" s="6">
        <f>_xlfn.XLOOKUP(worksheet!D668,products!$A$1:$A$49,products!$E$1:$E$49,0)</f>
        <v>22.884999999999998</v>
      </c>
      <c r="M668" s="6">
        <f>worksheet!E668*worksheet!L668</f>
        <v>91.539999999999992</v>
      </c>
      <c r="N668" t="str">
        <f t="shared" si="20"/>
        <v>Arabica</v>
      </c>
      <c r="O668" t="str">
        <f t="shared" si="21"/>
        <v>Dark</v>
      </c>
      <c r="P668" t="str">
        <f>_xlfn.XLOOKUP(worksheet[[#This Row],[Customer ID]],customers!$A$1:$A$1001,customers!$I$1:$I$1001,0)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
        <v>4259</v>
      </c>
      <c r="H669" s="2" t="str">
        <f>_xlfn.XLOOKUP(C669,customers!$A$1:$A$1001,customers!$G$1:$G$1001,0)</f>
        <v>Ireland</v>
      </c>
      <c r="I669" t="str">
        <f>_xlfn.XLOOKUP(D669,products!$A$1:$A$49,products!$B$1:$B$49,0)</f>
        <v>Ara</v>
      </c>
      <c r="J669" t="str">
        <f>_xlfn.XLOOKUP(worksheet!D669,products!$A$1:$A$49,products!$C$1:$C$49,0)</f>
        <v>D</v>
      </c>
      <c r="K669" s="5">
        <f>_xlfn.XLOOKUP(worksheet!D669,products!$A$1:$A$49,products!$D$1:$D$49,0)</f>
        <v>1</v>
      </c>
      <c r="L669" s="6">
        <f>_xlfn.XLOOKUP(worksheet!D669,products!$A$1:$A$49,products!$E$1:$E$49,0)</f>
        <v>9.9499999999999993</v>
      </c>
      <c r="M669" s="6">
        <f>worksheet!E669*worksheet!L669</f>
        <v>59.699999999999996</v>
      </c>
      <c r="N669" t="str">
        <f t="shared" si="20"/>
        <v>Arabica</v>
      </c>
      <c r="O669" t="str">
        <f t="shared" si="21"/>
        <v>Dark</v>
      </c>
      <c r="P669" t="str">
        <f>_xlfn.XLOOKUP(worksheet[[#This Row],[Customer ID]],customers!$A$1:$A$1001,customers!$I$1:$I$1001,0)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
        <v>4265</v>
      </c>
      <c r="H670" s="2" t="str">
        <f>_xlfn.XLOOKUP(C670,customers!$A$1:$A$1001,customers!$G$1:$G$1001,0)</f>
        <v>United States</v>
      </c>
      <c r="I670" t="str">
        <f>_xlfn.XLOOKUP(D670,products!$A$1:$A$49,products!$B$1:$B$49,0)</f>
        <v>Rob</v>
      </c>
      <c r="J670" t="str">
        <f>_xlfn.XLOOKUP(worksheet!D670,products!$A$1:$A$49,products!$C$1:$C$49,0)</f>
        <v>L</v>
      </c>
      <c r="K670" s="5">
        <f>_xlfn.XLOOKUP(worksheet!D670,products!$A$1:$A$49,products!$D$1:$D$49,0)</f>
        <v>2.5</v>
      </c>
      <c r="L670" s="6">
        <f>_xlfn.XLOOKUP(worksheet!D670,products!$A$1:$A$49,products!$E$1:$E$49,0)</f>
        <v>27.484999999999996</v>
      </c>
      <c r="M670" s="6">
        <f>worksheet!E670*worksheet!L670</f>
        <v>137.42499999999998</v>
      </c>
      <c r="N670" t="str">
        <f t="shared" si="20"/>
        <v>Robusta</v>
      </c>
      <c r="O670" t="str">
        <f t="shared" si="21"/>
        <v>Light</v>
      </c>
      <c r="P670" t="str">
        <f>_xlfn.XLOOKUP(worksheet[[#This Row],[Customer ID]],customers!$A$1:$A$1001,customers!$I$1:$I$1001,0)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
        <v>4271</v>
      </c>
      <c r="H671" s="2" t="str">
        <f>_xlfn.XLOOKUP(C671,customers!$A$1:$A$1001,customers!$G$1:$G$1001,0)</f>
        <v>United States</v>
      </c>
      <c r="I671" t="str">
        <f>_xlfn.XLOOKUP(D671,products!$A$1:$A$49,products!$B$1:$B$49,0)</f>
        <v>Lib</v>
      </c>
      <c r="J671" t="str">
        <f>_xlfn.XLOOKUP(worksheet!D671,products!$A$1:$A$49,products!$C$1:$C$49,0)</f>
        <v>M</v>
      </c>
      <c r="K671" s="5">
        <f>_xlfn.XLOOKUP(worksheet!D671,products!$A$1:$A$49,products!$D$1:$D$49,0)</f>
        <v>2.5</v>
      </c>
      <c r="L671" s="6">
        <f>_xlfn.XLOOKUP(worksheet!D671,products!$A$1:$A$49,products!$E$1:$E$49,0)</f>
        <v>33.464999999999996</v>
      </c>
      <c r="M671" s="6">
        <f>worksheet!E671*worksheet!L671</f>
        <v>66.929999999999993</v>
      </c>
      <c r="N671" t="str">
        <f t="shared" si="20"/>
        <v>Liberica</v>
      </c>
      <c r="O671" t="str">
        <f t="shared" si="21"/>
        <v>Medium</v>
      </c>
      <c r="P671" t="str">
        <f>_xlfn.XLOOKUP(worksheet[[#This Row],[Customer ID]],customers!$A$1:$A$1001,customers!$I$1:$I$1001,0)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
        <v>4277</v>
      </c>
      <c r="H672" s="2" t="str">
        <f>_xlfn.XLOOKUP(C672,customers!$A$1:$A$1001,customers!$G$1:$G$1001,0)</f>
        <v>United States</v>
      </c>
      <c r="I672" t="str">
        <f>_xlfn.XLOOKUP(D672,products!$A$1:$A$49,products!$B$1:$B$49,0)</f>
        <v>Lib</v>
      </c>
      <c r="J672" t="str">
        <f>_xlfn.XLOOKUP(worksheet!D672,products!$A$1:$A$49,products!$C$1:$C$49,0)</f>
        <v>M</v>
      </c>
      <c r="K672" s="5">
        <f>_xlfn.XLOOKUP(worksheet!D672,products!$A$1:$A$49,products!$D$1:$D$49,0)</f>
        <v>0.2</v>
      </c>
      <c r="L672" s="6">
        <f>_xlfn.XLOOKUP(worksheet!D672,products!$A$1:$A$49,products!$E$1:$E$49,0)</f>
        <v>4.3650000000000002</v>
      </c>
      <c r="M672" s="6">
        <f>worksheet!E672*worksheet!L672</f>
        <v>13.095000000000001</v>
      </c>
      <c r="N672" t="str">
        <f t="shared" si="20"/>
        <v>Liberica</v>
      </c>
      <c r="O672" t="str">
        <f t="shared" si="21"/>
        <v>Medium</v>
      </c>
      <c r="P672" t="str">
        <f>_xlfn.XLOOKUP(worksheet[[#This Row],[Customer ID]],customers!$A$1:$A$1001,customers!$I$1:$I$1001,0)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
        <v>4283</v>
      </c>
      <c r="H673" s="2" t="str">
        <f>_xlfn.XLOOKUP(C673,customers!$A$1:$A$1001,customers!$G$1:$G$1001,0)</f>
        <v>United States</v>
      </c>
      <c r="I673" t="str">
        <f>_xlfn.XLOOKUP(D673,products!$A$1:$A$49,products!$B$1:$B$49,0)</f>
        <v>Rob</v>
      </c>
      <c r="J673" t="str">
        <f>_xlfn.XLOOKUP(worksheet!D673,products!$A$1:$A$49,products!$C$1:$C$49,0)</f>
        <v>L</v>
      </c>
      <c r="K673" s="5">
        <f>_xlfn.XLOOKUP(worksheet!D673,products!$A$1:$A$49,products!$D$1:$D$49,0)</f>
        <v>1</v>
      </c>
      <c r="L673" s="6">
        <f>_xlfn.XLOOKUP(worksheet!D673,products!$A$1:$A$49,products!$E$1:$E$49,0)</f>
        <v>11.95</v>
      </c>
      <c r="M673" s="6">
        <f>worksheet!E673*worksheet!L673</f>
        <v>59.75</v>
      </c>
      <c r="N673" t="str">
        <f t="shared" si="20"/>
        <v>Robusta</v>
      </c>
      <c r="O673" t="str">
        <f t="shared" si="21"/>
        <v>Light</v>
      </c>
      <c r="P673" t="str">
        <f>_xlfn.XLOOKUP(worksheet[[#This Row],[Customer ID]],customers!$A$1:$A$1001,customers!$I$1:$I$1001,0)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
        <v>4289</v>
      </c>
      <c r="H674" s="2" t="str">
        <f>_xlfn.XLOOKUP(C674,customers!$A$1:$A$1001,customers!$G$1:$G$1001,0)</f>
        <v>United States</v>
      </c>
      <c r="I674" t="str">
        <f>_xlfn.XLOOKUP(D674,products!$A$1:$A$49,products!$B$1:$B$49,0)</f>
        <v>Lib</v>
      </c>
      <c r="J674" t="str">
        <f>_xlfn.XLOOKUP(worksheet!D674,products!$A$1:$A$49,products!$C$1:$C$49,0)</f>
        <v>M</v>
      </c>
      <c r="K674" s="5">
        <f>_xlfn.XLOOKUP(worksheet!D674,products!$A$1:$A$49,products!$D$1:$D$49,0)</f>
        <v>0.5</v>
      </c>
      <c r="L674" s="6">
        <f>_xlfn.XLOOKUP(worksheet!D674,products!$A$1:$A$49,products!$E$1:$E$49,0)</f>
        <v>8.73</v>
      </c>
      <c r="M674" s="6">
        <f>worksheet!E674*worksheet!L674</f>
        <v>43.650000000000006</v>
      </c>
      <c r="N674" t="str">
        <f t="shared" si="20"/>
        <v>Liberica</v>
      </c>
      <c r="O674" t="str">
        <f t="shared" si="21"/>
        <v>Medium</v>
      </c>
      <c r="P674" t="str">
        <f>_xlfn.XLOOKUP(worksheet[[#This Row],[Customer ID]],customers!$A$1:$A$1001,customers!$I$1:$I$1001,0)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
        <v>4294</v>
      </c>
      <c r="H675" s="2" t="str">
        <f>_xlfn.XLOOKUP(C675,customers!$A$1:$A$1001,customers!$G$1:$G$1001,0)</f>
        <v>United States</v>
      </c>
      <c r="I675" t="str">
        <f>_xlfn.XLOOKUP(D675,products!$A$1:$A$49,products!$B$1:$B$49,0)</f>
        <v>Exc</v>
      </c>
      <c r="J675" t="str">
        <f>_xlfn.XLOOKUP(worksheet!D675,products!$A$1:$A$49,products!$C$1:$C$49,0)</f>
        <v>M</v>
      </c>
      <c r="K675" s="5">
        <f>_xlfn.XLOOKUP(worksheet!D675,products!$A$1:$A$49,products!$D$1:$D$49,0)</f>
        <v>1</v>
      </c>
      <c r="L675" s="6">
        <f>_xlfn.XLOOKUP(worksheet!D675,products!$A$1:$A$49,products!$E$1:$E$49,0)</f>
        <v>13.75</v>
      </c>
      <c r="M675" s="6">
        <f>worksheet!E675*worksheet!L675</f>
        <v>82.5</v>
      </c>
      <c r="N675" t="str">
        <f t="shared" si="20"/>
        <v>Excelsa</v>
      </c>
      <c r="O675" t="str">
        <f t="shared" si="21"/>
        <v>Medium</v>
      </c>
      <c r="P675" t="str">
        <f>_xlfn.XLOOKUP(worksheet[[#This Row],[Customer ID]],customers!$A$1:$A$1001,customers!$I$1:$I$1001,0)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
        <v>4300</v>
      </c>
      <c r="H676" s="2" t="str">
        <f>_xlfn.XLOOKUP(C676,customers!$A$1:$A$1001,customers!$G$1:$G$1001,0)</f>
        <v>United States</v>
      </c>
      <c r="I676" t="str">
        <f>_xlfn.XLOOKUP(D676,products!$A$1:$A$49,products!$B$1:$B$49,0)</f>
        <v>Ara</v>
      </c>
      <c r="J676" t="str">
        <f>_xlfn.XLOOKUP(worksheet!D676,products!$A$1:$A$49,products!$C$1:$C$49,0)</f>
        <v>L</v>
      </c>
      <c r="K676" s="5">
        <f>_xlfn.XLOOKUP(worksheet!D676,products!$A$1:$A$49,products!$D$1:$D$49,0)</f>
        <v>2.5</v>
      </c>
      <c r="L676" s="6">
        <f>_xlfn.XLOOKUP(worksheet!D676,products!$A$1:$A$49,products!$E$1:$E$49,0)</f>
        <v>29.784999999999997</v>
      </c>
      <c r="M676" s="6">
        <f>worksheet!E676*worksheet!L676</f>
        <v>178.70999999999998</v>
      </c>
      <c r="N676" t="str">
        <f t="shared" si="20"/>
        <v>Arabica</v>
      </c>
      <c r="O676" t="str">
        <f t="shared" si="21"/>
        <v>Light</v>
      </c>
      <c r="P676" t="str">
        <f>_xlfn.XLOOKUP(worksheet[[#This Row],[Customer ID]],customers!$A$1:$A$1001,customers!$I$1:$I$1001,0)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
        <v>6222</v>
      </c>
      <c r="H677" s="2" t="str">
        <f>_xlfn.XLOOKUP(C677,customers!$A$1:$A$1001,customers!$G$1:$G$1001,0)</f>
        <v>United States</v>
      </c>
      <c r="I677" t="str">
        <f>_xlfn.XLOOKUP(D677,products!$A$1:$A$49,products!$B$1:$B$49,0)</f>
        <v>Lib</v>
      </c>
      <c r="J677" t="str">
        <f>_xlfn.XLOOKUP(worksheet!D677,products!$A$1:$A$49,products!$C$1:$C$49,0)</f>
        <v>D</v>
      </c>
      <c r="K677" s="5">
        <f>_xlfn.XLOOKUP(worksheet!D677,products!$A$1:$A$49,products!$D$1:$D$49,0)</f>
        <v>2.5</v>
      </c>
      <c r="L677" s="6">
        <f>_xlfn.XLOOKUP(worksheet!D677,products!$A$1:$A$49,products!$E$1:$E$49,0)</f>
        <v>29.784999999999997</v>
      </c>
      <c r="M677" s="6">
        <f>worksheet!E677*worksheet!L677</f>
        <v>119.13999999999999</v>
      </c>
      <c r="N677" t="str">
        <f t="shared" si="20"/>
        <v>Liberica</v>
      </c>
      <c r="O677" t="str">
        <f t="shared" si="21"/>
        <v>Dark</v>
      </c>
      <c r="P677" t="str">
        <f>_xlfn.XLOOKUP(worksheet[[#This Row],[Customer ID]],customers!$A$1:$A$1001,customers!$I$1:$I$1001,0)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
        <v>6222</v>
      </c>
      <c r="H678" s="2" t="str">
        <f>_xlfn.XLOOKUP(C678,customers!$A$1:$A$1001,customers!$G$1:$G$1001,0)</f>
        <v>United States</v>
      </c>
      <c r="I678" t="str">
        <f>_xlfn.XLOOKUP(D678,products!$A$1:$A$49,products!$B$1:$B$49,0)</f>
        <v>Lib</v>
      </c>
      <c r="J678" t="str">
        <f>_xlfn.XLOOKUP(worksheet!D678,products!$A$1:$A$49,products!$C$1:$C$49,0)</f>
        <v>L</v>
      </c>
      <c r="K678" s="5">
        <f>_xlfn.XLOOKUP(worksheet!D678,products!$A$1:$A$49,products!$D$1:$D$49,0)</f>
        <v>0.5</v>
      </c>
      <c r="L678" s="6">
        <f>_xlfn.XLOOKUP(worksheet!D678,products!$A$1:$A$49,products!$E$1:$E$49,0)</f>
        <v>9.51</v>
      </c>
      <c r="M678" s="6">
        <f>worksheet!E678*worksheet!L678</f>
        <v>47.55</v>
      </c>
      <c r="N678" t="str">
        <f t="shared" si="20"/>
        <v>Liberica</v>
      </c>
      <c r="O678" t="str">
        <f t="shared" si="21"/>
        <v>Light</v>
      </c>
      <c r="P678" t="str">
        <f>_xlfn.XLOOKUP(worksheet[[#This Row],[Customer ID]],customers!$A$1:$A$1001,customers!$I$1:$I$1001,0)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
        <v>4316</v>
      </c>
      <c r="H679" s="2" t="str">
        <f>_xlfn.XLOOKUP(C679,customers!$A$1:$A$1001,customers!$G$1:$G$1001,0)</f>
        <v>Ireland</v>
      </c>
      <c r="I679" t="str">
        <f>_xlfn.XLOOKUP(D679,products!$A$1:$A$49,products!$B$1:$B$49,0)</f>
        <v>Lib</v>
      </c>
      <c r="J679" t="str">
        <f>_xlfn.XLOOKUP(worksheet!D679,products!$A$1:$A$49,products!$C$1:$C$49,0)</f>
        <v>M</v>
      </c>
      <c r="K679" s="5">
        <f>_xlfn.XLOOKUP(worksheet!D679,products!$A$1:$A$49,products!$D$1:$D$49,0)</f>
        <v>0.5</v>
      </c>
      <c r="L679" s="6">
        <f>_xlfn.XLOOKUP(worksheet!D679,products!$A$1:$A$49,products!$E$1:$E$49,0)</f>
        <v>8.73</v>
      </c>
      <c r="M679" s="6">
        <f>worksheet!E679*worksheet!L679</f>
        <v>43.650000000000006</v>
      </c>
      <c r="N679" t="str">
        <f t="shared" si="20"/>
        <v>Liberica</v>
      </c>
      <c r="O679" t="str">
        <f t="shared" si="21"/>
        <v>Medium</v>
      </c>
      <c r="P679" t="str">
        <f>_xlfn.XLOOKUP(worksheet[[#This Row],[Customer ID]],customers!$A$1:$A$1001,customers!$I$1:$I$1001,0)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
        <v>4322</v>
      </c>
      <c r="H680" s="2" t="str">
        <f>_xlfn.XLOOKUP(C680,customers!$A$1:$A$1001,customers!$G$1:$G$1001,0)</f>
        <v>United States</v>
      </c>
      <c r="I680" t="str">
        <f>_xlfn.XLOOKUP(D680,products!$A$1:$A$49,products!$B$1:$B$49,0)</f>
        <v>Ara</v>
      </c>
      <c r="J680" t="str">
        <f>_xlfn.XLOOKUP(worksheet!D680,products!$A$1:$A$49,products!$C$1:$C$49,0)</f>
        <v>L</v>
      </c>
      <c r="K680" s="5">
        <f>_xlfn.XLOOKUP(worksheet!D680,products!$A$1:$A$49,products!$D$1:$D$49,0)</f>
        <v>2.5</v>
      </c>
      <c r="L680" s="6">
        <f>_xlfn.XLOOKUP(worksheet!D680,products!$A$1:$A$49,products!$E$1:$E$49,0)</f>
        <v>29.784999999999997</v>
      </c>
      <c r="M680" s="6">
        <f>worksheet!E680*worksheet!L680</f>
        <v>178.70999999999998</v>
      </c>
      <c r="N680" t="str">
        <f t="shared" si="20"/>
        <v>Arabica</v>
      </c>
      <c r="O680" t="str">
        <f t="shared" si="21"/>
        <v>Light</v>
      </c>
      <c r="P680" t="str">
        <f>_xlfn.XLOOKUP(worksheet[[#This Row],[Customer ID]],customers!$A$1:$A$1001,customers!$I$1:$I$1001,0)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
        <v>4328</v>
      </c>
      <c r="H681" s="2" t="str">
        <f>_xlfn.XLOOKUP(C681,customers!$A$1:$A$1001,customers!$G$1:$G$1001,0)</f>
        <v>United Kingdom</v>
      </c>
      <c r="I681" t="str">
        <f>_xlfn.XLOOKUP(D681,products!$A$1:$A$49,products!$B$1:$B$49,0)</f>
        <v>Rob</v>
      </c>
      <c r="J681" t="str">
        <f>_xlfn.XLOOKUP(worksheet!D681,products!$A$1:$A$49,products!$C$1:$C$49,0)</f>
        <v>L</v>
      </c>
      <c r="K681" s="5">
        <f>_xlfn.XLOOKUP(worksheet!D681,products!$A$1:$A$49,products!$D$1:$D$49,0)</f>
        <v>2.5</v>
      </c>
      <c r="L681" s="6">
        <f>_xlfn.XLOOKUP(worksheet!D681,products!$A$1:$A$49,products!$E$1:$E$49,0)</f>
        <v>27.484999999999996</v>
      </c>
      <c r="M681" s="6">
        <f>worksheet!E681*worksheet!L681</f>
        <v>27.484999999999996</v>
      </c>
      <c r="N681" t="str">
        <f t="shared" si="20"/>
        <v>Robusta</v>
      </c>
      <c r="O681" t="str">
        <f t="shared" si="21"/>
        <v>Light</v>
      </c>
      <c r="P681" t="str">
        <f>_xlfn.XLOOKUP(worksheet[[#This Row],[Customer ID]],customers!$A$1:$A$1001,customers!$I$1:$I$1001,0)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
        <v>4334</v>
      </c>
      <c r="H682" s="2" t="str">
        <f>_xlfn.XLOOKUP(C682,customers!$A$1:$A$1001,customers!$G$1:$G$1001,0)</f>
        <v>United States</v>
      </c>
      <c r="I682" t="str">
        <f>_xlfn.XLOOKUP(D682,products!$A$1:$A$49,products!$B$1:$B$49,0)</f>
        <v>Ara</v>
      </c>
      <c r="J682" t="str">
        <f>_xlfn.XLOOKUP(worksheet!D682,products!$A$1:$A$49,products!$C$1:$C$49,0)</f>
        <v>M</v>
      </c>
      <c r="K682" s="5">
        <f>_xlfn.XLOOKUP(worksheet!D682,products!$A$1:$A$49,products!$D$1:$D$49,0)</f>
        <v>1</v>
      </c>
      <c r="L682" s="6">
        <f>_xlfn.XLOOKUP(worksheet!D682,products!$A$1:$A$49,products!$E$1:$E$49,0)</f>
        <v>11.25</v>
      </c>
      <c r="M682" s="6">
        <f>worksheet!E682*worksheet!L682</f>
        <v>56.25</v>
      </c>
      <c r="N682" t="str">
        <f t="shared" si="20"/>
        <v>Arabica</v>
      </c>
      <c r="O682" t="str">
        <f t="shared" si="21"/>
        <v>Medium</v>
      </c>
      <c r="P682" t="str">
        <f>_xlfn.XLOOKUP(worksheet[[#This Row],[Customer ID]],customers!$A$1:$A$1001,customers!$I$1:$I$1001,0)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
        <v>4339</v>
      </c>
      <c r="H683" s="2" t="str">
        <f>_xlfn.XLOOKUP(C683,customers!$A$1:$A$1001,customers!$G$1:$G$1001,0)</f>
        <v>United Kingdom</v>
      </c>
      <c r="I683" t="str">
        <f>_xlfn.XLOOKUP(D683,products!$A$1:$A$49,products!$B$1:$B$49,0)</f>
        <v>Lib</v>
      </c>
      <c r="J683" t="str">
        <f>_xlfn.XLOOKUP(worksheet!D683,products!$A$1:$A$49,products!$C$1:$C$49,0)</f>
        <v>L</v>
      </c>
      <c r="K683" s="5">
        <f>_xlfn.XLOOKUP(worksheet!D683,products!$A$1:$A$49,products!$D$1:$D$49,0)</f>
        <v>0.2</v>
      </c>
      <c r="L683" s="6">
        <f>_xlfn.XLOOKUP(worksheet!D683,products!$A$1:$A$49,products!$E$1:$E$49,0)</f>
        <v>4.7549999999999999</v>
      </c>
      <c r="M683" s="6">
        <f>worksheet!E683*worksheet!L683</f>
        <v>9.51</v>
      </c>
      <c r="N683" t="str">
        <f t="shared" si="20"/>
        <v>Liberica</v>
      </c>
      <c r="O683" t="str">
        <f t="shared" si="21"/>
        <v>Light</v>
      </c>
      <c r="P683" t="str">
        <f>_xlfn.XLOOKUP(worksheet[[#This Row],[Customer ID]],customers!$A$1:$A$1001,customers!$I$1:$I$1001,0)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
        <v>4345</v>
      </c>
      <c r="H684" s="2" t="str">
        <f>_xlfn.XLOOKUP(C684,customers!$A$1:$A$1001,customers!$G$1:$G$1001,0)</f>
        <v>United States</v>
      </c>
      <c r="I684" t="str">
        <f>_xlfn.XLOOKUP(D684,products!$A$1:$A$49,products!$B$1:$B$49,0)</f>
        <v>Exc</v>
      </c>
      <c r="J684" t="str">
        <f>_xlfn.XLOOKUP(worksheet!D684,products!$A$1:$A$49,products!$C$1:$C$49,0)</f>
        <v>M</v>
      </c>
      <c r="K684" s="5">
        <f>_xlfn.XLOOKUP(worksheet!D684,products!$A$1:$A$49,products!$D$1:$D$49,0)</f>
        <v>0.2</v>
      </c>
      <c r="L684" s="6">
        <f>_xlfn.XLOOKUP(worksheet!D684,products!$A$1:$A$49,products!$E$1:$E$49,0)</f>
        <v>4.125</v>
      </c>
      <c r="M684" s="6">
        <f>worksheet!E684*worksheet!L684</f>
        <v>8.25</v>
      </c>
      <c r="N684" t="str">
        <f t="shared" si="20"/>
        <v>Excelsa</v>
      </c>
      <c r="O684" t="str">
        <f t="shared" si="21"/>
        <v>Medium</v>
      </c>
      <c r="P684" t="str">
        <f>_xlfn.XLOOKUP(worksheet[[#This Row],[Customer ID]],customers!$A$1:$A$1001,customers!$I$1:$I$1001,0)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
        <v>4351</v>
      </c>
      <c r="H685" s="2" t="str">
        <f>_xlfn.XLOOKUP(C685,customers!$A$1:$A$1001,customers!$G$1:$G$1001,0)</f>
        <v>United States</v>
      </c>
      <c r="I685" t="str">
        <f>_xlfn.XLOOKUP(D685,products!$A$1:$A$49,products!$B$1:$B$49,0)</f>
        <v>Lib</v>
      </c>
      <c r="J685" t="str">
        <f>_xlfn.XLOOKUP(worksheet!D685,products!$A$1:$A$49,products!$C$1:$C$49,0)</f>
        <v>D</v>
      </c>
      <c r="K685" s="5">
        <f>_xlfn.XLOOKUP(worksheet!D685,products!$A$1:$A$49,products!$D$1:$D$49,0)</f>
        <v>0.5</v>
      </c>
      <c r="L685" s="6">
        <f>_xlfn.XLOOKUP(worksheet!D685,products!$A$1:$A$49,products!$E$1:$E$49,0)</f>
        <v>7.77</v>
      </c>
      <c r="M685" s="6">
        <f>worksheet!E685*worksheet!L685</f>
        <v>46.62</v>
      </c>
      <c r="N685" t="str">
        <f t="shared" si="20"/>
        <v>Liberica</v>
      </c>
      <c r="O685" t="str">
        <f t="shared" si="21"/>
        <v>Dark</v>
      </c>
      <c r="P685" t="str">
        <f>_xlfn.XLOOKUP(worksheet[[#This Row],[Customer ID]],customers!$A$1:$A$1001,customers!$I$1:$I$1001,0)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
        <v>6222</v>
      </c>
      <c r="H686" s="2" t="str">
        <f>_xlfn.XLOOKUP(C686,customers!$A$1:$A$1001,customers!$G$1:$G$1001,0)</f>
        <v>United States</v>
      </c>
      <c r="I686" t="str">
        <f>_xlfn.XLOOKUP(D686,products!$A$1:$A$49,products!$B$1:$B$49,0)</f>
        <v>Rob</v>
      </c>
      <c r="J686" t="str">
        <f>_xlfn.XLOOKUP(worksheet!D686,products!$A$1:$A$49,products!$C$1:$C$49,0)</f>
        <v>L</v>
      </c>
      <c r="K686" s="5">
        <f>_xlfn.XLOOKUP(worksheet!D686,products!$A$1:$A$49,products!$D$1:$D$49,0)</f>
        <v>1</v>
      </c>
      <c r="L686" s="6">
        <f>_xlfn.XLOOKUP(worksheet!D686,products!$A$1:$A$49,products!$E$1:$E$49,0)</f>
        <v>11.95</v>
      </c>
      <c r="M686" s="6">
        <f>worksheet!E686*worksheet!L686</f>
        <v>71.699999999999989</v>
      </c>
      <c r="N686" t="str">
        <f t="shared" si="20"/>
        <v>Robusta</v>
      </c>
      <c r="O686" t="str">
        <f t="shared" si="21"/>
        <v>Light</v>
      </c>
      <c r="P686" t="str">
        <f>_xlfn.XLOOKUP(worksheet[[#This Row],[Customer ID]],customers!$A$1:$A$1001,customers!$I$1:$I$1001,0)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
        <v>4362</v>
      </c>
      <c r="H687" s="2" t="str">
        <f>_xlfn.XLOOKUP(C687,customers!$A$1:$A$1001,customers!$G$1:$G$1001,0)</f>
        <v>United States</v>
      </c>
      <c r="I687" t="str">
        <f>_xlfn.XLOOKUP(D687,products!$A$1:$A$49,products!$B$1:$B$49,0)</f>
        <v>Lib</v>
      </c>
      <c r="J687" t="str">
        <f>_xlfn.XLOOKUP(worksheet!D687,products!$A$1:$A$49,products!$C$1:$C$49,0)</f>
        <v>L</v>
      </c>
      <c r="K687" s="5">
        <f>_xlfn.XLOOKUP(worksheet!D687,products!$A$1:$A$49,products!$D$1:$D$49,0)</f>
        <v>2.5</v>
      </c>
      <c r="L687" s="6">
        <f>_xlfn.XLOOKUP(worksheet!D687,products!$A$1:$A$49,products!$E$1:$E$49,0)</f>
        <v>36.454999999999998</v>
      </c>
      <c r="M687" s="6">
        <f>worksheet!E687*worksheet!L687</f>
        <v>72.91</v>
      </c>
      <c r="N687" t="str">
        <f t="shared" si="20"/>
        <v>Liberica</v>
      </c>
      <c r="O687" t="str">
        <f t="shared" si="21"/>
        <v>Light</v>
      </c>
      <c r="P687" t="str">
        <f>_xlfn.XLOOKUP(worksheet[[#This Row],[Customer ID]],customers!$A$1:$A$1001,customers!$I$1:$I$1001,0)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
        <v>4368</v>
      </c>
      <c r="H688" s="2" t="str">
        <f>_xlfn.XLOOKUP(C688,customers!$A$1:$A$1001,customers!$G$1:$G$1001,0)</f>
        <v>United States</v>
      </c>
      <c r="I688" t="str">
        <f>_xlfn.XLOOKUP(D688,products!$A$1:$A$49,products!$B$1:$B$49,0)</f>
        <v>Rob</v>
      </c>
      <c r="J688" t="str">
        <f>_xlfn.XLOOKUP(worksheet!D688,products!$A$1:$A$49,products!$C$1:$C$49,0)</f>
        <v>D</v>
      </c>
      <c r="K688" s="5">
        <f>_xlfn.XLOOKUP(worksheet!D688,products!$A$1:$A$49,products!$D$1:$D$49,0)</f>
        <v>0.2</v>
      </c>
      <c r="L688" s="6">
        <f>_xlfn.XLOOKUP(worksheet!D688,products!$A$1:$A$49,products!$E$1:$E$49,0)</f>
        <v>2.6849999999999996</v>
      </c>
      <c r="M688" s="6">
        <f>worksheet!E688*worksheet!L688</f>
        <v>8.0549999999999997</v>
      </c>
      <c r="N688" t="str">
        <f t="shared" si="20"/>
        <v>Robusta</v>
      </c>
      <c r="O688" t="str">
        <f t="shared" si="21"/>
        <v>Dark</v>
      </c>
      <c r="P688" t="str">
        <f>_xlfn.XLOOKUP(worksheet[[#This Row],[Customer ID]],customers!$A$1:$A$1001,customers!$I$1:$I$1001,0)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
        <v>4374</v>
      </c>
      <c r="H689" s="2" t="str">
        <f>_xlfn.XLOOKUP(C689,customers!$A$1:$A$1001,customers!$G$1:$G$1001,0)</f>
        <v>United States</v>
      </c>
      <c r="I689" t="str">
        <f>_xlfn.XLOOKUP(D689,products!$A$1:$A$49,products!$B$1:$B$49,0)</f>
        <v>Exc</v>
      </c>
      <c r="J689" t="str">
        <f>_xlfn.XLOOKUP(worksheet!D689,products!$A$1:$A$49,products!$C$1:$C$49,0)</f>
        <v>M</v>
      </c>
      <c r="K689" s="5">
        <f>_xlfn.XLOOKUP(worksheet!D689,products!$A$1:$A$49,products!$D$1:$D$49,0)</f>
        <v>0.5</v>
      </c>
      <c r="L689" s="6">
        <f>_xlfn.XLOOKUP(worksheet!D689,products!$A$1:$A$49,products!$E$1:$E$49,0)</f>
        <v>8.25</v>
      </c>
      <c r="M689" s="6">
        <f>worksheet!E689*worksheet!L689</f>
        <v>16.5</v>
      </c>
      <c r="N689" t="str">
        <f t="shared" si="20"/>
        <v>Excelsa</v>
      </c>
      <c r="O689" t="str">
        <f t="shared" si="21"/>
        <v>Medium</v>
      </c>
      <c r="P689" t="str">
        <f>_xlfn.XLOOKUP(worksheet[[#This Row],[Customer ID]],customers!$A$1:$A$1001,customers!$I$1:$I$1001,0)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
        <v>4380</v>
      </c>
      <c r="H690" s="2" t="str">
        <f>_xlfn.XLOOKUP(C690,customers!$A$1:$A$1001,customers!$G$1:$G$1001,0)</f>
        <v>Ireland</v>
      </c>
      <c r="I690" t="str">
        <f>_xlfn.XLOOKUP(D690,products!$A$1:$A$49,products!$B$1:$B$49,0)</f>
        <v>Ara</v>
      </c>
      <c r="J690" t="str">
        <f>_xlfn.XLOOKUP(worksheet!D690,products!$A$1:$A$49,products!$C$1:$C$49,0)</f>
        <v>L</v>
      </c>
      <c r="K690" s="5">
        <f>_xlfn.XLOOKUP(worksheet!D690,products!$A$1:$A$49,products!$D$1:$D$49,0)</f>
        <v>1</v>
      </c>
      <c r="L690" s="6">
        <f>_xlfn.XLOOKUP(worksheet!D690,products!$A$1:$A$49,products!$E$1:$E$49,0)</f>
        <v>12.95</v>
      </c>
      <c r="M690" s="6">
        <f>worksheet!E690*worksheet!L690</f>
        <v>64.75</v>
      </c>
      <c r="N690" t="str">
        <f t="shared" si="20"/>
        <v>Arabica</v>
      </c>
      <c r="O690" t="str">
        <f t="shared" si="21"/>
        <v>Light</v>
      </c>
      <c r="P690" t="str">
        <f>_xlfn.XLOOKUP(worksheet[[#This Row],[Customer ID]],customers!$A$1:$A$1001,customers!$I$1:$I$1001,0)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
        <v>4386</v>
      </c>
      <c r="H691" s="2" t="str">
        <f>_xlfn.XLOOKUP(C691,customers!$A$1:$A$1001,customers!$G$1:$G$1001,0)</f>
        <v>United States</v>
      </c>
      <c r="I691" t="str">
        <f>_xlfn.XLOOKUP(D691,products!$A$1:$A$49,products!$B$1:$B$49,0)</f>
        <v>Ara</v>
      </c>
      <c r="J691" t="str">
        <f>_xlfn.XLOOKUP(worksheet!D691,products!$A$1:$A$49,products!$C$1:$C$49,0)</f>
        <v>M</v>
      </c>
      <c r="K691" s="5">
        <f>_xlfn.XLOOKUP(worksheet!D691,products!$A$1:$A$49,products!$D$1:$D$49,0)</f>
        <v>0.5</v>
      </c>
      <c r="L691" s="6">
        <f>_xlfn.XLOOKUP(worksheet!D691,products!$A$1:$A$49,products!$E$1:$E$49,0)</f>
        <v>6.75</v>
      </c>
      <c r="M691" s="6">
        <f>worksheet!E691*worksheet!L691</f>
        <v>33.75</v>
      </c>
      <c r="N691" t="str">
        <f t="shared" si="20"/>
        <v>Arabica</v>
      </c>
      <c r="O691" t="str">
        <f t="shared" si="21"/>
        <v>Medium</v>
      </c>
      <c r="P691" t="str">
        <f>_xlfn.XLOOKUP(worksheet[[#This Row],[Customer ID]],customers!$A$1:$A$1001,customers!$I$1:$I$1001,0)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
        <v>6222</v>
      </c>
      <c r="H692" s="2" t="str">
        <f>_xlfn.XLOOKUP(C692,customers!$A$1:$A$1001,customers!$G$1:$G$1001,0)</f>
        <v>United States</v>
      </c>
      <c r="I692" t="str">
        <f>_xlfn.XLOOKUP(D692,products!$A$1:$A$49,products!$B$1:$B$49,0)</f>
        <v>Lib</v>
      </c>
      <c r="J692" t="str">
        <f>_xlfn.XLOOKUP(worksheet!D692,products!$A$1:$A$49,products!$C$1:$C$49,0)</f>
        <v>D</v>
      </c>
      <c r="K692" s="5">
        <f>_xlfn.XLOOKUP(worksheet!D692,products!$A$1:$A$49,products!$D$1:$D$49,0)</f>
        <v>2.5</v>
      </c>
      <c r="L692" s="6">
        <f>_xlfn.XLOOKUP(worksheet!D692,products!$A$1:$A$49,products!$E$1:$E$49,0)</f>
        <v>29.784999999999997</v>
      </c>
      <c r="M692" s="6">
        <f>worksheet!E692*worksheet!L692</f>
        <v>178.70999999999998</v>
      </c>
      <c r="N692" t="str">
        <f t="shared" si="20"/>
        <v>Liberica</v>
      </c>
      <c r="O692" t="str">
        <f t="shared" si="21"/>
        <v>Dark</v>
      </c>
      <c r="P692" t="str">
        <f>_xlfn.XLOOKUP(worksheet[[#This Row],[Customer ID]],customers!$A$1:$A$1001,customers!$I$1:$I$1001,0)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
        <v>4436</v>
      </c>
      <c r="H693" s="2" t="str">
        <f>_xlfn.XLOOKUP(C693,customers!$A$1:$A$1001,customers!$G$1:$G$1001,0)</f>
        <v>Ireland</v>
      </c>
      <c r="I693" t="str">
        <f>_xlfn.XLOOKUP(D693,products!$A$1:$A$49,products!$B$1:$B$49,0)</f>
        <v>Ara</v>
      </c>
      <c r="J693" t="str">
        <f>_xlfn.XLOOKUP(worksheet!D693,products!$A$1:$A$49,products!$C$1:$C$49,0)</f>
        <v>M</v>
      </c>
      <c r="K693" s="5">
        <f>_xlfn.XLOOKUP(worksheet!D693,products!$A$1:$A$49,products!$D$1:$D$49,0)</f>
        <v>1</v>
      </c>
      <c r="L693" s="6">
        <f>_xlfn.XLOOKUP(worksheet!D693,products!$A$1:$A$49,products!$E$1:$E$49,0)</f>
        <v>11.25</v>
      </c>
      <c r="M693" s="6">
        <f>worksheet!E693*worksheet!L693</f>
        <v>22.5</v>
      </c>
      <c r="N693" t="str">
        <f t="shared" si="20"/>
        <v>Arabica</v>
      </c>
      <c r="O693" t="str">
        <f t="shared" si="21"/>
        <v>Medium</v>
      </c>
      <c r="P693" t="str">
        <f>_xlfn.XLOOKUP(worksheet[[#This Row],[Customer ID]],customers!$A$1:$A$1001,customers!$I$1:$I$1001,0)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
        <v>4402</v>
      </c>
      <c r="H694" s="2" t="str">
        <f>_xlfn.XLOOKUP(C694,customers!$A$1:$A$1001,customers!$G$1:$G$1001,0)</f>
        <v>United States</v>
      </c>
      <c r="I694" t="str">
        <f>_xlfn.XLOOKUP(D694,products!$A$1:$A$49,products!$B$1:$B$49,0)</f>
        <v>Lib</v>
      </c>
      <c r="J694" t="str">
        <f>_xlfn.XLOOKUP(worksheet!D694,products!$A$1:$A$49,products!$C$1:$C$49,0)</f>
        <v>D</v>
      </c>
      <c r="K694" s="5">
        <f>_xlfn.XLOOKUP(worksheet!D694,products!$A$1:$A$49,products!$D$1:$D$49,0)</f>
        <v>1</v>
      </c>
      <c r="L694" s="6">
        <f>_xlfn.XLOOKUP(worksheet!D694,products!$A$1:$A$49,products!$E$1:$E$49,0)</f>
        <v>12.95</v>
      </c>
      <c r="M694" s="6">
        <f>worksheet!E694*worksheet!L694</f>
        <v>12.95</v>
      </c>
      <c r="N694" t="str">
        <f t="shared" si="20"/>
        <v>Liberica</v>
      </c>
      <c r="O694" t="str">
        <f t="shared" si="21"/>
        <v>Dark</v>
      </c>
      <c r="P694" t="str">
        <f>_xlfn.XLOOKUP(worksheet[[#This Row],[Customer ID]],customers!$A$1:$A$1001,customers!$I$1:$I$1001,0)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
        <v>4408</v>
      </c>
      <c r="H695" s="2" t="str">
        <f>_xlfn.XLOOKUP(C695,customers!$A$1:$A$1001,customers!$G$1:$G$1001,0)</f>
        <v>United States</v>
      </c>
      <c r="I695" t="str">
        <f>_xlfn.XLOOKUP(D695,products!$A$1:$A$49,products!$B$1:$B$49,0)</f>
        <v>Ara</v>
      </c>
      <c r="J695" t="str">
        <f>_xlfn.XLOOKUP(worksheet!D695,products!$A$1:$A$49,products!$C$1:$C$49,0)</f>
        <v>M</v>
      </c>
      <c r="K695" s="5">
        <f>_xlfn.XLOOKUP(worksheet!D695,products!$A$1:$A$49,products!$D$1:$D$49,0)</f>
        <v>2.5</v>
      </c>
      <c r="L695" s="6">
        <f>_xlfn.XLOOKUP(worksheet!D695,products!$A$1:$A$49,products!$E$1:$E$49,0)</f>
        <v>25.874999999999996</v>
      </c>
      <c r="M695" s="6">
        <f>worksheet!E695*worksheet!L695</f>
        <v>51.749999999999993</v>
      </c>
      <c r="N695" t="str">
        <f t="shared" si="20"/>
        <v>Arabica</v>
      </c>
      <c r="O695" t="str">
        <f t="shared" si="21"/>
        <v>Medium</v>
      </c>
      <c r="P695" t="str">
        <f>_xlfn.XLOOKUP(worksheet[[#This Row],[Customer ID]],customers!$A$1:$A$1001,customers!$I$1:$I$1001,0)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
        <v>4414</v>
      </c>
      <c r="H696" s="2" t="str">
        <f>_xlfn.XLOOKUP(C696,customers!$A$1:$A$1001,customers!$G$1:$G$1001,0)</f>
        <v>United States</v>
      </c>
      <c r="I696" t="str">
        <f>_xlfn.XLOOKUP(D696,products!$A$1:$A$49,products!$B$1:$B$49,0)</f>
        <v>Exc</v>
      </c>
      <c r="J696" t="str">
        <f>_xlfn.XLOOKUP(worksheet!D696,products!$A$1:$A$49,products!$C$1:$C$49,0)</f>
        <v>D</v>
      </c>
      <c r="K696" s="5">
        <f>_xlfn.XLOOKUP(worksheet!D696,products!$A$1:$A$49,products!$D$1:$D$49,0)</f>
        <v>0.5</v>
      </c>
      <c r="L696" s="6">
        <f>_xlfn.XLOOKUP(worksheet!D696,products!$A$1:$A$49,products!$E$1:$E$49,0)</f>
        <v>7.29</v>
      </c>
      <c r="M696" s="6">
        <f>worksheet!E696*worksheet!L696</f>
        <v>36.450000000000003</v>
      </c>
      <c r="N696" t="str">
        <f t="shared" si="20"/>
        <v>Excelsa</v>
      </c>
      <c r="O696" t="str">
        <f t="shared" si="21"/>
        <v>Dark</v>
      </c>
      <c r="P696" t="str">
        <f>_xlfn.XLOOKUP(worksheet[[#This Row],[Customer ID]],customers!$A$1:$A$1001,customers!$I$1:$I$1001,0)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
        <v>4420</v>
      </c>
      <c r="H697" s="2" t="str">
        <f>_xlfn.XLOOKUP(C697,customers!$A$1:$A$1001,customers!$G$1:$G$1001,0)</f>
        <v>United States</v>
      </c>
      <c r="I697" t="str">
        <f>_xlfn.XLOOKUP(D697,products!$A$1:$A$49,products!$B$1:$B$49,0)</f>
        <v>Lib</v>
      </c>
      <c r="J697" t="str">
        <f>_xlfn.XLOOKUP(worksheet!D697,products!$A$1:$A$49,products!$C$1:$C$49,0)</f>
        <v>L</v>
      </c>
      <c r="K697" s="5">
        <f>_xlfn.XLOOKUP(worksheet!D697,products!$A$1:$A$49,products!$D$1:$D$49,0)</f>
        <v>2.5</v>
      </c>
      <c r="L697" s="6">
        <f>_xlfn.XLOOKUP(worksheet!D697,products!$A$1:$A$49,products!$E$1:$E$49,0)</f>
        <v>36.454999999999998</v>
      </c>
      <c r="M697" s="6">
        <f>worksheet!E697*worksheet!L697</f>
        <v>182.27499999999998</v>
      </c>
      <c r="N697" t="str">
        <f t="shared" si="20"/>
        <v>Liberica</v>
      </c>
      <c r="O697" t="str">
        <f t="shared" si="21"/>
        <v>Light</v>
      </c>
      <c r="P697" t="str">
        <f>_xlfn.XLOOKUP(worksheet[[#This Row],[Customer ID]],customers!$A$1:$A$1001,customers!$I$1:$I$1001,0)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
        <v>4426</v>
      </c>
      <c r="H698" s="2" t="str">
        <f>_xlfn.XLOOKUP(C698,customers!$A$1:$A$1001,customers!$G$1:$G$1001,0)</f>
        <v>United States</v>
      </c>
      <c r="I698" t="str">
        <f>_xlfn.XLOOKUP(D698,products!$A$1:$A$49,products!$B$1:$B$49,0)</f>
        <v>Lib</v>
      </c>
      <c r="J698" t="str">
        <f>_xlfn.XLOOKUP(worksheet!D698,products!$A$1:$A$49,products!$C$1:$C$49,0)</f>
        <v>D</v>
      </c>
      <c r="K698" s="5">
        <f>_xlfn.XLOOKUP(worksheet!D698,products!$A$1:$A$49,products!$D$1:$D$49,0)</f>
        <v>0.5</v>
      </c>
      <c r="L698" s="6">
        <f>_xlfn.XLOOKUP(worksheet!D698,products!$A$1:$A$49,products!$E$1:$E$49,0)</f>
        <v>7.77</v>
      </c>
      <c r="M698" s="6">
        <f>worksheet!E698*worksheet!L698</f>
        <v>31.08</v>
      </c>
      <c r="N698" t="str">
        <f t="shared" si="20"/>
        <v>Liberica</v>
      </c>
      <c r="O698" t="str">
        <f t="shared" si="21"/>
        <v>Dark</v>
      </c>
      <c r="P698" t="str">
        <f>_xlfn.XLOOKUP(worksheet[[#This Row],[Customer ID]],customers!$A$1:$A$1001,customers!$I$1:$I$1001,0)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
        <v>6222</v>
      </c>
      <c r="H699" s="2" t="str">
        <f>_xlfn.XLOOKUP(C699,customers!$A$1:$A$1001,customers!$G$1:$G$1001,0)</f>
        <v>Ireland</v>
      </c>
      <c r="I699" t="str">
        <f>_xlfn.XLOOKUP(D699,products!$A$1:$A$49,products!$B$1:$B$49,0)</f>
        <v>Ara</v>
      </c>
      <c r="J699" t="str">
        <f>_xlfn.XLOOKUP(worksheet!D699,products!$A$1:$A$49,products!$C$1:$C$49,0)</f>
        <v>M</v>
      </c>
      <c r="K699" s="5">
        <f>_xlfn.XLOOKUP(worksheet!D699,products!$A$1:$A$49,products!$D$1:$D$49,0)</f>
        <v>0.5</v>
      </c>
      <c r="L699" s="6">
        <f>_xlfn.XLOOKUP(worksheet!D699,products!$A$1:$A$49,products!$E$1:$E$49,0)</f>
        <v>6.75</v>
      </c>
      <c r="M699" s="6">
        <f>worksheet!E699*worksheet!L699</f>
        <v>20.25</v>
      </c>
      <c r="N699" t="str">
        <f t="shared" si="20"/>
        <v>Arabica</v>
      </c>
      <c r="O699" t="str">
        <f t="shared" si="21"/>
        <v>Medium</v>
      </c>
      <c r="P699" t="str">
        <f>_xlfn.XLOOKUP(worksheet[[#This Row],[Customer ID]],customers!$A$1:$A$1001,customers!$I$1:$I$1001,0)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
        <v>4436</v>
      </c>
      <c r="H700" s="2" t="str">
        <f>_xlfn.XLOOKUP(C700,customers!$A$1:$A$1001,customers!$G$1:$G$1001,0)</f>
        <v>Ireland</v>
      </c>
      <c r="I700" t="str">
        <f>_xlfn.XLOOKUP(D700,products!$A$1:$A$49,products!$B$1:$B$49,0)</f>
        <v>Lib</v>
      </c>
      <c r="J700" t="str">
        <f>_xlfn.XLOOKUP(worksheet!D700,products!$A$1:$A$49,products!$C$1:$C$49,0)</f>
        <v>D</v>
      </c>
      <c r="K700" s="5">
        <f>_xlfn.XLOOKUP(worksheet!D700,products!$A$1:$A$49,products!$D$1:$D$49,0)</f>
        <v>1</v>
      </c>
      <c r="L700" s="6">
        <f>_xlfn.XLOOKUP(worksheet!D700,products!$A$1:$A$49,products!$E$1:$E$49,0)</f>
        <v>12.95</v>
      </c>
      <c r="M700" s="6">
        <f>worksheet!E700*worksheet!L700</f>
        <v>25.9</v>
      </c>
      <c r="N700" t="str">
        <f t="shared" si="20"/>
        <v>Liberica</v>
      </c>
      <c r="O700" t="str">
        <f t="shared" si="21"/>
        <v>Dark</v>
      </c>
      <c r="P700" t="str">
        <f>_xlfn.XLOOKUP(worksheet[[#This Row],[Customer ID]],customers!$A$1:$A$1001,customers!$I$1:$I$1001,0)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
        <v>4442</v>
      </c>
      <c r="H701" s="2" t="str">
        <f>_xlfn.XLOOKUP(C701,customers!$A$1:$A$1001,customers!$G$1:$G$1001,0)</f>
        <v>United States</v>
      </c>
      <c r="I701" t="str">
        <f>_xlfn.XLOOKUP(D701,products!$A$1:$A$49,products!$B$1:$B$49,0)</f>
        <v>Ara</v>
      </c>
      <c r="J701" t="str">
        <f>_xlfn.XLOOKUP(worksheet!D701,products!$A$1:$A$49,products!$C$1:$C$49,0)</f>
        <v>D</v>
      </c>
      <c r="K701" s="5">
        <f>_xlfn.XLOOKUP(worksheet!D701,products!$A$1:$A$49,products!$D$1:$D$49,0)</f>
        <v>0.5</v>
      </c>
      <c r="L701" s="6">
        <f>_xlfn.XLOOKUP(worksheet!D701,products!$A$1:$A$49,products!$E$1:$E$49,0)</f>
        <v>5.97</v>
      </c>
      <c r="M701" s="6">
        <f>worksheet!E701*worksheet!L701</f>
        <v>23.88</v>
      </c>
      <c r="N701" t="str">
        <f t="shared" si="20"/>
        <v>Arabica</v>
      </c>
      <c r="O701" t="str">
        <f t="shared" si="21"/>
        <v>Dark</v>
      </c>
      <c r="P701" t="str">
        <f>_xlfn.XLOOKUP(worksheet[[#This Row],[Customer ID]],customers!$A$1:$A$1001,customers!$I$1:$I$1001,0)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
        <v>4448</v>
      </c>
      <c r="H702" s="2" t="str">
        <f>_xlfn.XLOOKUP(C702,customers!$A$1:$A$1001,customers!$G$1:$G$1001,0)</f>
        <v>United States</v>
      </c>
      <c r="I702" t="str">
        <f>_xlfn.XLOOKUP(D702,products!$A$1:$A$49,products!$B$1:$B$49,0)</f>
        <v>Lib</v>
      </c>
      <c r="J702" t="str">
        <f>_xlfn.XLOOKUP(worksheet!D702,products!$A$1:$A$49,products!$C$1:$C$49,0)</f>
        <v>L</v>
      </c>
      <c r="K702" s="5">
        <f>_xlfn.XLOOKUP(worksheet!D702,products!$A$1:$A$49,products!$D$1:$D$49,0)</f>
        <v>0.5</v>
      </c>
      <c r="L702" s="6">
        <f>_xlfn.XLOOKUP(worksheet!D702,products!$A$1:$A$49,products!$E$1:$E$49,0)</f>
        <v>9.51</v>
      </c>
      <c r="M702" s="6">
        <f>worksheet!E702*worksheet!L702</f>
        <v>19.02</v>
      </c>
      <c r="N702" t="str">
        <f t="shared" si="20"/>
        <v>Liberica</v>
      </c>
      <c r="O702" t="str">
        <f t="shared" si="21"/>
        <v>Light</v>
      </c>
      <c r="P702" t="str">
        <f>_xlfn.XLOOKUP(worksheet[[#This Row],[Customer ID]],customers!$A$1:$A$1001,customers!$I$1:$I$1001,0)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
        <v>4453</v>
      </c>
      <c r="H703" s="2" t="str">
        <f>_xlfn.XLOOKUP(C703,customers!$A$1:$A$1001,customers!$G$1:$G$1001,0)</f>
        <v>Ireland</v>
      </c>
      <c r="I703" t="str">
        <f>_xlfn.XLOOKUP(D703,products!$A$1:$A$49,products!$B$1:$B$49,0)</f>
        <v>Ara</v>
      </c>
      <c r="J703" t="str">
        <f>_xlfn.XLOOKUP(worksheet!D703,products!$A$1:$A$49,products!$C$1:$C$49,0)</f>
        <v>D</v>
      </c>
      <c r="K703" s="5">
        <f>_xlfn.XLOOKUP(worksheet!D703,products!$A$1:$A$49,products!$D$1:$D$49,0)</f>
        <v>0.5</v>
      </c>
      <c r="L703" s="6">
        <f>_xlfn.XLOOKUP(worksheet!D703,products!$A$1:$A$49,products!$E$1:$E$49,0)</f>
        <v>5.97</v>
      </c>
      <c r="M703" s="6">
        <f>worksheet!E703*worksheet!L703</f>
        <v>29.849999999999998</v>
      </c>
      <c r="N703" t="str">
        <f t="shared" si="20"/>
        <v>Arabica</v>
      </c>
      <c r="O703" t="str">
        <f t="shared" si="21"/>
        <v>Dark</v>
      </c>
      <c r="P703" t="str">
        <f>_xlfn.XLOOKUP(worksheet[[#This Row],[Customer ID]],customers!$A$1:$A$1001,customers!$I$1:$I$1001,0)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
        <v>4459</v>
      </c>
      <c r="H704" s="2" t="str">
        <f>_xlfn.XLOOKUP(C704,customers!$A$1:$A$1001,customers!$G$1:$G$1001,0)</f>
        <v>United States</v>
      </c>
      <c r="I704" t="str">
        <f>_xlfn.XLOOKUP(D704,products!$A$1:$A$49,products!$B$1:$B$49,0)</f>
        <v>Ara</v>
      </c>
      <c r="J704" t="str">
        <f>_xlfn.XLOOKUP(worksheet!D704,products!$A$1:$A$49,products!$C$1:$C$49,0)</f>
        <v>L</v>
      </c>
      <c r="K704" s="5">
        <f>_xlfn.XLOOKUP(worksheet!D704,products!$A$1:$A$49,products!$D$1:$D$49,0)</f>
        <v>0.5</v>
      </c>
      <c r="L704" s="6">
        <f>_xlfn.XLOOKUP(worksheet!D704,products!$A$1:$A$49,products!$E$1:$E$49,0)</f>
        <v>7.77</v>
      </c>
      <c r="M704" s="6">
        <f>worksheet!E704*worksheet!L704</f>
        <v>7.77</v>
      </c>
      <c r="N704" t="str">
        <f t="shared" si="20"/>
        <v>Arabica</v>
      </c>
      <c r="O704" t="str">
        <f t="shared" si="21"/>
        <v>Light</v>
      </c>
      <c r="P704" t="str">
        <f>_xlfn.XLOOKUP(worksheet[[#This Row],[Customer ID]],customers!$A$1:$A$1001,customers!$I$1:$I$1001,0)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
        <v>6222</v>
      </c>
      <c r="H705" s="2" t="str">
        <f>_xlfn.XLOOKUP(C705,customers!$A$1:$A$1001,customers!$G$1:$G$1001,0)</f>
        <v>Ireland</v>
      </c>
      <c r="I705" t="str">
        <f>_xlfn.XLOOKUP(D705,products!$A$1:$A$49,products!$B$1:$B$49,0)</f>
        <v>Lib</v>
      </c>
      <c r="J705" t="str">
        <f>_xlfn.XLOOKUP(worksheet!D705,products!$A$1:$A$49,products!$C$1:$C$49,0)</f>
        <v>D</v>
      </c>
      <c r="K705" s="5">
        <f>_xlfn.XLOOKUP(worksheet!D705,products!$A$1:$A$49,products!$D$1:$D$49,0)</f>
        <v>2.5</v>
      </c>
      <c r="L705" s="6">
        <f>_xlfn.XLOOKUP(worksheet!D705,products!$A$1:$A$49,products!$E$1:$E$49,0)</f>
        <v>29.784999999999997</v>
      </c>
      <c r="M705" s="6">
        <f>worksheet!E705*worksheet!L705</f>
        <v>119.13999999999999</v>
      </c>
      <c r="N705" t="str">
        <f t="shared" si="20"/>
        <v>Liberica</v>
      </c>
      <c r="O705" t="str">
        <f t="shared" si="21"/>
        <v>Dark</v>
      </c>
      <c r="P705" t="str">
        <f>_xlfn.XLOOKUP(worksheet[[#This Row],[Customer ID]],customers!$A$1:$A$1001,customers!$I$1:$I$1001,0)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
        <v>6222</v>
      </c>
      <c r="H706" s="2" t="str">
        <f>_xlfn.XLOOKUP(C706,customers!$A$1:$A$1001,customers!$G$1:$G$1001,0)</f>
        <v>United States</v>
      </c>
      <c r="I706" t="str">
        <f>_xlfn.XLOOKUP(D706,products!$A$1:$A$49,products!$B$1:$B$49,0)</f>
        <v>Exc</v>
      </c>
      <c r="J706" t="str">
        <f>_xlfn.XLOOKUP(worksheet!D706,products!$A$1:$A$49,products!$C$1:$C$49,0)</f>
        <v>D</v>
      </c>
      <c r="K706" s="5">
        <f>_xlfn.XLOOKUP(worksheet!D706,products!$A$1:$A$49,products!$D$1:$D$49,0)</f>
        <v>0.2</v>
      </c>
      <c r="L706" s="6">
        <f>_xlfn.XLOOKUP(worksheet!D706,products!$A$1:$A$49,products!$E$1:$E$49,0)</f>
        <v>3.645</v>
      </c>
      <c r="M706" s="6">
        <f>worksheet!E706*worksheet!L706</f>
        <v>21.87</v>
      </c>
      <c r="N706" t="str">
        <f t="shared" si="20"/>
        <v>Excelsa</v>
      </c>
      <c r="O706" t="str">
        <f t="shared" si="21"/>
        <v>Dark</v>
      </c>
      <c r="P706" t="str">
        <f>_xlfn.XLOOKUP(worksheet[[#This Row],[Customer ID]],customers!$A$1:$A$1001,customers!$I$1:$I$1001,0)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
        <v>4474</v>
      </c>
      <c r="H707" s="2" t="str">
        <f>_xlfn.XLOOKUP(C707,customers!$A$1:$A$1001,customers!$G$1:$G$1001,0)</f>
        <v>United States</v>
      </c>
      <c r="I707" t="str">
        <f>_xlfn.XLOOKUP(D707,products!$A$1:$A$49,products!$B$1:$B$49,0)</f>
        <v>Exc</v>
      </c>
      <c r="J707" t="str">
        <f>_xlfn.XLOOKUP(worksheet!D707,products!$A$1:$A$49,products!$C$1:$C$49,0)</f>
        <v>L</v>
      </c>
      <c r="K707" s="5">
        <f>_xlfn.XLOOKUP(worksheet!D707,products!$A$1:$A$49,products!$D$1:$D$49,0)</f>
        <v>0.5</v>
      </c>
      <c r="L707" s="6">
        <f>_xlfn.XLOOKUP(worksheet!D707,products!$A$1:$A$49,products!$E$1:$E$49,0)</f>
        <v>8.91</v>
      </c>
      <c r="M707" s="6">
        <f>worksheet!E707*worksheet!L707</f>
        <v>17.82</v>
      </c>
      <c r="N707" t="str">
        <f t="shared" ref="N707:N770" si="22">IF(I707="Rob","Robusta",IF(I707="Exc","Excelsa",IF(I707="Ara","Arabica",IF(I707="Lib","Liberica",""))))</f>
        <v>Excelsa</v>
      </c>
      <c r="O707" t="str">
        <f t="shared" ref="O707:O770" si="23">IF(J707="M","Medium",IF(J707="L","Light",IF(J707="D","Dark","")))</f>
        <v>Light</v>
      </c>
      <c r="P707" t="str">
        <f>_xlfn.XLOOKUP(worksheet[[#This Row],[Customer ID]],customers!$A$1:$A$1001,customers!$I$1:$I$1001,0)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
        <v>4480</v>
      </c>
      <c r="H708" s="2" t="str">
        <f>_xlfn.XLOOKUP(C708,customers!$A$1:$A$1001,customers!$G$1:$G$1001,0)</f>
        <v>United States</v>
      </c>
      <c r="I708" t="str">
        <f>_xlfn.XLOOKUP(D708,products!$A$1:$A$49,products!$B$1:$B$49,0)</f>
        <v>Exc</v>
      </c>
      <c r="J708" t="str">
        <f>_xlfn.XLOOKUP(worksheet!D708,products!$A$1:$A$49,products!$C$1:$C$49,0)</f>
        <v>M</v>
      </c>
      <c r="K708" s="5">
        <f>_xlfn.XLOOKUP(worksheet!D708,products!$A$1:$A$49,products!$D$1:$D$49,0)</f>
        <v>0.2</v>
      </c>
      <c r="L708" s="6">
        <f>_xlfn.XLOOKUP(worksheet!D708,products!$A$1:$A$49,products!$E$1:$E$49,0)</f>
        <v>4.125</v>
      </c>
      <c r="M708" s="6">
        <f>worksheet!E708*worksheet!L708</f>
        <v>12.375</v>
      </c>
      <c r="N708" t="str">
        <f t="shared" si="22"/>
        <v>Excelsa</v>
      </c>
      <c r="O708" t="str">
        <f t="shared" si="23"/>
        <v>Medium</v>
      </c>
      <c r="P708" t="str">
        <f>_xlfn.XLOOKUP(worksheet[[#This Row],[Customer ID]],customers!$A$1:$A$1001,customers!$I$1:$I$1001,0)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
        <v>6222</v>
      </c>
      <c r="H709" s="2" t="str">
        <f>_xlfn.XLOOKUP(C709,customers!$A$1:$A$1001,customers!$G$1:$G$1001,0)</f>
        <v>Ireland</v>
      </c>
      <c r="I709" t="str">
        <f>_xlfn.XLOOKUP(D709,products!$A$1:$A$49,products!$B$1:$B$49,0)</f>
        <v>Lib</v>
      </c>
      <c r="J709" t="str">
        <f>_xlfn.XLOOKUP(worksheet!D709,products!$A$1:$A$49,products!$C$1:$C$49,0)</f>
        <v>D</v>
      </c>
      <c r="K709" s="5">
        <f>_xlfn.XLOOKUP(worksheet!D709,products!$A$1:$A$49,products!$D$1:$D$49,0)</f>
        <v>1</v>
      </c>
      <c r="L709" s="6">
        <f>_xlfn.XLOOKUP(worksheet!D709,products!$A$1:$A$49,products!$E$1:$E$49,0)</f>
        <v>12.95</v>
      </c>
      <c r="M709" s="6">
        <f>worksheet!E709*worksheet!L709</f>
        <v>25.9</v>
      </c>
      <c r="N709" t="str">
        <f t="shared" si="22"/>
        <v>Liberica</v>
      </c>
      <c r="O709" t="str">
        <f t="shared" si="23"/>
        <v>Dark</v>
      </c>
      <c r="P709" t="str">
        <f>_xlfn.XLOOKUP(worksheet[[#This Row],[Customer ID]],customers!$A$1:$A$1001,customers!$I$1:$I$1001,0)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
        <v>4491</v>
      </c>
      <c r="H710" s="2" t="str">
        <f>_xlfn.XLOOKUP(C710,customers!$A$1:$A$1001,customers!$G$1:$G$1001,0)</f>
        <v>United States</v>
      </c>
      <c r="I710" t="str">
        <f>_xlfn.XLOOKUP(D710,products!$A$1:$A$49,products!$B$1:$B$49,0)</f>
        <v>Ara</v>
      </c>
      <c r="J710" t="str">
        <f>_xlfn.XLOOKUP(worksheet!D710,products!$A$1:$A$49,products!$C$1:$C$49,0)</f>
        <v>M</v>
      </c>
      <c r="K710" s="5">
        <f>_xlfn.XLOOKUP(worksheet!D710,products!$A$1:$A$49,products!$D$1:$D$49,0)</f>
        <v>0.5</v>
      </c>
      <c r="L710" s="6">
        <f>_xlfn.XLOOKUP(worksheet!D710,products!$A$1:$A$49,products!$E$1:$E$49,0)</f>
        <v>6.75</v>
      </c>
      <c r="M710" s="6">
        <f>worksheet!E710*worksheet!L710</f>
        <v>13.5</v>
      </c>
      <c r="N710" t="str">
        <f t="shared" si="22"/>
        <v>Arabica</v>
      </c>
      <c r="O710" t="str">
        <f t="shared" si="23"/>
        <v>Medium</v>
      </c>
      <c r="P710" t="str">
        <f>_xlfn.XLOOKUP(worksheet[[#This Row],[Customer ID]],customers!$A$1:$A$1001,customers!$I$1:$I$1001,0)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
        <v>6222</v>
      </c>
      <c r="H711" s="2" t="str">
        <f>_xlfn.XLOOKUP(C711,customers!$A$1:$A$1001,customers!$G$1:$G$1001,0)</f>
        <v>United States</v>
      </c>
      <c r="I711" t="str">
        <f>_xlfn.XLOOKUP(D711,products!$A$1:$A$49,products!$B$1:$B$49,0)</f>
        <v>Exc</v>
      </c>
      <c r="J711" t="str">
        <f>_xlfn.XLOOKUP(worksheet!D711,products!$A$1:$A$49,products!$C$1:$C$49,0)</f>
        <v>L</v>
      </c>
      <c r="K711" s="5">
        <f>_xlfn.XLOOKUP(worksheet!D711,products!$A$1:$A$49,products!$D$1:$D$49,0)</f>
        <v>0.5</v>
      </c>
      <c r="L711" s="6">
        <f>_xlfn.XLOOKUP(worksheet!D711,products!$A$1:$A$49,products!$E$1:$E$49,0)</f>
        <v>8.91</v>
      </c>
      <c r="M711" s="6">
        <f>worksheet!E711*worksheet!L711</f>
        <v>17.82</v>
      </c>
      <c r="N711" t="str">
        <f t="shared" si="22"/>
        <v>Excelsa</v>
      </c>
      <c r="O711" t="str">
        <f t="shared" si="23"/>
        <v>Light</v>
      </c>
      <c r="P711" t="str">
        <f>_xlfn.XLOOKUP(worksheet[[#This Row],[Customer ID]],customers!$A$1:$A$1001,customers!$I$1:$I$1001,0)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
        <v>4502</v>
      </c>
      <c r="H712" s="2" t="str">
        <f>_xlfn.XLOOKUP(C712,customers!$A$1:$A$1001,customers!$G$1:$G$1001,0)</f>
        <v>United States</v>
      </c>
      <c r="I712" t="str">
        <f>_xlfn.XLOOKUP(D712,products!$A$1:$A$49,products!$B$1:$B$49,0)</f>
        <v>Exc</v>
      </c>
      <c r="J712" t="str">
        <f>_xlfn.XLOOKUP(worksheet!D712,products!$A$1:$A$49,products!$C$1:$C$49,0)</f>
        <v>M</v>
      </c>
      <c r="K712" s="5">
        <f>_xlfn.XLOOKUP(worksheet!D712,products!$A$1:$A$49,products!$D$1:$D$49,0)</f>
        <v>0.5</v>
      </c>
      <c r="L712" s="6">
        <f>_xlfn.XLOOKUP(worksheet!D712,products!$A$1:$A$49,products!$E$1:$E$49,0)</f>
        <v>8.25</v>
      </c>
      <c r="M712" s="6">
        <f>worksheet!E712*worksheet!L712</f>
        <v>24.75</v>
      </c>
      <c r="N712" t="str">
        <f t="shared" si="22"/>
        <v>Excelsa</v>
      </c>
      <c r="O712" t="str">
        <f t="shared" si="23"/>
        <v>Medium</v>
      </c>
      <c r="P712" t="str">
        <f>_xlfn.XLOOKUP(worksheet[[#This Row],[Customer ID]],customers!$A$1:$A$1001,customers!$I$1:$I$1001,0)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
        <v>4508</v>
      </c>
      <c r="H713" s="2" t="str">
        <f>_xlfn.XLOOKUP(C713,customers!$A$1:$A$1001,customers!$G$1:$G$1001,0)</f>
        <v>United States</v>
      </c>
      <c r="I713" t="str">
        <f>_xlfn.XLOOKUP(D713,products!$A$1:$A$49,products!$B$1:$B$49,0)</f>
        <v>Rob</v>
      </c>
      <c r="J713" t="str">
        <f>_xlfn.XLOOKUP(worksheet!D713,products!$A$1:$A$49,products!$C$1:$C$49,0)</f>
        <v>M</v>
      </c>
      <c r="K713" s="5">
        <f>_xlfn.XLOOKUP(worksheet!D713,products!$A$1:$A$49,products!$D$1:$D$49,0)</f>
        <v>0.2</v>
      </c>
      <c r="L713" s="6">
        <f>_xlfn.XLOOKUP(worksheet!D713,products!$A$1:$A$49,products!$E$1:$E$49,0)</f>
        <v>2.9849999999999999</v>
      </c>
      <c r="M713" s="6">
        <f>worksheet!E713*worksheet!L713</f>
        <v>17.91</v>
      </c>
      <c r="N713" t="str">
        <f t="shared" si="22"/>
        <v>Robusta</v>
      </c>
      <c r="O713" t="str">
        <f t="shared" si="23"/>
        <v>Medium</v>
      </c>
      <c r="P713" t="str">
        <f>_xlfn.XLOOKUP(worksheet[[#This Row],[Customer ID]],customers!$A$1:$A$1001,customers!$I$1:$I$1001,0)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
        <v>6222</v>
      </c>
      <c r="H714" s="2" t="str">
        <f>_xlfn.XLOOKUP(C714,customers!$A$1:$A$1001,customers!$G$1:$G$1001,0)</f>
        <v>United Kingdom</v>
      </c>
      <c r="I714" t="str">
        <f>_xlfn.XLOOKUP(D714,products!$A$1:$A$49,products!$B$1:$B$49,0)</f>
        <v>Exc</v>
      </c>
      <c r="J714" t="str">
        <f>_xlfn.XLOOKUP(worksheet!D714,products!$A$1:$A$49,products!$C$1:$C$49,0)</f>
        <v>M</v>
      </c>
      <c r="K714" s="5">
        <f>_xlfn.XLOOKUP(worksheet!D714,products!$A$1:$A$49,products!$D$1:$D$49,0)</f>
        <v>0.5</v>
      </c>
      <c r="L714" s="6">
        <f>_xlfn.XLOOKUP(worksheet!D714,products!$A$1:$A$49,products!$E$1:$E$49,0)</f>
        <v>8.25</v>
      </c>
      <c r="M714" s="6">
        <f>worksheet!E714*worksheet!L714</f>
        <v>16.5</v>
      </c>
      <c r="N714" t="str">
        <f t="shared" si="22"/>
        <v>Excelsa</v>
      </c>
      <c r="O714" t="str">
        <f t="shared" si="23"/>
        <v>Medium</v>
      </c>
      <c r="P714" t="str">
        <f>_xlfn.XLOOKUP(worksheet[[#This Row],[Customer ID]],customers!$A$1:$A$1001,customers!$I$1:$I$1001,0)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
        <v>4519</v>
      </c>
      <c r="H715" s="2" t="str">
        <f>_xlfn.XLOOKUP(C715,customers!$A$1:$A$1001,customers!$G$1:$G$1001,0)</f>
        <v>United States</v>
      </c>
      <c r="I715" t="str">
        <f>_xlfn.XLOOKUP(D715,products!$A$1:$A$49,products!$B$1:$B$49,0)</f>
        <v>Rob</v>
      </c>
      <c r="J715" t="str">
        <f>_xlfn.XLOOKUP(worksheet!D715,products!$A$1:$A$49,products!$C$1:$C$49,0)</f>
        <v>M</v>
      </c>
      <c r="K715" s="5">
        <f>_xlfn.XLOOKUP(worksheet!D715,products!$A$1:$A$49,products!$D$1:$D$49,0)</f>
        <v>0.2</v>
      </c>
      <c r="L715" s="6">
        <f>_xlfn.XLOOKUP(worksheet!D715,products!$A$1:$A$49,products!$E$1:$E$49,0)</f>
        <v>2.9849999999999999</v>
      </c>
      <c r="M715" s="6">
        <f>worksheet!E715*worksheet!L715</f>
        <v>2.9849999999999999</v>
      </c>
      <c r="N715" t="str">
        <f t="shared" si="22"/>
        <v>Robusta</v>
      </c>
      <c r="O715" t="str">
        <f t="shared" si="23"/>
        <v>Medium</v>
      </c>
      <c r="P715" t="str">
        <f>_xlfn.XLOOKUP(worksheet[[#This Row],[Customer ID]],customers!$A$1:$A$1001,customers!$I$1:$I$1001,0)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
        <v>4525</v>
      </c>
      <c r="H716" s="2" t="str">
        <f>_xlfn.XLOOKUP(C716,customers!$A$1:$A$1001,customers!$G$1:$G$1001,0)</f>
        <v>Ireland</v>
      </c>
      <c r="I716" t="str">
        <f>_xlfn.XLOOKUP(D716,products!$A$1:$A$49,products!$B$1:$B$49,0)</f>
        <v>Exc</v>
      </c>
      <c r="J716" t="str">
        <f>_xlfn.XLOOKUP(worksheet!D716,products!$A$1:$A$49,products!$C$1:$C$49,0)</f>
        <v>D</v>
      </c>
      <c r="K716" s="5">
        <f>_xlfn.XLOOKUP(worksheet!D716,products!$A$1:$A$49,products!$D$1:$D$49,0)</f>
        <v>0.2</v>
      </c>
      <c r="L716" s="6">
        <f>_xlfn.XLOOKUP(worksheet!D716,products!$A$1:$A$49,products!$E$1:$E$49,0)</f>
        <v>3.645</v>
      </c>
      <c r="M716" s="6">
        <f>worksheet!E716*worksheet!L716</f>
        <v>14.58</v>
      </c>
      <c r="N716" t="str">
        <f t="shared" si="22"/>
        <v>Excelsa</v>
      </c>
      <c r="O716" t="str">
        <f t="shared" si="23"/>
        <v>Dark</v>
      </c>
      <c r="P716" t="str">
        <f>_xlfn.XLOOKUP(worksheet[[#This Row],[Customer ID]],customers!$A$1:$A$1001,customers!$I$1:$I$1001,0)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
        <v>4531</v>
      </c>
      <c r="H717" s="2" t="str">
        <f>_xlfn.XLOOKUP(C717,customers!$A$1:$A$1001,customers!$G$1:$G$1001,0)</f>
        <v>United States</v>
      </c>
      <c r="I717" t="str">
        <f>_xlfn.XLOOKUP(D717,products!$A$1:$A$49,products!$B$1:$B$49,0)</f>
        <v>Exc</v>
      </c>
      <c r="J717" t="str">
        <f>_xlfn.XLOOKUP(worksheet!D717,products!$A$1:$A$49,products!$C$1:$C$49,0)</f>
        <v>L</v>
      </c>
      <c r="K717" s="5">
        <f>_xlfn.XLOOKUP(worksheet!D717,products!$A$1:$A$49,products!$D$1:$D$49,0)</f>
        <v>1</v>
      </c>
      <c r="L717" s="6">
        <f>_xlfn.XLOOKUP(worksheet!D717,products!$A$1:$A$49,products!$E$1:$E$49,0)</f>
        <v>14.85</v>
      </c>
      <c r="M717" s="6">
        <f>worksheet!E717*worksheet!L717</f>
        <v>89.1</v>
      </c>
      <c r="N717" t="str">
        <f t="shared" si="22"/>
        <v>Excelsa</v>
      </c>
      <c r="O717" t="str">
        <f t="shared" si="23"/>
        <v>Light</v>
      </c>
      <c r="P717" t="str">
        <f>_xlfn.XLOOKUP(worksheet[[#This Row],[Customer ID]],customers!$A$1:$A$1001,customers!$I$1:$I$1001,0)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
        <v>4436</v>
      </c>
      <c r="H718" s="2" t="str">
        <f>_xlfn.XLOOKUP(C718,customers!$A$1:$A$1001,customers!$G$1:$G$1001,0)</f>
        <v>Ireland</v>
      </c>
      <c r="I718" t="str">
        <f>_xlfn.XLOOKUP(D718,products!$A$1:$A$49,products!$B$1:$B$49,0)</f>
        <v>Rob</v>
      </c>
      <c r="J718" t="str">
        <f>_xlfn.XLOOKUP(worksheet!D718,products!$A$1:$A$49,products!$C$1:$C$49,0)</f>
        <v>L</v>
      </c>
      <c r="K718" s="5">
        <f>_xlfn.XLOOKUP(worksheet!D718,products!$A$1:$A$49,products!$D$1:$D$49,0)</f>
        <v>1</v>
      </c>
      <c r="L718" s="6">
        <f>_xlfn.XLOOKUP(worksheet!D718,products!$A$1:$A$49,products!$E$1:$E$49,0)</f>
        <v>11.95</v>
      </c>
      <c r="M718" s="6">
        <f>worksheet!E718*worksheet!L718</f>
        <v>35.849999999999994</v>
      </c>
      <c r="N718" t="str">
        <f t="shared" si="22"/>
        <v>Robusta</v>
      </c>
      <c r="O718" t="str">
        <f t="shared" si="23"/>
        <v>Light</v>
      </c>
      <c r="P718" t="str">
        <f>_xlfn.XLOOKUP(worksheet[[#This Row],[Customer ID]],customers!$A$1:$A$1001,customers!$I$1:$I$1001,0)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
        <v>4542</v>
      </c>
      <c r="H719" s="2" t="str">
        <f>_xlfn.XLOOKUP(C719,customers!$A$1:$A$1001,customers!$G$1:$G$1001,0)</f>
        <v>United States</v>
      </c>
      <c r="I719" t="str">
        <f>_xlfn.XLOOKUP(D719,products!$A$1:$A$49,products!$B$1:$B$49,0)</f>
        <v>Ara</v>
      </c>
      <c r="J719" t="str">
        <f>_xlfn.XLOOKUP(worksheet!D719,products!$A$1:$A$49,products!$C$1:$C$49,0)</f>
        <v>D</v>
      </c>
      <c r="K719" s="5">
        <f>_xlfn.XLOOKUP(worksheet!D719,products!$A$1:$A$49,products!$D$1:$D$49,0)</f>
        <v>2.5</v>
      </c>
      <c r="L719" s="6">
        <f>_xlfn.XLOOKUP(worksheet!D719,products!$A$1:$A$49,products!$E$1:$E$49,0)</f>
        <v>22.884999999999998</v>
      </c>
      <c r="M719" s="6">
        <f>worksheet!E719*worksheet!L719</f>
        <v>68.655000000000001</v>
      </c>
      <c r="N719" t="str">
        <f t="shared" si="22"/>
        <v>Arabica</v>
      </c>
      <c r="O719" t="str">
        <f t="shared" si="23"/>
        <v>Dark</v>
      </c>
      <c r="P719" t="str">
        <f>_xlfn.XLOOKUP(worksheet[[#This Row],[Customer ID]],customers!$A$1:$A$1001,customers!$I$1:$I$1001,0)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
        <v>4548</v>
      </c>
      <c r="H720" s="2" t="str">
        <f>_xlfn.XLOOKUP(C720,customers!$A$1:$A$1001,customers!$G$1:$G$1001,0)</f>
        <v>United States</v>
      </c>
      <c r="I720" t="str">
        <f>_xlfn.XLOOKUP(D720,products!$A$1:$A$49,products!$B$1:$B$49,0)</f>
        <v>Lib</v>
      </c>
      <c r="J720" t="str">
        <f>_xlfn.XLOOKUP(worksheet!D720,products!$A$1:$A$49,products!$C$1:$C$49,0)</f>
        <v>D</v>
      </c>
      <c r="K720" s="5">
        <f>_xlfn.XLOOKUP(worksheet!D720,products!$A$1:$A$49,products!$D$1:$D$49,0)</f>
        <v>1</v>
      </c>
      <c r="L720" s="6">
        <f>_xlfn.XLOOKUP(worksheet!D720,products!$A$1:$A$49,products!$E$1:$E$49,0)</f>
        <v>12.95</v>
      </c>
      <c r="M720" s="6">
        <f>worksheet!E720*worksheet!L720</f>
        <v>38.849999999999994</v>
      </c>
      <c r="N720" t="str">
        <f t="shared" si="22"/>
        <v>Liberica</v>
      </c>
      <c r="O720" t="str">
        <f t="shared" si="23"/>
        <v>Dark</v>
      </c>
      <c r="P720" t="str">
        <f>_xlfn.XLOOKUP(worksheet[[#This Row],[Customer ID]],customers!$A$1:$A$1001,customers!$I$1:$I$1001,0)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
        <v>4554</v>
      </c>
      <c r="H721" s="2" t="str">
        <f>_xlfn.XLOOKUP(C721,customers!$A$1:$A$1001,customers!$G$1:$G$1001,0)</f>
        <v>United States</v>
      </c>
      <c r="I721" t="str">
        <f>_xlfn.XLOOKUP(D721,products!$A$1:$A$49,products!$B$1:$B$49,0)</f>
        <v>Lib</v>
      </c>
      <c r="J721" t="str">
        <f>_xlfn.XLOOKUP(worksheet!D721,products!$A$1:$A$49,products!$C$1:$C$49,0)</f>
        <v>L</v>
      </c>
      <c r="K721" s="5">
        <f>_xlfn.XLOOKUP(worksheet!D721,products!$A$1:$A$49,products!$D$1:$D$49,0)</f>
        <v>1</v>
      </c>
      <c r="L721" s="6">
        <f>_xlfn.XLOOKUP(worksheet!D721,products!$A$1:$A$49,products!$E$1:$E$49,0)</f>
        <v>15.85</v>
      </c>
      <c r="M721" s="6">
        <f>worksheet!E721*worksheet!L721</f>
        <v>79.25</v>
      </c>
      <c r="N721" t="str">
        <f t="shared" si="22"/>
        <v>Liberica</v>
      </c>
      <c r="O721" t="str">
        <f t="shared" si="23"/>
        <v>Light</v>
      </c>
      <c r="P721" t="str">
        <f>_xlfn.XLOOKUP(worksheet[[#This Row],[Customer ID]],customers!$A$1:$A$1001,customers!$I$1:$I$1001,0)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
        <v>4560</v>
      </c>
      <c r="H722" s="2" t="str">
        <f>_xlfn.XLOOKUP(C722,customers!$A$1:$A$1001,customers!$G$1:$G$1001,0)</f>
        <v>United States</v>
      </c>
      <c r="I722" t="str">
        <f>_xlfn.XLOOKUP(D722,products!$A$1:$A$49,products!$B$1:$B$49,0)</f>
        <v>Exc</v>
      </c>
      <c r="J722" t="str">
        <f>_xlfn.XLOOKUP(worksheet!D722,products!$A$1:$A$49,products!$C$1:$C$49,0)</f>
        <v>D</v>
      </c>
      <c r="K722" s="5">
        <f>_xlfn.XLOOKUP(worksheet!D722,products!$A$1:$A$49,products!$D$1:$D$49,0)</f>
        <v>0.5</v>
      </c>
      <c r="L722" s="6">
        <f>_xlfn.XLOOKUP(worksheet!D722,products!$A$1:$A$49,products!$E$1:$E$49,0)</f>
        <v>7.29</v>
      </c>
      <c r="M722" s="6">
        <f>worksheet!E722*worksheet!L722</f>
        <v>36.450000000000003</v>
      </c>
      <c r="N722" t="str">
        <f t="shared" si="22"/>
        <v>Excelsa</v>
      </c>
      <c r="O722" t="str">
        <f t="shared" si="23"/>
        <v>Dark</v>
      </c>
      <c r="P722" t="str">
        <f>_xlfn.XLOOKUP(worksheet[[#This Row],[Customer ID]],customers!$A$1:$A$1001,customers!$I$1:$I$1001,0)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
        <v>4566</v>
      </c>
      <c r="H723" s="2" t="str">
        <f>_xlfn.XLOOKUP(C723,customers!$A$1:$A$1001,customers!$G$1:$G$1001,0)</f>
        <v>United States</v>
      </c>
      <c r="I723" t="str">
        <f>_xlfn.XLOOKUP(D723,products!$A$1:$A$49,products!$B$1:$B$49,0)</f>
        <v>Rob</v>
      </c>
      <c r="J723" t="str">
        <f>_xlfn.XLOOKUP(worksheet!D723,products!$A$1:$A$49,products!$C$1:$C$49,0)</f>
        <v>M</v>
      </c>
      <c r="K723" s="5">
        <f>_xlfn.XLOOKUP(worksheet!D723,products!$A$1:$A$49,products!$D$1:$D$49,0)</f>
        <v>0.2</v>
      </c>
      <c r="L723" s="6">
        <f>_xlfn.XLOOKUP(worksheet!D723,products!$A$1:$A$49,products!$E$1:$E$49,0)</f>
        <v>2.9849999999999999</v>
      </c>
      <c r="M723" s="6">
        <f>worksheet!E723*worksheet!L723</f>
        <v>8.9550000000000001</v>
      </c>
      <c r="N723" t="str">
        <f t="shared" si="22"/>
        <v>Robusta</v>
      </c>
      <c r="O723" t="str">
        <f t="shared" si="23"/>
        <v>Medium</v>
      </c>
      <c r="P723" t="str">
        <f>_xlfn.XLOOKUP(worksheet[[#This Row],[Customer ID]],customers!$A$1:$A$1001,customers!$I$1:$I$1001,0)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
        <v>6222</v>
      </c>
      <c r="H724" s="2" t="str">
        <f>_xlfn.XLOOKUP(C724,customers!$A$1:$A$1001,customers!$G$1:$G$1001,0)</f>
        <v>United States</v>
      </c>
      <c r="I724" t="str">
        <f>_xlfn.XLOOKUP(D724,products!$A$1:$A$49,products!$B$1:$B$49,0)</f>
        <v>Exc</v>
      </c>
      <c r="J724" t="str">
        <f>_xlfn.XLOOKUP(worksheet!D724,products!$A$1:$A$49,products!$C$1:$C$49,0)</f>
        <v>D</v>
      </c>
      <c r="K724" s="5">
        <f>_xlfn.XLOOKUP(worksheet!D724,products!$A$1:$A$49,products!$D$1:$D$49,0)</f>
        <v>1</v>
      </c>
      <c r="L724" s="6">
        <f>_xlfn.XLOOKUP(worksheet!D724,products!$A$1:$A$49,products!$E$1:$E$49,0)</f>
        <v>12.15</v>
      </c>
      <c r="M724" s="6">
        <f>worksheet!E724*worksheet!L724</f>
        <v>24.3</v>
      </c>
      <c r="N724" t="str">
        <f t="shared" si="22"/>
        <v>Excelsa</v>
      </c>
      <c r="O724" t="str">
        <f t="shared" si="23"/>
        <v>Dark</v>
      </c>
      <c r="P724" t="str">
        <f>_xlfn.XLOOKUP(worksheet[[#This Row],[Customer ID]],customers!$A$1:$A$1001,customers!$I$1:$I$1001,0)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
        <v>4577</v>
      </c>
      <c r="H725" s="2" t="str">
        <f>_xlfn.XLOOKUP(C725,customers!$A$1:$A$1001,customers!$G$1:$G$1001,0)</f>
        <v>United States</v>
      </c>
      <c r="I725" t="str">
        <f>_xlfn.XLOOKUP(D725,products!$A$1:$A$49,products!$B$1:$B$49,0)</f>
        <v>Exc</v>
      </c>
      <c r="J725" t="str">
        <f>_xlfn.XLOOKUP(worksheet!D725,products!$A$1:$A$49,products!$C$1:$C$49,0)</f>
        <v>M</v>
      </c>
      <c r="K725" s="5">
        <f>_xlfn.XLOOKUP(worksheet!D725,products!$A$1:$A$49,products!$D$1:$D$49,0)</f>
        <v>2.5</v>
      </c>
      <c r="L725" s="6">
        <f>_xlfn.XLOOKUP(worksheet!D725,products!$A$1:$A$49,products!$E$1:$E$49,0)</f>
        <v>31.624999999999996</v>
      </c>
      <c r="M725" s="6">
        <f>worksheet!E725*worksheet!L725</f>
        <v>63.249999999999993</v>
      </c>
      <c r="N725" t="str">
        <f t="shared" si="22"/>
        <v>Excelsa</v>
      </c>
      <c r="O725" t="str">
        <f t="shared" si="23"/>
        <v>Medium</v>
      </c>
      <c r="P725" t="str">
        <f>_xlfn.XLOOKUP(worksheet[[#This Row],[Customer ID]],customers!$A$1:$A$1001,customers!$I$1:$I$1001,0)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
        <v>6222</v>
      </c>
      <c r="H726" s="2" t="str">
        <f>_xlfn.XLOOKUP(C726,customers!$A$1:$A$1001,customers!$G$1:$G$1001,0)</f>
        <v>United States</v>
      </c>
      <c r="I726" t="str">
        <f>_xlfn.XLOOKUP(D726,products!$A$1:$A$49,products!$B$1:$B$49,0)</f>
        <v>Ara</v>
      </c>
      <c r="J726" t="str">
        <f>_xlfn.XLOOKUP(worksheet!D726,products!$A$1:$A$49,products!$C$1:$C$49,0)</f>
        <v>M</v>
      </c>
      <c r="K726" s="5">
        <f>_xlfn.XLOOKUP(worksheet!D726,products!$A$1:$A$49,products!$D$1:$D$49,0)</f>
        <v>0.2</v>
      </c>
      <c r="L726" s="6">
        <f>_xlfn.XLOOKUP(worksheet!D726,products!$A$1:$A$49,products!$E$1:$E$49,0)</f>
        <v>3.375</v>
      </c>
      <c r="M726" s="6">
        <f>worksheet!E726*worksheet!L726</f>
        <v>6.75</v>
      </c>
      <c r="N726" t="str">
        <f t="shared" si="22"/>
        <v>Arabica</v>
      </c>
      <c r="O726" t="str">
        <f t="shared" si="23"/>
        <v>Medium</v>
      </c>
      <c r="P726" t="str">
        <f>_xlfn.XLOOKUP(worksheet[[#This Row],[Customer ID]],customers!$A$1:$A$1001,customers!$I$1:$I$1001,0)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
        <v>4588</v>
      </c>
      <c r="H727" s="2" t="str">
        <f>_xlfn.XLOOKUP(C727,customers!$A$1:$A$1001,customers!$G$1:$G$1001,0)</f>
        <v>United States</v>
      </c>
      <c r="I727" t="str">
        <f>_xlfn.XLOOKUP(D727,products!$A$1:$A$49,products!$B$1:$B$49,0)</f>
        <v>Ara</v>
      </c>
      <c r="J727" t="str">
        <f>_xlfn.XLOOKUP(worksheet!D727,products!$A$1:$A$49,products!$C$1:$C$49,0)</f>
        <v>L</v>
      </c>
      <c r="K727" s="5">
        <f>_xlfn.XLOOKUP(worksheet!D727,products!$A$1:$A$49,products!$D$1:$D$49,0)</f>
        <v>0.2</v>
      </c>
      <c r="L727" s="6">
        <f>_xlfn.XLOOKUP(worksheet!D727,products!$A$1:$A$49,products!$E$1:$E$49,0)</f>
        <v>3.8849999999999998</v>
      </c>
      <c r="M727" s="6">
        <f>worksheet!E727*worksheet!L727</f>
        <v>23.31</v>
      </c>
      <c r="N727" t="str">
        <f t="shared" si="22"/>
        <v>Arabica</v>
      </c>
      <c r="O727" t="str">
        <f t="shared" si="23"/>
        <v>Light</v>
      </c>
      <c r="P727" t="str">
        <f>_xlfn.XLOOKUP(worksheet[[#This Row],[Customer ID]],customers!$A$1:$A$1001,customers!$I$1:$I$1001,0)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
        <v>6222</v>
      </c>
      <c r="H728" s="2" t="str">
        <f>_xlfn.XLOOKUP(C728,customers!$A$1:$A$1001,customers!$G$1:$G$1001,0)</f>
        <v>United States</v>
      </c>
      <c r="I728" t="str">
        <f>_xlfn.XLOOKUP(D728,products!$A$1:$A$49,products!$B$1:$B$49,0)</f>
        <v>Lib</v>
      </c>
      <c r="J728" t="str">
        <f>_xlfn.XLOOKUP(worksheet!D728,products!$A$1:$A$49,products!$C$1:$C$49,0)</f>
        <v>L</v>
      </c>
      <c r="K728" s="5">
        <f>_xlfn.XLOOKUP(worksheet!D728,products!$A$1:$A$49,products!$D$1:$D$49,0)</f>
        <v>2.5</v>
      </c>
      <c r="L728" s="6">
        <f>_xlfn.XLOOKUP(worksheet!D728,products!$A$1:$A$49,products!$E$1:$E$49,0)</f>
        <v>36.454999999999998</v>
      </c>
      <c r="M728" s="6">
        <f>worksheet!E728*worksheet!L728</f>
        <v>145.82</v>
      </c>
      <c r="N728" t="str">
        <f t="shared" si="22"/>
        <v>Liberica</v>
      </c>
      <c r="O728" t="str">
        <f t="shared" si="23"/>
        <v>Light</v>
      </c>
      <c r="P728" t="str">
        <f>_xlfn.XLOOKUP(worksheet[[#This Row],[Customer ID]],customers!$A$1:$A$1001,customers!$I$1:$I$1001,0)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
        <v>4599</v>
      </c>
      <c r="H729" s="2" t="str">
        <f>_xlfn.XLOOKUP(C729,customers!$A$1:$A$1001,customers!$G$1:$G$1001,0)</f>
        <v>Ireland</v>
      </c>
      <c r="I729" t="str">
        <f>_xlfn.XLOOKUP(D729,products!$A$1:$A$49,products!$B$1:$B$49,0)</f>
        <v>Rob</v>
      </c>
      <c r="J729" t="str">
        <f>_xlfn.XLOOKUP(worksheet!D729,products!$A$1:$A$49,products!$C$1:$C$49,0)</f>
        <v>M</v>
      </c>
      <c r="K729" s="5">
        <f>_xlfn.XLOOKUP(worksheet!D729,products!$A$1:$A$49,products!$D$1:$D$49,0)</f>
        <v>0.5</v>
      </c>
      <c r="L729" s="6">
        <f>_xlfn.XLOOKUP(worksheet!D729,products!$A$1:$A$49,products!$E$1:$E$49,0)</f>
        <v>5.97</v>
      </c>
      <c r="M729" s="6">
        <f>worksheet!E729*worksheet!L729</f>
        <v>29.849999999999998</v>
      </c>
      <c r="N729" t="str">
        <f t="shared" si="22"/>
        <v>Robusta</v>
      </c>
      <c r="O729" t="str">
        <f t="shared" si="23"/>
        <v>Medium</v>
      </c>
      <c r="P729" t="str">
        <f>_xlfn.XLOOKUP(worksheet[[#This Row],[Customer ID]],customers!$A$1:$A$1001,customers!$I$1:$I$1001,0)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
        <v>4605</v>
      </c>
      <c r="H730" s="2" t="str">
        <f>_xlfn.XLOOKUP(C730,customers!$A$1:$A$1001,customers!$G$1:$G$1001,0)</f>
        <v>United States</v>
      </c>
      <c r="I730" t="str">
        <f>_xlfn.XLOOKUP(D730,products!$A$1:$A$49,products!$B$1:$B$49,0)</f>
        <v>Exc</v>
      </c>
      <c r="J730" t="str">
        <f>_xlfn.XLOOKUP(worksheet!D730,products!$A$1:$A$49,products!$C$1:$C$49,0)</f>
        <v>D</v>
      </c>
      <c r="K730" s="5">
        <f>_xlfn.XLOOKUP(worksheet!D730,products!$A$1:$A$49,products!$D$1:$D$49,0)</f>
        <v>0.5</v>
      </c>
      <c r="L730" s="6">
        <f>_xlfn.XLOOKUP(worksheet!D730,products!$A$1:$A$49,products!$E$1:$E$49,0)</f>
        <v>7.29</v>
      </c>
      <c r="M730" s="6">
        <f>worksheet!E730*worksheet!L730</f>
        <v>21.87</v>
      </c>
      <c r="N730" t="str">
        <f t="shared" si="22"/>
        <v>Excelsa</v>
      </c>
      <c r="O730" t="str">
        <f t="shared" si="23"/>
        <v>Dark</v>
      </c>
      <c r="P730" t="str">
        <f>_xlfn.XLOOKUP(worksheet[[#This Row],[Customer ID]],customers!$A$1:$A$1001,customers!$I$1:$I$1001,0)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
        <v>4611</v>
      </c>
      <c r="H731" s="2" t="str">
        <f>_xlfn.XLOOKUP(C731,customers!$A$1:$A$1001,customers!$G$1:$G$1001,0)</f>
        <v>United Kingdom</v>
      </c>
      <c r="I731" t="str">
        <f>_xlfn.XLOOKUP(D731,products!$A$1:$A$49,products!$B$1:$B$49,0)</f>
        <v>Lib</v>
      </c>
      <c r="J731" t="str">
        <f>_xlfn.XLOOKUP(worksheet!D731,products!$A$1:$A$49,products!$C$1:$C$49,0)</f>
        <v>M</v>
      </c>
      <c r="K731" s="5">
        <f>_xlfn.XLOOKUP(worksheet!D731,products!$A$1:$A$49,products!$D$1:$D$49,0)</f>
        <v>0.2</v>
      </c>
      <c r="L731" s="6">
        <f>_xlfn.XLOOKUP(worksheet!D731,products!$A$1:$A$49,products!$E$1:$E$49,0)</f>
        <v>4.3650000000000002</v>
      </c>
      <c r="M731" s="6">
        <f>worksheet!E731*worksheet!L731</f>
        <v>4.3650000000000002</v>
      </c>
      <c r="N731" t="str">
        <f t="shared" si="22"/>
        <v>Liberica</v>
      </c>
      <c r="O731" t="str">
        <f t="shared" si="23"/>
        <v>Medium</v>
      </c>
      <c r="P731" t="str">
        <f>_xlfn.XLOOKUP(worksheet[[#This Row],[Customer ID]],customers!$A$1:$A$1001,customers!$I$1:$I$1001,0)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
        <v>4617</v>
      </c>
      <c r="H732" s="2" t="str">
        <f>_xlfn.XLOOKUP(C732,customers!$A$1:$A$1001,customers!$G$1:$G$1001,0)</f>
        <v>United States</v>
      </c>
      <c r="I732" t="str">
        <f>_xlfn.XLOOKUP(D732,products!$A$1:$A$49,products!$B$1:$B$49,0)</f>
        <v>Lib</v>
      </c>
      <c r="J732" t="str">
        <f>_xlfn.XLOOKUP(worksheet!D732,products!$A$1:$A$49,products!$C$1:$C$49,0)</f>
        <v>L</v>
      </c>
      <c r="K732" s="5">
        <f>_xlfn.XLOOKUP(worksheet!D732,products!$A$1:$A$49,products!$D$1:$D$49,0)</f>
        <v>2.5</v>
      </c>
      <c r="L732" s="6">
        <f>_xlfn.XLOOKUP(worksheet!D732,products!$A$1:$A$49,products!$E$1:$E$49,0)</f>
        <v>36.454999999999998</v>
      </c>
      <c r="M732" s="6">
        <f>worksheet!E732*worksheet!L732</f>
        <v>36.454999999999998</v>
      </c>
      <c r="N732" t="str">
        <f t="shared" si="22"/>
        <v>Liberica</v>
      </c>
      <c r="O732" t="str">
        <f t="shared" si="23"/>
        <v>Light</v>
      </c>
      <c r="P732" t="str">
        <f>_xlfn.XLOOKUP(worksheet[[#This Row],[Customer ID]],customers!$A$1:$A$1001,customers!$I$1:$I$1001,0)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
        <v>6222</v>
      </c>
      <c r="H733" s="2" t="str">
        <f>_xlfn.XLOOKUP(C733,customers!$A$1:$A$1001,customers!$G$1:$G$1001,0)</f>
        <v>United States</v>
      </c>
      <c r="I733" t="str">
        <f>_xlfn.XLOOKUP(D733,products!$A$1:$A$49,products!$B$1:$B$49,0)</f>
        <v>Lib</v>
      </c>
      <c r="J733" t="str">
        <f>_xlfn.XLOOKUP(worksheet!D733,products!$A$1:$A$49,products!$C$1:$C$49,0)</f>
        <v>D</v>
      </c>
      <c r="K733" s="5">
        <f>_xlfn.XLOOKUP(worksheet!D733,products!$A$1:$A$49,products!$D$1:$D$49,0)</f>
        <v>0.2</v>
      </c>
      <c r="L733" s="6">
        <f>_xlfn.XLOOKUP(worksheet!D733,products!$A$1:$A$49,products!$E$1:$E$49,0)</f>
        <v>3.8849999999999998</v>
      </c>
      <c r="M733" s="6">
        <f>worksheet!E733*worksheet!L733</f>
        <v>15.54</v>
      </c>
      <c r="N733" t="str">
        <f t="shared" si="22"/>
        <v>Liberica</v>
      </c>
      <c r="O733" t="str">
        <f t="shared" si="23"/>
        <v>Dark</v>
      </c>
      <c r="P733" t="str">
        <f>_xlfn.XLOOKUP(worksheet[[#This Row],[Customer ID]],customers!$A$1:$A$1001,customers!$I$1:$I$1001,0)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
        <v>4628</v>
      </c>
      <c r="H734" s="2" t="str">
        <f>_xlfn.XLOOKUP(C734,customers!$A$1:$A$1001,customers!$G$1:$G$1001,0)</f>
        <v>United States</v>
      </c>
      <c r="I734" t="str">
        <f>_xlfn.XLOOKUP(D734,products!$A$1:$A$49,products!$B$1:$B$49,0)</f>
        <v>Exc</v>
      </c>
      <c r="J734" t="str">
        <f>_xlfn.XLOOKUP(worksheet!D734,products!$A$1:$A$49,products!$C$1:$C$49,0)</f>
        <v>L</v>
      </c>
      <c r="K734" s="5">
        <f>_xlfn.XLOOKUP(worksheet!D734,products!$A$1:$A$49,products!$D$1:$D$49,0)</f>
        <v>0.2</v>
      </c>
      <c r="L734" s="6">
        <f>_xlfn.XLOOKUP(worksheet!D734,products!$A$1:$A$49,products!$E$1:$E$49,0)</f>
        <v>4.4550000000000001</v>
      </c>
      <c r="M734" s="6">
        <f>worksheet!E734*worksheet!L734</f>
        <v>8.91</v>
      </c>
      <c r="N734" t="str">
        <f t="shared" si="22"/>
        <v>Excelsa</v>
      </c>
      <c r="O734" t="str">
        <f t="shared" si="23"/>
        <v>Light</v>
      </c>
      <c r="P734" t="str">
        <f>_xlfn.XLOOKUP(worksheet[[#This Row],[Customer ID]],customers!$A$1:$A$1001,customers!$I$1:$I$1001,0)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
        <v>4634</v>
      </c>
      <c r="H735" s="2" t="str">
        <f>_xlfn.XLOOKUP(C735,customers!$A$1:$A$1001,customers!$G$1:$G$1001,0)</f>
        <v>United States</v>
      </c>
      <c r="I735" t="str">
        <f>_xlfn.XLOOKUP(D735,products!$A$1:$A$49,products!$B$1:$B$49,0)</f>
        <v>Lib</v>
      </c>
      <c r="J735" t="str">
        <f>_xlfn.XLOOKUP(worksheet!D735,products!$A$1:$A$49,products!$C$1:$C$49,0)</f>
        <v>M</v>
      </c>
      <c r="K735" s="5">
        <f>_xlfn.XLOOKUP(worksheet!D735,products!$A$1:$A$49,products!$D$1:$D$49,0)</f>
        <v>2.5</v>
      </c>
      <c r="L735" s="6">
        <f>_xlfn.XLOOKUP(worksheet!D735,products!$A$1:$A$49,products!$E$1:$E$49,0)</f>
        <v>33.464999999999996</v>
      </c>
      <c r="M735" s="6">
        <f>worksheet!E735*worksheet!L735</f>
        <v>100.39499999999998</v>
      </c>
      <c r="N735" t="str">
        <f t="shared" si="22"/>
        <v>Liberica</v>
      </c>
      <c r="O735" t="str">
        <f t="shared" si="23"/>
        <v>Medium</v>
      </c>
      <c r="P735" t="str">
        <f>_xlfn.XLOOKUP(worksheet[[#This Row],[Customer ID]],customers!$A$1:$A$1001,customers!$I$1:$I$1001,0)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
        <v>6222</v>
      </c>
      <c r="H736" s="2" t="str">
        <f>_xlfn.XLOOKUP(C736,customers!$A$1:$A$1001,customers!$G$1:$G$1001,0)</f>
        <v>United States</v>
      </c>
      <c r="I736" t="str">
        <f>_xlfn.XLOOKUP(D736,products!$A$1:$A$49,products!$B$1:$B$49,0)</f>
        <v>Rob</v>
      </c>
      <c r="J736" t="str">
        <f>_xlfn.XLOOKUP(worksheet!D736,products!$A$1:$A$49,products!$C$1:$C$49,0)</f>
        <v>D</v>
      </c>
      <c r="K736" s="5">
        <f>_xlfn.XLOOKUP(worksheet!D736,products!$A$1:$A$49,products!$D$1:$D$49,0)</f>
        <v>0.2</v>
      </c>
      <c r="L736" s="6">
        <f>_xlfn.XLOOKUP(worksheet!D736,products!$A$1:$A$49,products!$E$1:$E$49,0)</f>
        <v>2.6849999999999996</v>
      </c>
      <c r="M736" s="6">
        <f>worksheet!E736*worksheet!L736</f>
        <v>13.424999999999997</v>
      </c>
      <c r="N736" t="str">
        <f t="shared" si="22"/>
        <v>Robusta</v>
      </c>
      <c r="O736" t="str">
        <f t="shared" si="23"/>
        <v>Dark</v>
      </c>
      <c r="P736" t="str">
        <f>_xlfn.XLOOKUP(worksheet[[#This Row],[Customer ID]],customers!$A$1:$A$1001,customers!$I$1:$I$1001,0)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
        <v>4645</v>
      </c>
      <c r="H737" s="2" t="str">
        <f>_xlfn.XLOOKUP(C737,customers!$A$1:$A$1001,customers!$G$1:$G$1001,0)</f>
        <v>United States</v>
      </c>
      <c r="I737" t="str">
        <f>_xlfn.XLOOKUP(D737,products!$A$1:$A$49,products!$B$1:$B$49,0)</f>
        <v>Exc</v>
      </c>
      <c r="J737" t="str">
        <f>_xlfn.XLOOKUP(worksheet!D737,products!$A$1:$A$49,products!$C$1:$C$49,0)</f>
        <v>D</v>
      </c>
      <c r="K737" s="5">
        <f>_xlfn.XLOOKUP(worksheet!D737,products!$A$1:$A$49,products!$D$1:$D$49,0)</f>
        <v>0.2</v>
      </c>
      <c r="L737" s="6">
        <f>_xlfn.XLOOKUP(worksheet!D737,products!$A$1:$A$49,products!$E$1:$E$49,0)</f>
        <v>3.645</v>
      </c>
      <c r="M737" s="6">
        <f>worksheet!E737*worksheet!L737</f>
        <v>21.87</v>
      </c>
      <c r="N737" t="str">
        <f t="shared" si="22"/>
        <v>Excelsa</v>
      </c>
      <c r="O737" t="str">
        <f t="shared" si="23"/>
        <v>Dark</v>
      </c>
      <c r="P737" t="str">
        <f>_xlfn.XLOOKUP(worksheet[[#This Row],[Customer ID]],customers!$A$1:$A$1001,customers!$I$1:$I$1001,0)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
        <v>4650</v>
      </c>
      <c r="H738" s="2" t="str">
        <f>_xlfn.XLOOKUP(C738,customers!$A$1:$A$1001,customers!$G$1:$G$1001,0)</f>
        <v>Ireland</v>
      </c>
      <c r="I738" t="str">
        <f>_xlfn.XLOOKUP(D738,products!$A$1:$A$49,products!$B$1:$B$49,0)</f>
        <v>Lib</v>
      </c>
      <c r="J738" t="str">
        <f>_xlfn.XLOOKUP(worksheet!D738,products!$A$1:$A$49,products!$C$1:$C$49,0)</f>
        <v>D</v>
      </c>
      <c r="K738" s="5">
        <f>_xlfn.XLOOKUP(worksheet!D738,products!$A$1:$A$49,products!$D$1:$D$49,0)</f>
        <v>1</v>
      </c>
      <c r="L738" s="6">
        <f>_xlfn.XLOOKUP(worksheet!D738,products!$A$1:$A$49,products!$E$1:$E$49,0)</f>
        <v>12.95</v>
      </c>
      <c r="M738" s="6">
        <f>worksheet!E738*worksheet!L738</f>
        <v>25.9</v>
      </c>
      <c r="N738" t="str">
        <f t="shared" si="22"/>
        <v>Liberica</v>
      </c>
      <c r="O738" t="str">
        <f t="shared" si="23"/>
        <v>Dark</v>
      </c>
      <c r="P738" t="str">
        <f>_xlfn.XLOOKUP(worksheet[[#This Row],[Customer ID]],customers!$A$1:$A$1001,customers!$I$1:$I$1001,0)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
        <v>4656</v>
      </c>
      <c r="H739" s="2" t="str">
        <f>_xlfn.XLOOKUP(C739,customers!$A$1:$A$1001,customers!$G$1:$G$1001,0)</f>
        <v>United States</v>
      </c>
      <c r="I739" t="str">
        <f>_xlfn.XLOOKUP(D739,products!$A$1:$A$49,products!$B$1:$B$49,0)</f>
        <v>Ara</v>
      </c>
      <c r="J739" t="str">
        <f>_xlfn.XLOOKUP(worksheet!D739,products!$A$1:$A$49,products!$C$1:$C$49,0)</f>
        <v>M</v>
      </c>
      <c r="K739" s="5">
        <f>_xlfn.XLOOKUP(worksheet!D739,products!$A$1:$A$49,products!$D$1:$D$49,0)</f>
        <v>1</v>
      </c>
      <c r="L739" s="6">
        <f>_xlfn.XLOOKUP(worksheet!D739,products!$A$1:$A$49,products!$E$1:$E$49,0)</f>
        <v>11.25</v>
      </c>
      <c r="M739" s="6">
        <f>worksheet!E739*worksheet!L739</f>
        <v>56.25</v>
      </c>
      <c r="N739" t="str">
        <f t="shared" si="22"/>
        <v>Arabica</v>
      </c>
      <c r="O739" t="str">
        <f t="shared" si="23"/>
        <v>Medium</v>
      </c>
      <c r="P739" t="str">
        <f>_xlfn.XLOOKUP(worksheet[[#This Row],[Customer ID]],customers!$A$1:$A$1001,customers!$I$1:$I$1001,0)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
        <v>4662</v>
      </c>
      <c r="H740" s="2" t="str">
        <f>_xlfn.XLOOKUP(C740,customers!$A$1:$A$1001,customers!$G$1:$G$1001,0)</f>
        <v>United Kingdom</v>
      </c>
      <c r="I740" t="str">
        <f>_xlfn.XLOOKUP(D740,products!$A$1:$A$49,products!$B$1:$B$49,0)</f>
        <v>Rob</v>
      </c>
      <c r="J740" t="str">
        <f>_xlfn.XLOOKUP(worksheet!D740,products!$A$1:$A$49,products!$C$1:$C$49,0)</f>
        <v>L</v>
      </c>
      <c r="K740" s="5">
        <f>_xlfn.XLOOKUP(worksheet!D740,products!$A$1:$A$49,products!$D$1:$D$49,0)</f>
        <v>0.2</v>
      </c>
      <c r="L740" s="6">
        <f>_xlfn.XLOOKUP(worksheet!D740,products!$A$1:$A$49,products!$E$1:$E$49,0)</f>
        <v>3.5849999999999995</v>
      </c>
      <c r="M740" s="6">
        <f>worksheet!E740*worksheet!L740</f>
        <v>10.754999999999999</v>
      </c>
      <c r="N740" t="str">
        <f t="shared" si="22"/>
        <v>Robusta</v>
      </c>
      <c r="O740" t="str">
        <f t="shared" si="23"/>
        <v>Light</v>
      </c>
      <c r="P740" t="str">
        <f>_xlfn.XLOOKUP(worksheet[[#This Row],[Customer ID]],customers!$A$1:$A$1001,customers!$I$1:$I$1001,0)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
        <v>4436</v>
      </c>
      <c r="H741" s="2" t="str">
        <f>_xlfn.XLOOKUP(C741,customers!$A$1:$A$1001,customers!$G$1:$G$1001,0)</f>
        <v>Ireland</v>
      </c>
      <c r="I741" t="str">
        <f>_xlfn.XLOOKUP(D741,products!$A$1:$A$49,products!$B$1:$B$49,0)</f>
        <v>Exc</v>
      </c>
      <c r="J741" t="str">
        <f>_xlfn.XLOOKUP(worksheet!D741,products!$A$1:$A$49,products!$C$1:$C$49,0)</f>
        <v>D</v>
      </c>
      <c r="K741" s="5">
        <f>_xlfn.XLOOKUP(worksheet!D741,products!$A$1:$A$49,products!$D$1:$D$49,0)</f>
        <v>0.2</v>
      </c>
      <c r="L741" s="6">
        <f>_xlfn.XLOOKUP(worksheet!D741,products!$A$1:$A$49,products!$E$1:$E$49,0)</f>
        <v>3.645</v>
      </c>
      <c r="M741" s="6">
        <f>worksheet!E741*worksheet!L741</f>
        <v>18.225000000000001</v>
      </c>
      <c r="N741" t="str">
        <f t="shared" si="22"/>
        <v>Excelsa</v>
      </c>
      <c r="O741" t="str">
        <f t="shared" si="23"/>
        <v>Dark</v>
      </c>
      <c r="P741" t="str">
        <f>_xlfn.XLOOKUP(worksheet[[#This Row],[Customer ID]],customers!$A$1:$A$1001,customers!$I$1:$I$1001,0)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
        <v>4673</v>
      </c>
      <c r="H742" s="2" t="str">
        <f>_xlfn.XLOOKUP(C742,customers!$A$1:$A$1001,customers!$G$1:$G$1001,0)</f>
        <v>Ireland</v>
      </c>
      <c r="I742" t="str">
        <f>_xlfn.XLOOKUP(D742,products!$A$1:$A$49,products!$B$1:$B$49,0)</f>
        <v>Rob</v>
      </c>
      <c r="J742" t="str">
        <f>_xlfn.XLOOKUP(worksheet!D742,products!$A$1:$A$49,products!$C$1:$C$49,0)</f>
        <v>L</v>
      </c>
      <c r="K742" s="5">
        <f>_xlfn.XLOOKUP(worksheet!D742,products!$A$1:$A$49,products!$D$1:$D$49,0)</f>
        <v>0.5</v>
      </c>
      <c r="L742" s="6">
        <f>_xlfn.XLOOKUP(worksheet!D742,products!$A$1:$A$49,products!$E$1:$E$49,0)</f>
        <v>7.169999999999999</v>
      </c>
      <c r="M742" s="6">
        <f>worksheet!E742*worksheet!L742</f>
        <v>28.679999999999996</v>
      </c>
      <c r="N742" t="str">
        <f t="shared" si="22"/>
        <v>Robusta</v>
      </c>
      <c r="O742" t="str">
        <f t="shared" si="23"/>
        <v>Light</v>
      </c>
      <c r="P742" t="str">
        <f>_xlfn.XLOOKUP(worksheet[[#This Row],[Customer ID]],customers!$A$1:$A$1001,customers!$I$1:$I$1001,0)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
        <v>4679</v>
      </c>
      <c r="H743" s="2" t="str">
        <f>_xlfn.XLOOKUP(C743,customers!$A$1:$A$1001,customers!$G$1:$G$1001,0)</f>
        <v>United States</v>
      </c>
      <c r="I743" t="str">
        <f>_xlfn.XLOOKUP(D743,products!$A$1:$A$49,products!$B$1:$B$49,0)</f>
        <v>Lib</v>
      </c>
      <c r="J743" t="str">
        <f>_xlfn.XLOOKUP(worksheet!D743,products!$A$1:$A$49,products!$C$1:$C$49,0)</f>
        <v>M</v>
      </c>
      <c r="K743" s="5">
        <f>_xlfn.XLOOKUP(worksheet!D743,products!$A$1:$A$49,products!$D$1:$D$49,0)</f>
        <v>0.2</v>
      </c>
      <c r="L743" s="6">
        <f>_xlfn.XLOOKUP(worksheet!D743,products!$A$1:$A$49,products!$E$1:$E$49,0)</f>
        <v>4.3650000000000002</v>
      </c>
      <c r="M743" s="6">
        <f>worksheet!E743*worksheet!L743</f>
        <v>8.73</v>
      </c>
      <c r="N743" t="str">
        <f t="shared" si="22"/>
        <v>Liberica</v>
      </c>
      <c r="O743" t="str">
        <f t="shared" si="23"/>
        <v>Medium</v>
      </c>
      <c r="P743" t="str">
        <f>_xlfn.XLOOKUP(worksheet[[#This Row],[Customer ID]],customers!$A$1:$A$1001,customers!$I$1:$I$1001,0)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
        <v>4685</v>
      </c>
      <c r="H744" s="2" t="str">
        <f>_xlfn.XLOOKUP(C744,customers!$A$1:$A$1001,customers!$G$1:$G$1001,0)</f>
        <v>United States</v>
      </c>
      <c r="I744" t="str">
        <f>_xlfn.XLOOKUP(D744,products!$A$1:$A$49,products!$B$1:$B$49,0)</f>
        <v>Lib</v>
      </c>
      <c r="J744" t="str">
        <f>_xlfn.XLOOKUP(worksheet!D744,products!$A$1:$A$49,products!$C$1:$C$49,0)</f>
        <v>M</v>
      </c>
      <c r="K744" s="5">
        <f>_xlfn.XLOOKUP(worksheet!D744,products!$A$1:$A$49,products!$D$1:$D$49,0)</f>
        <v>1</v>
      </c>
      <c r="L744" s="6">
        <f>_xlfn.XLOOKUP(worksheet!D744,products!$A$1:$A$49,products!$E$1:$E$49,0)</f>
        <v>14.55</v>
      </c>
      <c r="M744" s="6">
        <f>worksheet!E744*worksheet!L744</f>
        <v>58.2</v>
      </c>
      <c r="N744" t="str">
        <f t="shared" si="22"/>
        <v>Liberica</v>
      </c>
      <c r="O744" t="str">
        <f t="shared" si="23"/>
        <v>Medium</v>
      </c>
      <c r="P744" t="str">
        <f>_xlfn.XLOOKUP(worksheet[[#This Row],[Customer ID]],customers!$A$1:$A$1001,customers!$I$1:$I$1001,0)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
        <v>4691</v>
      </c>
      <c r="H745" s="2" t="str">
        <f>_xlfn.XLOOKUP(C745,customers!$A$1:$A$1001,customers!$G$1:$G$1001,0)</f>
        <v>United States</v>
      </c>
      <c r="I745" t="str">
        <f>_xlfn.XLOOKUP(D745,products!$A$1:$A$49,products!$B$1:$B$49,0)</f>
        <v>Ara</v>
      </c>
      <c r="J745" t="str">
        <f>_xlfn.XLOOKUP(worksheet!D745,products!$A$1:$A$49,products!$C$1:$C$49,0)</f>
        <v>D</v>
      </c>
      <c r="K745" s="5">
        <f>_xlfn.XLOOKUP(worksheet!D745,products!$A$1:$A$49,products!$D$1:$D$49,0)</f>
        <v>0.5</v>
      </c>
      <c r="L745" s="6">
        <f>_xlfn.XLOOKUP(worksheet!D745,products!$A$1:$A$49,products!$E$1:$E$49,0)</f>
        <v>5.97</v>
      </c>
      <c r="M745" s="6">
        <f>worksheet!E745*worksheet!L745</f>
        <v>17.91</v>
      </c>
      <c r="N745" t="str">
        <f t="shared" si="22"/>
        <v>Arabica</v>
      </c>
      <c r="O745" t="str">
        <f t="shared" si="23"/>
        <v>Dark</v>
      </c>
      <c r="P745" t="str">
        <f>_xlfn.XLOOKUP(worksheet[[#This Row],[Customer ID]],customers!$A$1:$A$1001,customers!$I$1:$I$1001,0)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
        <v>6222</v>
      </c>
      <c r="H746" s="2" t="str">
        <f>_xlfn.XLOOKUP(C746,customers!$A$1:$A$1001,customers!$G$1:$G$1001,0)</f>
        <v>United States</v>
      </c>
      <c r="I746" t="str">
        <f>_xlfn.XLOOKUP(D746,products!$A$1:$A$49,products!$B$1:$B$49,0)</f>
        <v>Rob</v>
      </c>
      <c r="J746" t="str">
        <f>_xlfn.XLOOKUP(worksheet!D746,products!$A$1:$A$49,products!$C$1:$C$49,0)</f>
        <v>M</v>
      </c>
      <c r="K746" s="5">
        <f>_xlfn.XLOOKUP(worksheet!D746,products!$A$1:$A$49,products!$D$1:$D$49,0)</f>
        <v>0.2</v>
      </c>
      <c r="L746" s="6">
        <f>_xlfn.XLOOKUP(worksheet!D746,products!$A$1:$A$49,products!$E$1:$E$49,0)</f>
        <v>2.9849999999999999</v>
      </c>
      <c r="M746" s="6">
        <f>worksheet!E746*worksheet!L746</f>
        <v>17.91</v>
      </c>
      <c r="N746" t="str">
        <f t="shared" si="22"/>
        <v>Robusta</v>
      </c>
      <c r="O746" t="str">
        <f t="shared" si="23"/>
        <v>Medium</v>
      </c>
      <c r="P746" t="str">
        <f>_xlfn.XLOOKUP(worksheet[[#This Row],[Customer ID]],customers!$A$1:$A$1001,customers!$I$1:$I$1001,0)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
        <v>4702</v>
      </c>
      <c r="H747" s="2" t="str">
        <f>_xlfn.XLOOKUP(C747,customers!$A$1:$A$1001,customers!$G$1:$G$1001,0)</f>
        <v>Ireland</v>
      </c>
      <c r="I747" t="str">
        <f>_xlfn.XLOOKUP(D747,products!$A$1:$A$49,products!$B$1:$B$49,0)</f>
        <v>Exc</v>
      </c>
      <c r="J747" t="str">
        <f>_xlfn.XLOOKUP(worksheet!D747,products!$A$1:$A$49,products!$C$1:$C$49,0)</f>
        <v>D</v>
      </c>
      <c r="K747" s="5">
        <f>_xlfn.XLOOKUP(worksheet!D747,products!$A$1:$A$49,products!$D$1:$D$49,0)</f>
        <v>0.5</v>
      </c>
      <c r="L747" s="6">
        <f>_xlfn.XLOOKUP(worksheet!D747,products!$A$1:$A$49,products!$E$1:$E$49,0)</f>
        <v>7.29</v>
      </c>
      <c r="M747" s="6">
        <f>worksheet!E747*worksheet!L747</f>
        <v>14.58</v>
      </c>
      <c r="N747" t="str">
        <f t="shared" si="22"/>
        <v>Excelsa</v>
      </c>
      <c r="O747" t="str">
        <f t="shared" si="23"/>
        <v>Dark</v>
      </c>
      <c r="P747" t="str">
        <f>_xlfn.XLOOKUP(worksheet[[#This Row],[Customer ID]],customers!$A$1:$A$1001,customers!$I$1:$I$1001,0)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
        <v>4708</v>
      </c>
      <c r="H748" s="2" t="str">
        <f>_xlfn.XLOOKUP(C748,customers!$A$1:$A$1001,customers!$G$1:$G$1001,0)</f>
        <v>Ireland</v>
      </c>
      <c r="I748" t="str">
        <f>_xlfn.XLOOKUP(D748,products!$A$1:$A$49,products!$B$1:$B$49,0)</f>
        <v>Ara</v>
      </c>
      <c r="J748" t="str">
        <f>_xlfn.XLOOKUP(worksheet!D748,products!$A$1:$A$49,products!$C$1:$C$49,0)</f>
        <v>M</v>
      </c>
      <c r="K748" s="5">
        <f>_xlfn.XLOOKUP(worksheet!D748,products!$A$1:$A$49,products!$D$1:$D$49,0)</f>
        <v>1</v>
      </c>
      <c r="L748" s="6">
        <f>_xlfn.XLOOKUP(worksheet!D748,products!$A$1:$A$49,products!$E$1:$E$49,0)</f>
        <v>11.25</v>
      </c>
      <c r="M748" s="6">
        <f>worksheet!E748*worksheet!L748</f>
        <v>33.75</v>
      </c>
      <c r="N748" t="str">
        <f t="shared" si="22"/>
        <v>Arabica</v>
      </c>
      <c r="O748" t="str">
        <f t="shared" si="23"/>
        <v>Medium</v>
      </c>
      <c r="P748" t="str">
        <f>_xlfn.XLOOKUP(worksheet[[#This Row],[Customer ID]],customers!$A$1:$A$1001,customers!$I$1:$I$1001,0)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
        <v>4714</v>
      </c>
      <c r="H749" s="2" t="str">
        <f>_xlfn.XLOOKUP(C749,customers!$A$1:$A$1001,customers!$G$1:$G$1001,0)</f>
        <v>Ireland</v>
      </c>
      <c r="I749" t="str">
        <f>_xlfn.XLOOKUP(D749,products!$A$1:$A$49,products!$B$1:$B$49,0)</f>
        <v>Lib</v>
      </c>
      <c r="J749" t="str">
        <f>_xlfn.XLOOKUP(worksheet!D749,products!$A$1:$A$49,products!$C$1:$C$49,0)</f>
        <v>M</v>
      </c>
      <c r="K749" s="5">
        <f>_xlfn.XLOOKUP(worksheet!D749,products!$A$1:$A$49,products!$D$1:$D$49,0)</f>
        <v>0.5</v>
      </c>
      <c r="L749" s="6">
        <f>_xlfn.XLOOKUP(worksheet!D749,products!$A$1:$A$49,products!$E$1:$E$49,0)</f>
        <v>8.73</v>
      </c>
      <c r="M749" s="6">
        <f>worksheet!E749*worksheet!L749</f>
        <v>34.92</v>
      </c>
      <c r="N749" t="str">
        <f t="shared" si="22"/>
        <v>Liberica</v>
      </c>
      <c r="O749" t="str">
        <f t="shared" si="23"/>
        <v>Medium</v>
      </c>
      <c r="P749" t="str">
        <f>_xlfn.XLOOKUP(worksheet[[#This Row],[Customer ID]],customers!$A$1:$A$1001,customers!$I$1:$I$1001,0)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
        <v>4720</v>
      </c>
      <c r="H750" s="2" t="str">
        <f>_xlfn.XLOOKUP(C750,customers!$A$1:$A$1001,customers!$G$1:$G$1001,0)</f>
        <v>United States</v>
      </c>
      <c r="I750" t="str">
        <f>_xlfn.XLOOKUP(D750,products!$A$1:$A$49,products!$B$1:$B$49,0)</f>
        <v>Exc</v>
      </c>
      <c r="J750" t="str">
        <f>_xlfn.XLOOKUP(worksheet!D750,products!$A$1:$A$49,products!$C$1:$C$49,0)</f>
        <v>D</v>
      </c>
      <c r="K750" s="5">
        <f>_xlfn.XLOOKUP(worksheet!D750,products!$A$1:$A$49,products!$D$1:$D$49,0)</f>
        <v>0.5</v>
      </c>
      <c r="L750" s="6">
        <f>_xlfn.XLOOKUP(worksheet!D750,products!$A$1:$A$49,products!$E$1:$E$49,0)</f>
        <v>7.29</v>
      </c>
      <c r="M750" s="6">
        <f>worksheet!E750*worksheet!L750</f>
        <v>14.58</v>
      </c>
      <c r="N750" t="str">
        <f t="shared" si="22"/>
        <v>Excelsa</v>
      </c>
      <c r="O750" t="str">
        <f t="shared" si="23"/>
        <v>Dark</v>
      </c>
      <c r="P750" t="str">
        <f>_xlfn.XLOOKUP(worksheet[[#This Row],[Customer ID]],customers!$A$1:$A$1001,customers!$I$1:$I$1001,0)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
        <v>4726</v>
      </c>
      <c r="H751" s="2" t="str">
        <f>_xlfn.XLOOKUP(C751,customers!$A$1:$A$1001,customers!$G$1:$G$1001,0)</f>
        <v>Ireland</v>
      </c>
      <c r="I751" t="str">
        <f>_xlfn.XLOOKUP(D751,products!$A$1:$A$49,products!$B$1:$B$49,0)</f>
        <v>Rob</v>
      </c>
      <c r="J751" t="str">
        <f>_xlfn.XLOOKUP(worksheet!D751,products!$A$1:$A$49,products!$C$1:$C$49,0)</f>
        <v>D</v>
      </c>
      <c r="K751" s="5">
        <f>_xlfn.XLOOKUP(worksheet!D751,products!$A$1:$A$49,products!$D$1:$D$49,0)</f>
        <v>0.2</v>
      </c>
      <c r="L751" s="6">
        <f>_xlfn.XLOOKUP(worksheet!D751,products!$A$1:$A$49,products!$E$1:$E$49,0)</f>
        <v>2.6849999999999996</v>
      </c>
      <c r="M751" s="6">
        <f>worksheet!E751*worksheet!L751</f>
        <v>5.3699999999999992</v>
      </c>
      <c r="N751" t="str">
        <f t="shared" si="22"/>
        <v>Robusta</v>
      </c>
      <c r="O751" t="str">
        <f t="shared" si="23"/>
        <v>Dark</v>
      </c>
      <c r="P751" t="str">
        <f>_xlfn.XLOOKUP(worksheet[[#This Row],[Customer ID]],customers!$A$1:$A$1001,customers!$I$1:$I$1001,0)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
        <v>6222</v>
      </c>
      <c r="H752" s="2" t="str">
        <f>_xlfn.XLOOKUP(C752,customers!$A$1:$A$1001,customers!$G$1:$G$1001,0)</f>
        <v>United States</v>
      </c>
      <c r="I752" t="str">
        <f>_xlfn.XLOOKUP(D752,products!$A$1:$A$49,products!$B$1:$B$49,0)</f>
        <v>Rob</v>
      </c>
      <c r="J752" t="str">
        <f>_xlfn.XLOOKUP(worksheet!D752,products!$A$1:$A$49,products!$C$1:$C$49,0)</f>
        <v>M</v>
      </c>
      <c r="K752" s="5">
        <f>_xlfn.XLOOKUP(worksheet!D752,products!$A$1:$A$49,products!$D$1:$D$49,0)</f>
        <v>0.5</v>
      </c>
      <c r="L752" s="6">
        <f>_xlfn.XLOOKUP(worksheet!D752,products!$A$1:$A$49,products!$E$1:$E$49,0)</f>
        <v>5.97</v>
      </c>
      <c r="M752" s="6">
        <f>worksheet!E752*worksheet!L752</f>
        <v>5.97</v>
      </c>
      <c r="N752" t="str">
        <f t="shared" si="22"/>
        <v>Robusta</v>
      </c>
      <c r="O752" t="str">
        <f t="shared" si="23"/>
        <v>Medium</v>
      </c>
      <c r="P752" t="str">
        <f>_xlfn.XLOOKUP(worksheet[[#This Row],[Customer ID]],customers!$A$1:$A$1001,customers!$I$1:$I$1001,0)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
        <v>4738</v>
      </c>
      <c r="H753" s="2" t="str">
        <f>_xlfn.XLOOKUP(C753,customers!$A$1:$A$1001,customers!$G$1:$G$1001,0)</f>
        <v>United States</v>
      </c>
      <c r="I753" t="str">
        <f>_xlfn.XLOOKUP(D753,products!$A$1:$A$49,products!$B$1:$B$49,0)</f>
        <v>Lib</v>
      </c>
      <c r="J753" t="str">
        <f>_xlfn.XLOOKUP(worksheet!D753,products!$A$1:$A$49,products!$C$1:$C$49,0)</f>
        <v>L</v>
      </c>
      <c r="K753" s="5">
        <f>_xlfn.XLOOKUP(worksheet!D753,products!$A$1:$A$49,products!$D$1:$D$49,0)</f>
        <v>0.5</v>
      </c>
      <c r="L753" s="6">
        <f>_xlfn.XLOOKUP(worksheet!D753,products!$A$1:$A$49,products!$E$1:$E$49,0)</f>
        <v>9.51</v>
      </c>
      <c r="M753" s="6">
        <f>worksheet!E753*worksheet!L753</f>
        <v>19.02</v>
      </c>
      <c r="N753" t="str">
        <f t="shared" si="22"/>
        <v>Liberica</v>
      </c>
      <c r="O753" t="str">
        <f t="shared" si="23"/>
        <v>Light</v>
      </c>
      <c r="P753" t="str">
        <f>_xlfn.XLOOKUP(worksheet[[#This Row],[Customer ID]],customers!$A$1:$A$1001,customers!$I$1:$I$1001,0)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
        <v>4744</v>
      </c>
      <c r="H754" s="2" t="str">
        <f>_xlfn.XLOOKUP(C754,customers!$A$1:$A$1001,customers!$G$1:$G$1001,0)</f>
        <v>United States</v>
      </c>
      <c r="I754" t="str">
        <f>_xlfn.XLOOKUP(D754,products!$A$1:$A$49,products!$B$1:$B$49,0)</f>
        <v>Exc</v>
      </c>
      <c r="J754" t="str">
        <f>_xlfn.XLOOKUP(worksheet!D754,products!$A$1:$A$49,products!$C$1:$C$49,0)</f>
        <v>M</v>
      </c>
      <c r="K754" s="5">
        <f>_xlfn.XLOOKUP(worksheet!D754,products!$A$1:$A$49,products!$D$1:$D$49,0)</f>
        <v>1</v>
      </c>
      <c r="L754" s="6">
        <f>_xlfn.XLOOKUP(worksheet!D754,products!$A$1:$A$49,products!$E$1:$E$49,0)</f>
        <v>13.75</v>
      </c>
      <c r="M754" s="6">
        <f>worksheet!E754*worksheet!L754</f>
        <v>27.5</v>
      </c>
      <c r="N754" t="str">
        <f t="shared" si="22"/>
        <v>Excelsa</v>
      </c>
      <c r="O754" t="str">
        <f t="shared" si="23"/>
        <v>Medium</v>
      </c>
      <c r="P754" t="str">
        <f>_xlfn.XLOOKUP(worksheet[[#This Row],[Customer ID]],customers!$A$1:$A$1001,customers!$I$1:$I$1001,0)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
        <v>4750</v>
      </c>
      <c r="H755" s="2" t="str">
        <f>_xlfn.XLOOKUP(C755,customers!$A$1:$A$1001,customers!$G$1:$G$1001,0)</f>
        <v>United States</v>
      </c>
      <c r="I755" t="str">
        <f>_xlfn.XLOOKUP(D755,products!$A$1:$A$49,products!$B$1:$B$49,0)</f>
        <v>Ara</v>
      </c>
      <c r="J755" t="str">
        <f>_xlfn.XLOOKUP(worksheet!D755,products!$A$1:$A$49,products!$C$1:$C$49,0)</f>
        <v>D</v>
      </c>
      <c r="K755" s="5">
        <f>_xlfn.XLOOKUP(worksheet!D755,products!$A$1:$A$49,products!$D$1:$D$49,0)</f>
        <v>0.5</v>
      </c>
      <c r="L755" s="6">
        <f>_xlfn.XLOOKUP(worksheet!D755,products!$A$1:$A$49,products!$E$1:$E$49,0)</f>
        <v>5.97</v>
      </c>
      <c r="M755" s="6">
        <f>worksheet!E755*worksheet!L755</f>
        <v>29.849999999999998</v>
      </c>
      <c r="N755" t="str">
        <f t="shared" si="22"/>
        <v>Arabica</v>
      </c>
      <c r="O755" t="str">
        <f t="shared" si="23"/>
        <v>Dark</v>
      </c>
      <c r="P755" t="str">
        <f>_xlfn.XLOOKUP(worksheet[[#This Row],[Customer ID]],customers!$A$1:$A$1001,customers!$I$1:$I$1001,0)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
        <v>4436</v>
      </c>
      <c r="H756" s="2" t="str">
        <f>_xlfn.XLOOKUP(C756,customers!$A$1:$A$1001,customers!$G$1:$G$1001,0)</f>
        <v>Ireland</v>
      </c>
      <c r="I756" t="str">
        <f>_xlfn.XLOOKUP(D756,products!$A$1:$A$49,products!$B$1:$B$49,0)</f>
        <v>Ara</v>
      </c>
      <c r="J756" t="str">
        <f>_xlfn.XLOOKUP(worksheet!D756,products!$A$1:$A$49,products!$C$1:$C$49,0)</f>
        <v>D</v>
      </c>
      <c r="K756" s="5">
        <f>_xlfn.XLOOKUP(worksheet!D756,products!$A$1:$A$49,products!$D$1:$D$49,0)</f>
        <v>0.2</v>
      </c>
      <c r="L756" s="6">
        <f>_xlfn.XLOOKUP(worksheet!D756,products!$A$1:$A$49,products!$E$1:$E$49,0)</f>
        <v>2.9849999999999999</v>
      </c>
      <c r="M756" s="6">
        <f>worksheet!E756*worksheet!L756</f>
        <v>17.91</v>
      </c>
      <c r="N756" t="str">
        <f t="shared" si="22"/>
        <v>Arabica</v>
      </c>
      <c r="O756" t="str">
        <f t="shared" si="23"/>
        <v>Dark</v>
      </c>
      <c r="P756" t="str">
        <f>_xlfn.XLOOKUP(worksheet[[#This Row],[Customer ID]],customers!$A$1:$A$1001,customers!$I$1:$I$1001,0)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
        <v>4761</v>
      </c>
      <c r="H757" s="2" t="str">
        <f>_xlfn.XLOOKUP(C757,customers!$A$1:$A$1001,customers!$G$1:$G$1001,0)</f>
        <v>United States</v>
      </c>
      <c r="I757" t="str">
        <f>_xlfn.XLOOKUP(D757,products!$A$1:$A$49,products!$B$1:$B$49,0)</f>
        <v>Lib</v>
      </c>
      <c r="J757" t="str">
        <f>_xlfn.XLOOKUP(worksheet!D757,products!$A$1:$A$49,products!$C$1:$C$49,0)</f>
        <v>L</v>
      </c>
      <c r="K757" s="5">
        <f>_xlfn.XLOOKUP(worksheet!D757,products!$A$1:$A$49,products!$D$1:$D$49,0)</f>
        <v>0.2</v>
      </c>
      <c r="L757" s="6">
        <f>_xlfn.XLOOKUP(worksheet!D757,products!$A$1:$A$49,products!$E$1:$E$49,0)</f>
        <v>4.7549999999999999</v>
      </c>
      <c r="M757" s="6">
        <f>worksheet!E757*worksheet!L757</f>
        <v>28.53</v>
      </c>
      <c r="N757" t="str">
        <f t="shared" si="22"/>
        <v>Liberica</v>
      </c>
      <c r="O757" t="str">
        <f t="shared" si="23"/>
        <v>Light</v>
      </c>
      <c r="P757" t="str">
        <f>_xlfn.XLOOKUP(worksheet[[#This Row],[Customer ID]],customers!$A$1:$A$1001,customers!$I$1:$I$1001,0)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
        <v>4767</v>
      </c>
      <c r="H758" s="2" t="str">
        <f>_xlfn.XLOOKUP(C758,customers!$A$1:$A$1001,customers!$G$1:$G$1001,0)</f>
        <v>United States</v>
      </c>
      <c r="I758" t="str">
        <f>_xlfn.XLOOKUP(D758,products!$A$1:$A$49,products!$B$1:$B$49,0)</f>
        <v>Rob</v>
      </c>
      <c r="J758" t="str">
        <f>_xlfn.XLOOKUP(worksheet!D758,products!$A$1:$A$49,products!$C$1:$C$49,0)</f>
        <v>D</v>
      </c>
      <c r="K758" s="5">
        <f>_xlfn.XLOOKUP(worksheet!D758,products!$A$1:$A$49,products!$D$1:$D$49,0)</f>
        <v>1</v>
      </c>
      <c r="L758" s="6">
        <f>_xlfn.XLOOKUP(worksheet!D758,products!$A$1:$A$49,products!$E$1:$E$49,0)</f>
        <v>8.9499999999999993</v>
      </c>
      <c r="M758" s="6">
        <f>worksheet!E758*worksheet!L758</f>
        <v>35.799999999999997</v>
      </c>
      <c r="N758" t="str">
        <f t="shared" si="22"/>
        <v>Robusta</v>
      </c>
      <c r="O758" t="str">
        <f t="shared" si="23"/>
        <v>Dark</v>
      </c>
      <c r="P758" t="str">
        <f>_xlfn.XLOOKUP(worksheet[[#This Row],[Customer ID]],customers!$A$1:$A$1001,customers!$I$1:$I$1001,0)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
        <v>4773</v>
      </c>
      <c r="H759" s="2" t="str">
        <f>_xlfn.XLOOKUP(C759,customers!$A$1:$A$1001,customers!$G$1:$G$1001,0)</f>
        <v>United States</v>
      </c>
      <c r="I759" t="str">
        <f>_xlfn.XLOOKUP(D759,products!$A$1:$A$49,products!$B$1:$B$49,0)</f>
        <v>Ara</v>
      </c>
      <c r="J759" t="str">
        <f>_xlfn.XLOOKUP(worksheet!D759,products!$A$1:$A$49,products!$C$1:$C$49,0)</f>
        <v>D</v>
      </c>
      <c r="K759" s="5">
        <f>_xlfn.XLOOKUP(worksheet!D759,products!$A$1:$A$49,products!$D$1:$D$49,0)</f>
        <v>0.5</v>
      </c>
      <c r="L759" s="6">
        <f>_xlfn.XLOOKUP(worksheet!D759,products!$A$1:$A$49,products!$E$1:$E$49,0)</f>
        <v>5.97</v>
      </c>
      <c r="M759" s="6">
        <f>worksheet!E759*worksheet!L759</f>
        <v>17.91</v>
      </c>
      <c r="N759" t="str">
        <f t="shared" si="22"/>
        <v>Arabica</v>
      </c>
      <c r="O759" t="str">
        <f t="shared" si="23"/>
        <v>Dark</v>
      </c>
      <c r="P759" t="str">
        <f>_xlfn.XLOOKUP(worksheet[[#This Row],[Customer ID]],customers!$A$1:$A$1001,customers!$I$1:$I$1001,0)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
        <v>4779</v>
      </c>
      <c r="H760" s="2" t="str">
        <f>_xlfn.XLOOKUP(C760,customers!$A$1:$A$1001,customers!$G$1:$G$1001,0)</f>
        <v>United States</v>
      </c>
      <c r="I760" t="str">
        <f>_xlfn.XLOOKUP(D760,products!$A$1:$A$49,products!$B$1:$B$49,0)</f>
        <v>Rob</v>
      </c>
      <c r="J760" t="str">
        <f>_xlfn.XLOOKUP(worksheet!D760,products!$A$1:$A$49,products!$C$1:$C$49,0)</f>
        <v>D</v>
      </c>
      <c r="K760" s="5">
        <f>_xlfn.XLOOKUP(worksheet!D760,products!$A$1:$A$49,products!$D$1:$D$49,0)</f>
        <v>1</v>
      </c>
      <c r="L760" s="6">
        <f>_xlfn.XLOOKUP(worksheet!D760,products!$A$1:$A$49,products!$E$1:$E$49,0)</f>
        <v>8.9499999999999993</v>
      </c>
      <c r="M760" s="6">
        <f>worksheet!E760*worksheet!L760</f>
        <v>8.9499999999999993</v>
      </c>
      <c r="N760" t="str">
        <f t="shared" si="22"/>
        <v>Robusta</v>
      </c>
      <c r="O760" t="str">
        <f t="shared" si="23"/>
        <v>Dark</v>
      </c>
      <c r="P760" t="str">
        <f>_xlfn.XLOOKUP(worksheet[[#This Row],[Customer ID]],customers!$A$1:$A$1001,customers!$I$1:$I$1001,0)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
        <v>4784</v>
      </c>
      <c r="H761" s="2" t="str">
        <f>_xlfn.XLOOKUP(C761,customers!$A$1:$A$1001,customers!$G$1:$G$1001,0)</f>
        <v>United States</v>
      </c>
      <c r="I761" t="str">
        <f>_xlfn.XLOOKUP(D761,products!$A$1:$A$49,products!$B$1:$B$49,0)</f>
        <v>Lib</v>
      </c>
      <c r="J761" t="str">
        <f>_xlfn.XLOOKUP(worksheet!D761,products!$A$1:$A$49,products!$C$1:$C$49,0)</f>
        <v>D</v>
      </c>
      <c r="K761" s="5">
        <f>_xlfn.XLOOKUP(worksheet!D761,products!$A$1:$A$49,products!$D$1:$D$49,0)</f>
        <v>2.5</v>
      </c>
      <c r="L761" s="6">
        <f>_xlfn.XLOOKUP(worksheet!D761,products!$A$1:$A$49,products!$E$1:$E$49,0)</f>
        <v>29.784999999999997</v>
      </c>
      <c r="M761" s="6">
        <f>worksheet!E761*worksheet!L761</f>
        <v>29.784999999999997</v>
      </c>
      <c r="N761" t="str">
        <f t="shared" si="22"/>
        <v>Liberica</v>
      </c>
      <c r="O761" t="str">
        <f t="shared" si="23"/>
        <v>Dark</v>
      </c>
      <c r="P761" t="str">
        <f>_xlfn.XLOOKUP(worksheet[[#This Row],[Customer ID]],customers!$A$1:$A$1001,customers!$I$1:$I$1001,0)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
        <v>4790</v>
      </c>
      <c r="H762" s="2" t="str">
        <f>_xlfn.XLOOKUP(C762,customers!$A$1:$A$1001,customers!$G$1:$G$1001,0)</f>
        <v>United States</v>
      </c>
      <c r="I762" t="str">
        <f>_xlfn.XLOOKUP(D762,products!$A$1:$A$49,products!$B$1:$B$49,0)</f>
        <v>Exc</v>
      </c>
      <c r="J762" t="str">
        <f>_xlfn.XLOOKUP(worksheet!D762,products!$A$1:$A$49,products!$C$1:$C$49,0)</f>
        <v>L</v>
      </c>
      <c r="K762" s="5">
        <f>_xlfn.XLOOKUP(worksheet!D762,products!$A$1:$A$49,products!$D$1:$D$49,0)</f>
        <v>0.5</v>
      </c>
      <c r="L762" s="6">
        <f>_xlfn.XLOOKUP(worksheet!D762,products!$A$1:$A$49,products!$E$1:$E$49,0)</f>
        <v>8.91</v>
      </c>
      <c r="M762" s="6">
        <f>worksheet!E762*worksheet!L762</f>
        <v>44.55</v>
      </c>
      <c r="N762" t="str">
        <f t="shared" si="22"/>
        <v>Excelsa</v>
      </c>
      <c r="O762" t="str">
        <f t="shared" si="23"/>
        <v>Light</v>
      </c>
      <c r="P762" t="str">
        <f>_xlfn.XLOOKUP(worksheet[[#This Row],[Customer ID]],customers!$A$1:$A$1001,customers!$I$1:$I$1001,0)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
        <v>4795</v>
      </c>
      <c r="H763" s="2" t="str">
        <f>_xlfn.XLOOKUP(C763,customers!$A$1:$A$1001,customers!$G$1:$G$1001,0)</f>
        <v>United States</v>
      </c>
      <c r="I763" t="str">
        <f>_xlfn.XLOOKUP(D763,products!$A$1:$A$49,products!$B$1:$B$49,0)</f>
        <v>Exc</v>
      </c>
      <c r="J763" t="str">
        <f>_xlfn.XLOOKUP(worksheet!D763,products!$A$1:$A$49,products!$C$1:$C$49,0)</f>
        <v>L</v>
      </c>
      <c r="K763" s="5">
        <f>_xlfn.XLOOKUP(worksheet!D763,products!$A$1:$A$49,products!$D$1:$D$49,0)</f>
        <v>1</v>
      </c>
      <c r="L763" s="6">
        <f>_xlfn.XLOOKUP(worksheet!D763,products!$A$1:$A$49,products!$E$1:$E$49,0)</f>
        <v>14.85</v>
      </c>
      <c r="M763" s="6">
        <f>worksheet!E763*worksheet!L763</f>
        <v>89.1</v>
      </c>
      <c r="N763" t="str">
        <f t="shared" si="22"/>
        <v>Excelsa</v>
      </c>
      <c r="O763" t="str">
        <f t="shared" si="23"/>
        <v>Light</v>
      </c>
      <c r="P763" t="str">
        <f>_xlfn.XLOOKUP(worksheet[[#This Row],[Customer ID]],customers!$A$1:$A$1001,customers!$I$1:$I$1001,0)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
        <v>4800</v>
      </c>
      <c r="H764" s="2" t="str">
        <f>_xlfn.XLOOKUP(C764,customers!$A$1:$A$1001,customers!$G$1:$G$1001,0)</f>
        <v>United Kingdom</v>
      </c>
      <c r="I764" t="str">
        <f>_xlfn.XLOOKUP(D764,products!$A$1:$A$49,products!$B$1:$B$49,0)</f>
        <v>Lib</v>
      </c>
      <c r="J764" t="str">
        <f>_xlfn.XLOOKUP(worksheet!D764,products!$A$1:$A$49,products!$C$1:$C$49,0)</f>
        <v>M</v>
      </c>
      <c r="K764" s="5">
        <f>_xlfn.XLOOKUP(worksheet!D764,products!$A$1:$A$49,products!$D$1:$D$49,0)</f>
        <v>0.5</v>
      </c>
      <c r="L764" s="6">
        <f>_xlfn.XLOOKUP(worksheet!D764,products!$A$1:$A$49,products!$E$1:$E$49,0)</f>
        <v>8.73</v>
      </c>
      <c r="M764" s="6">
        <f>worksheet!E764*worksheet!L764</f>
        <v>43.650000000000006</v>
      </c>
      <c r="N764" t="str">
        <f t="shared" si="22"/>
        <v>Liberica</v>
      </c>
      <c r="O764" t="str">
        <f t="shared" si="23"/>
        <v>Medium</v>
      </c>
      <c r="P764" t="str">
        <f>_xlfn.XLOOKUP(worksheet[[#This Row],[Customer ID]],customers!$A$1:$A$1001,customers!$I$1:$I$1001,0)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
        <v>6222</v>
      </c>
      <c r="H765" s="2" t="str">
        <f>_xlfn.XLOOKUP(C765,customers!$A$1:$A$1001,customers!$G$1:$G$1001,0)</f>
        <v>United States</v>
      </c>
      <c r="I765" t="str">
        <f>_xlfn.XLOOKUP(D765,products!$A$1:$A$49,products!$B$1:$B$49,0)</f>
        <v>Ara</v>
      </c>
      <c r="J765" t="str">
        <f>_xlfn.XLOOKUP(worksheet!D765,products!$A$1:$A$49,products!$C$1:$C$49,0)</f>
        <v>L</v>
      </c>
      <c r="K765" s="5">
        <f>_xlfn.XLOOKUP(worksheet!D765,products!$A$1:$A$49,products!$D$1:$D$49,0)</f>
        <v>0.5</v>
      </c>
      <c r="L765" s="6">
        <f>_xlfn.XLOOKUP(worksheet!D765,products!$A$1:$A$49,products!$E$1:$E$49,0)</f>
        <v>7.77</v>
      </c>
      <c r="M765" s="6">
        <f>worksheet!E765*worksheet!L765</f>
        <v>23.31</v>
      </c>
      <c r="N765" t="str">
        <f t="shared" si="22"/>
        <v>Arabica</v>
      </c>
      <c r="O765" t="str">
        <f t="shared" si="23"/>
        <v>Light</v>
      </c>
      <c r="P765" t="str">
        <f>_xlfn.XLOOKUP(worksheet[[#This Row],[Customer ID]],customers!$A$1:$A$1001,customers!$I$1:$I$1001,0)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
        <v>4811</v>
      </c>
      <c r="H766" s="2" t="str">
        <f>_xlfn.XLOOKUP(C766,customers!$A$1:$A$1001,customers!$G$1:$G$1001,0)</f>
        <v>United States</v>
      </c>
      <c r="I766" t="str">
        <f>_xlfn.XLOOKUP(D766,products!$A$1:$A$49,products!$B$1:$B$49,0)</f>
        <v>Ara</v>
      </c>
      <c r="J766" t="str">
        <f>_xlfn.XLOOKUP(worksheet!D766,products!$A$1:$A$49,products!$C$1:$C$49,0)</f>
        <v>L</v>
      </c>
      <c r="K766" s="5">
        <f>_xlfn.XLOOKUP(worksheet!D766,products!$A$1:$A$49,products!$D$1:$D$49,0)</f>
        <v>2.5</v>
      </c>
      <c r="L766" s="6">
        <f>_xlfn.XLOOKUP(worksheet!D766,products!$A$1:$A$49,products!$E$1:$E$49,0)</f>
        <v>29.784999999999997</v>
      </c>
      <c r="M766" s="6">
        <f>worksheet!E766*worksheet!L766</f>
        <v>178.70999999999998</v>
      </c>
      <c r="N766" t="str">
        <f t="shared" si="22"/>
        <v>Arabica</v>
      </c>
      <c r="O766" t="str">
        <f t="shared" si="23"/>
        <v>Light</v>
      </c>
      <c r="P766" t="str">
        <f>_xlfn.XLOOKUP(worksheet[[#This Row],[Customer ID]],customers!$A$1:$A$1001,customers!$I$1:$I$1001,0)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
        <v>4817</v>
      </c>
      <c r="H767" s="2" t="str">
        <f>_xlfn.XLOOKUP(C767,customers!$A$1:$A$1001,customers!$G$1:$G$1001,0)</f>
        <v>United States</v>
      </c>
      <c r="I767" t="str">
        <f>_xlfn.XLOOKUP(D767,products!$A$1:$A$49,products!$B$1:$B$49,0)</f>
        <v>Rob</v>
      </c>
      <c r="J767" t="str">
        <f>_xlfn.XLOOKUP(worksheet!D767,products!$A$1:$A$49,products!$C$1:$C$49,0)</f>
        <v>M</v>
      </c>
      <c r="K767" s="5">
        <f>_xlfn.XLOOKUP(worksheet!D767,products!$A$1:$A$49,products!$D$1:$D$49,0)</f>
        <v>1</v>
      </c>
      <c r="L767" s="6">
        <f>_xlfn.XLOOKUP(worksheet!D767,products!$A$1:$A$49,products!$E$1:$E$49,0)</f>
        <v>9.9499999999999993</v>
      </c>
      <c r="M767" s="6">
        <f>worksheet!E767*worksheet!L767</f>
        <v>59.699999999999996</v>
      </c>
      <c r="N767" t="str">
        <f t="shared" si="22"/>
        <v>Robusta</v>
      </c>
      <c r="O767" t="str">
        <f t="shared" si="23"/>
        <v>Medium</v>
      </c>
      <c r="P767" t="str">
        <f>_xlfn.XLOOKUP(worksheet[[#This Row],[Customer ID]],customers!$A$1:$A$1001,customers!$I$1:$I$1001,0)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
        <v>4817</v>
      </c>
      <c r="H768" s="2" t="str">
        <f>_xlfn.XLOOKUP(C768,customers!$A$1:$A$1001,customers!$G$1:$G$1001,0)</f>
        <v>United States</v>
      </c>
      <c r="I768" t="str">
        <f>_xlfn.XLOOKUP(D768,products!$A$1:$A$49,products!$B$1:$B$49,0)</f>
        <v>Ara</v>
      </c>
      <c r="J768" t="str">
        <f>_xlfn.XLOOKUP(worksheet!D768,products!$A$1:$A$49,products!$C$1:$C$49,0)</f>
        <v>L</v>
      </c>
      <c r="K768" s="5">
        <f>_xlfn.XLOOKUP(worksheet!D768,products!$A$1:$A$49,products!$D$1:$D$49,0)</f>
        <v>0.5</v>
      </c>
      <c r="L768" s="6">
        <f>_xlfn.XLOOKUP(worksheet!D768,products!$A$1:$A$49,products!$E$1:$E$49,0)</f>
        <v>7.77</v>
      </c>
      <c r="M768" s="6">
        <f>worksheet!E768*worksheet!L768</f>
        <v>15.54</v>
      </c>
      <c r="N768" t="str">
        <f t="shared" si="22"/>
        <v>Arabica</v>
      </c>
      <c r="O768" t="str">
        <f t="shared" si="23"/>
        <v>Light</v>
      </c>
      <c r="P768" t="str">
        <f>_xlfn.XLOOKUP(worksheet[[#This Row],[Customer ID]],customers!$A$1:$A$1001,customers!$I$1:$I$1001,0)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
        <v>4761</v>
      </c>
      <c r="H769" s="2" t="str">
        <f>_xlfn.XLOOKUP(C769,customers!$A$1:$A$1001,customers!$G$1:$G$1001,0)</f>
        <v>United States</v>
      </c>
      <c r="I769" t="str">
        <f>_xlfn.XLOOKUP(D769,products!$A$1:$A$49,products!$B$1:$B$49,0)</f>
        <v>Ara</v>
      </c>
      <c r="J769" t="str">
        <f>_xlfn.XLOOKUP(worksheet!D769,products!$A$1:$A$49,products!$C$1:$C$49,0)</f>
        <v>L</v>
      </c>
      <c r="K769" s="5">
        <f>_xlfn.XLOOKUP(worksheet!D769,products!$A$1:$A$49,products!$D$1:$D$49,0)</f>
        <v>2.5</v>
      </c>
      <c r="L769" s="6">
        <f>_xlfn.XLOOKUP(worksheet!D769,products!$A$1:$A$49,products!$E$1:$E$49,0)</f>
        <v>29.784999999999997</v>
      </c>
      <c r="M769" s="6">
        <f>worksheet!E769*worksheet!L769</f>
        <v>89.35499999999999</v>
      </c>
      <c r="N769" t="str">
        <f t="shared" si="22"/>
        <v>Arabica</v>
      </c>
      <c r="O769" t="str">
        <f t="shared" si="23"/>
        <v>Light</v>
      </c>
      <c r="P769" t="str">
        <f>_xlfn.XLOOKUP(worksheet[[#This Row],[Customer ID]],customers!$A$1:$A$1001,customers!$I$1:$I$1001,0)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
        <v>4761</v>
      </c>
      <c r="H770" s="2" t="str">
        <f>_xlfn.XLOOKUP(C770,customers!$A$1:$A$1001,customers!$G$1:$G$1001,0)</f>
        <v>United States</v>
      </c>
      <c r="I770" t="str">
        <f>_xlfn.XLOOKUP(D770,products!$A$1:$A$49,products!$B$1:$B$49,0)</f>
        <v>Rob</v>
      </c>
      <c r="J770" t="str">
        <f>_xlfn.XLOOKUP(worksheet!D770,products!$A$1:$A$49,products!$C$1:$C$49,0)</f>
        <v>L</v>
      </c>
      <c r="K770" s="5">
        <f>_xlfn.XLOOKUP(worksheet!D770,products!$A$1:$A$49,products!$D$1:$D$49,0)</f>
        <v>1</v>
      </c>
      <c r="L770" s="6">
        <f>_xlfn.XLOOKUP(worksheet!D770,products!$A$1:$A$49,products!$E$1:$E$49,0)</f>
        <v>11.95</v>
      </c>
      <c r="M770" s="6">
        <f>worksheet!E770*worksheet!L770</f>
        <v>23.9</v>
      </c>
      <c r="N770" t="str">
        <f t="shared" si="22"/>
        <v>Robusta</v>
      </c>
      <c r="O770" t="str">
        <f t="shared" si="23"/>
        <v>Light</v>
      </c>
      <c r="P770" t="str">
        <f>_xlfn.XLOOKUP(worksheet[[#This Row],[Customer ID]],customers!$A$1:$A$1001,customers!$I$1:$I$1001,0)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
        <v>4839</v>
      </c>
      <c r="H771" s="2" t="str">
        <f>_xlfn.XLOOKUP(C771,customers!$A$1:$A$1001,customers!$G$1:$G$1001,0)</f>
        <v>United Kingdom</v>
      </c>
      <c r="I771" t="str">
        <f>_xlfn.XLOOKUP(D771,products!$A$1:$A$49,products!$B$1:$B$49,0)</f>
        <v>Rob</v>
      </c>
      <c r="J771" t="str">
        <f>_xlfn.XLOOKUP(worksheet!D771,products!$A$1:$A$49,products!$C$1:$C$49,0)</f>
        <v>M</v>
      </c>
      <c r="K771" s="5">
        <f>_xlfn.XLOOKUP(worksheet!D771,products!$A$1:$A$49,products!$D$1:$D$49,0)</f>
        <v>2.5</v>
      </c>
      <c r="L771" s="6">
        <f>_xlfn.XLOOKUP(worksheet!D771,products!$A$1:$A$49,products!$E$1:$E$49,0)</f>
        <v>22.884999999999998</v>
      </c>
      <c r="M771" s="6">
        <f>worksheet!E771*worksheet!L771</f>
        <v>137.31</v>
      </c>
      <c r="N771" t="str">
        <f t="shared" ref="N771:N834" si="24">IF(I771="Rob","Robusta",IF(I771="Exc","Excelsa",IF(I771="Ara","Arabica",IF(I771="Lib","Liberica",""))))</f>
        <v>Robusta</v>
      </c>
      <c r="O771" t="str">
        <f t="shared" ref="O771:O834" si="25">IF(J771="M","Medium",IF(J771="L","Light",IF(J771="D","Dark","")))</f>
        <v>Medium</v>
      </c>
      <c r="P771" t="str">
        <f>_xlfn.XLOOKUP(worksheet[[#This Row],[Customer ID]],customers!$A$1:$A$1001,customers!$I$1:$I$1001,0)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
        <v>4845</v>
      </c>
      <c r="H772" s="2" t="str">
        <f>_xlfn.XLOOKUP(C772,customers!$A$1:$A$1001,customers!$G$1:$G$1001,0)</f>
        <v>United States</v>
      </c>
      <c r="I772" t="str">
        <f>_xlfn.XLOOKUP(D772,products!$A$1:$A$49,products!$B$1:$B$49,0)</f>
        <v>Ara</v>
      </c>
      <c r="J772" t="str">
        <f>_xlfn.XLOOKUP(worksheet!D772,products!$A$1:$A$49,products!$C$1:$C$49,0)</f>
        <v>D</v>
      </c>
      <c r="K772" s="5">
        <f>_xlfn.XLOOKUP(worksheet!D772,products!$A$1:$A$49,products!$D$1:$D$49,0)</f>
        <v>1</v>
      </c>
      <c r="L772" s="6">
        <f>_xlfn.XLOOKUP(worksheet!D772,products!$A$1:$A$49,products!$E$1:$E$49,0)</f>
        <v>9.9499999999999993</v>
      </c>
      <c r="M772" s="6">
        <f>worksheet!E772*worksheet!L772</f>
        <v>9.9499999999999993</v>
      </c>
      <c r="N772" t="str">
        <f t="shared" si="24"/>
        <v>Arabica</v>
      </c>
      <c r="O772" t="str">
        <f t="shared" si="25"/>
        <v>Dark</v>
      </c>
      <c r="P772" t="str">
        <f>_xlfn.XLOOKUP(worksheet[[#This Row],[Customer ID]],customers!$A$1:$A$1001,customers!$I$1:$I$1001,0)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
        <v>4850</v>
      </c>
      <c r="H773" s="2" t="str">
        <f>_xlfn.XLOOKUP(C773,customers!$A$1:$A$1001,customers!$G$1:$G$1001,0)</f>
        <v>United States</v>
      </c>
      <c r="I773" t="str">
        <f>_xlfn.XLOOKUP(D773,products!$A$1:$A$49,products!$B$1:$B$49,0)</f>
        <v>Rob</v>
      </c>
      <c r="J773" t="str">
        <f>_xlfn.XLOOKUP(worksheet!D773,products!$A$1:$A$49,products!$C$1:$C$49,0)</f>
        <v>L</v>
      </c>
      <c r="K773" s="5">
        <f>_xlfn.XLOOKUP(worksheet!D773,products!$A$1:$A$49,products!$D$1:$D$49,0)</f>
        <v>0.5</v>
      </c>
      <c r="L773" s="6">
        <f>_xlfn.XLOOKUP(worksheet!D773,products!$A$1:$A$49,products!$E$1:$E$49,0)</f>
        <v>7.169999999999999</v>
      </c>
      <c r="M773" s="6">
        <f>worksheet!E773*worksheet!L773</f>
        <v>21.509999999999998</v>
      </c>
      <c r="N773" t="str">
        <f t="shared" si="24"/>
        <v>Robusta</v>
      </c>
      <c r="O773" t="str">
        <f t="shared" si="25"/>
        <v>Light</v>
      </c>
      <c r="P773" t="str">
        <f>_xlfn.XLOOKUP(worksheet[[#This Row],[Customer ID]],customers!$A$1:$A$1001,customers!$I$1:$I$1001,0)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
        <v>6222</v>
      </c>
      <c r="H774" s="2" t="str">
        <f>_xlfn.XLOOKUP(C774,customers!$A$1:$A$1001,customers!$G$1:$G$1001,0)</f>
        <v>United States</v>
      </c>
      <c r="I774" t="str">
        <f>_xlfn.XLOOKUP(D774,products!$A$1:$A$49,products!$B$1:$B$49,0)</f>
        <v>Exc</v>
      </c>
      <c r="J774" t="str">
        <f>_xlfn.XLOOKUP(worksheet!D774,products!$A$1:$A$49,products!$C$1:$C$49,0)</f>
        <v>M</v>
      </c>
      <c r="K774" s="5">
        <f>_xlfn.XLOOKUP(worksheet!D774,products!$A$1:$A$49,products!$D$1:$D$49,0)</f>
        <v>1</v>
      </c>
      <c r="L774" s="6">
        <f>_xlfn.XLOOKUP(worksheet!D774,products!$A$1:$A$49,products!$E$1:$E$49,0)</f>
        <v>13.75</v>
      </c>
      <c r="M774" s="6">
        <f>worksheet!E774*worksheet!L774</f>
        <v>82.5</v>
      </c>
      <c r="N774" t="str">
        <f t="shared" si="24"/>
        <v>Excelsa</v>
      </c>
      <c r="O774" t="str">
        <f t="shared" si="25"/>
        <v>Medium</v>
      </c>
      <c r="P774" t="str">
        <f>_xlfn.XLOOKUP(worksheet[[#This Row],[Customer ID]],customers!$A$1:$A$1001,customers!$I$1:$I$1001,0)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
        <v>4861</v>
      </c>
      <c r="H775" s="2" t="str">
        <f>_xlfn.XLOOKUP(C775,customers!$A$1:$A$1001,customers!$G$1:$G$1001,0)</f>
        <v>Ireland</v>
      </c>
      <c r="I775" t="str">
        <f>_xlfn.XLOOKUP(D775,products!$A$1:$A$49,products!$B$1:$B$49,0)</f>
        <v>Lib</v>
      </c>
      <c r="J775" t="str">
        <f>_xlfn.XLOOKUP(worksheet!D775,products!$A$1:$A$49,products!$C$1:$C$49,0)</f>
        <v>M</v>
      </c>
      <c r="K775" s="5">
        <f>_xlfn.XLOOKUP(worksheet!D775,products!$A$1:$A$49,products!$D$1:$D$49,0)</f>
        <v>0.2</v>
      </c>
      <c r="L775" s="6">
        <f>_xlfn.XLOOKUP(worksheet!D775,products!$A$1:$A$49,products!$E$1:$E$49,0)</f>
        <v>4.3650000000000002</v>
      </c>
      <c r="M775" s="6">
        <f>worksheet!E775*worksheet!L775</f>
        <v>8.73</v>
      </c>
      <c r="N775" t="str">
        <f t="shared" si="24"/>
        <v>Liberica</v>
      </c>
      <c r="O775" t="str">
        <f t="shared" si="25"/>
        <v>Medium</v>
      </c>
      <c r="P775" t="str">
        <f>_xlfn.XLOOKUP(worksheet[[#This Row],[Customer ID]],customers!$A$1:$A$1001,customers!$I$1:$I$1001,0)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
        <v>6222</v>
      </c>
      <c r="H776" s="2" t="str">
        <f>_xlfn.XLOOKUP(C776,customers!$A$1:$A$1001,customers!$G$1:$G$1001,0)</f>
        <v>United States</v>
      </c>
      <c r="I776" t="str">
        <f>_xlfn.XLOOKUP(D776,products!$A$1:$A$49,products!$B$1:$B$49,0)</f>
        <v>Rob</v>
      </c>
      <c r="J776" t="str">
        <f>_xlfn.XLOOKUP(worksheet!D776,products!$A$1:$A$49,products!$C$1:$C$49,0)</f>
        <v>M</v>
      </c>
      <c r="K776" s="5">
        <f>_xlfn.XLOOKUP(worksheet!D776,products!$A$1:$A$49,products!$D$1:$D$49,0)</f>
        <v>1</v>
      </c>
      <c r="L776" s="6">
        <f>_xlfn.XLOOKUP(worksheet!D776,products!$A$1:$A$49,products!$E$1:$E$49,0)</f>
        <v>9.9499999999999993</v>
      </c>
      <c r="M776" s="6">
        <f>worksheet!E776*worksheet!L776</f>
        <v>19.899999999999999</v>
      </c>
      <c r="N776" t="str">
        <f t="shared" si="24"/>
        <v>Robusta</v>
      </c>
      <c r="O776" t="str">
        <f t="shared" si="25"/>
        <v>Medium</v>
      </c>
      <c r="P776" t="str">
        <f>_xlfn.XLOOKUP(worksheet[[#This Row],[Customer ID]],customers!$A$1:$A$1001,customers!$I$1:$I$1001,0)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
        <v>4872</v>
      </c>
      <c r="H777" s="2" t="str">
        <f>_xlfn.XLOOKUP(C777,customers!$A$1:$A$1001,customers!$G$1:$G$1001,0)</f>
        <v>United States</v>
      </c>
      <c r="I777" t="str">
        <f>_xlfn.XLOOKUP(D777,products!$A$1:$A$49,products!$B$1:$B$49,0)</f>
        <v>Exc</v>
      </c>
      <c r="J777" t="str">
        <f>_xlfn.XLOOKUP(worksheet!D777,products!$A$1:$A$49,products!$C$1:$C$49,0)</f>
        <v>L</v>
      </c>
      <c r="K777" s="5">
        <f>_xlfn.XLOOKUP(worksheet!D777,products!$A$1:$A$49,products!$D$1:$D$49,0)</f>
        <v>0.5</v>
      </c>
      <c r="L777" s="6">
        <f>_xlfn.XLOOKUP(worksheet!D777,products!$A$1:$A$49,products!$E$1:$E$49,0)</f>
        <v>8.91</v>
      </c>
      <c r="M777" s="6">
        <f>worksheet!E777*worksheet!L777</f>
        <v>17.82</v>
      </c>
      <c r="N777" t="str">
        <f t="shared" si="24"/>
        <v>Excelsa</v>
      </c>
      <c r="O777" t="str">
        <f t="shared" si="25"/>
        <v>Light</v>
      </c>
      <c r="P777" t="str">
        <f>_xlfn.XLOOKUP(worksheet[[#This Row],[Customer ID]],customers!$A$1:$A$1001,customers!$I$1:$I$1001,0)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
        <v>4878</v>
      </c>
      <c r="H778" s="2" t="str">
        <f>_xlfn.XLOOKUP(C778,customers!$A$1:$A$1001,customers!$G$1:$G$1001,0)</f>
        <v>United States</v>
      </c>
      <c r="I778" t="str">
        <f>_xlfn.XLOOKUP(D778,products!$A$1:$A$49,products!$B$1:$B$49,0)</f>
        <v>Ara</v>
      </c>
      <c r="J778" t="str">
        <f>_xlfn.XLOOKUP(worksheet!D778,products!$A$1:$A$49,products!$C$1:$C$49,0)</f>
        <v>M</v>
      </c>
      <c r="K778" s="5">
        <f>_xlfn.XLOOKUP(worksheet!D778,products!$A$1:$A$49,products!$D$1:$D$49,0)</f>
        <v>0.5</v>
      </c>
      <c r="L778" s="6">
        <f>_xlfn.XLOOKUP(worksheet!D778,products!$A$1:$A$49,products!$E$1:$E$49,0)</f>
        <v>6.75</v>
      </c>
      <c r="M778" s="6">
        <f>worksheet!E778*worksheet!L778</f>
        <v>20.25</v>
      </c>
      <c r="N778" t="str">
        <f t="shared" si="24"/>
        <v>Arabica</v>
      </c>
      <c r="O778" t="str">
        <f t="shared" si="25"/>
        <v>Medium</v>
      </c>
      <c r="P778" t="str">
        <f>_xlfn.XLOOKUP(worksheet[[#This Row],[Customer ID]],customers!$A$1:$A$1001,customers!$I$1:$I$1001,0)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
        <v>4884</v>
      </c>
      <c r="H779" s="2" t="str">
        <f>_xlfn.XLOOKUP(C779,customers!$A$1:$A$1001,customers!$G$1:$G$1001,0)</f>
        <v>United States</v>
      </c>
      <c r="I779" t="str">
        <f>_xlfn.XLOOKUP(D779,products!$A$1:$A$49,products!$B$1:$B$49,0)</f>
        <v>Ara</v>
      </c>
      <c r="J779" t="str">
        <f>_xlfn.XLOOKUP(worksheet!D779,products!$A$1:$A$49,products!$C$1:$C$49,0)</f>
        <v>L</v>
      </c>
      <c r="K779" s="5">
        <f>_xlfn.XLOOKUP(worksheet!D779,products!$A$1:$A$49,products!$D$1:$D$49,0)</f>
        <v>2.5</v>
      </c>
      <c r="L779" s="6">
        <f>_xlfn.XLOOKUP(worksheet!D779,products!$A$1:$A$49,products!$E$1:$E$49,0)</f>
        <v>29.784999999999997</v>
      </c>
      <c r="M779" s="6">
        <f>worksheet!E779*worksheet!L779</f>
        <v>59.569999999999993</v>
      </c>
      <c r="N779" t="str">
        <f t="shared" si="24"/>
        <v>Arabica</v>
      </c>
      <c r="O779" t="str">
        <f t="shared" si="25"/>
        <v>Light</v>
      </c>
      <c r="P779" t="str">
        <f>_xlfn.XLOOKUP(worksheet[[#This Row],[Customer ID]],customers!$A$1:$A$1001,customers!$I$1:$I$1001,0)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
        <v>4935</v>
      </c>
      <c r="H780" s="2" t="str">
        <f>_xlfn.XLOOKUP(C780,customers!$A$1:$A$1001,customers!$G$1:$G$1001,0)</f>
        <v>United States</v>
      </c>
      <c r="I780" t="str">
        <f>_xlfn.XLOOKUP(D780,products!$A$1:$A$49,products!$B$1:$B$49,0)</f>
        <v>Lib</v>
      </c>
      <c r="J780" t="str">
        <f>_xlfn.XLOOKUP(worksheet!D780,products!$A$1:$A$49,products!$C$1:$C$49,0)</f>
        <v>L</v>
      </c>
      <c r="K780" s="5">
        <f>_xlfn.XLOOKUP(worksheet!D780,products!$A$1:$A$49,products!$D$1:$D$49,0)</f>
        <v>0.5</v>
      </c>
      <c r="L780" s="6">
        <f>_xlfn.XLOOKUP(worksheet!D780,products!$A$1:$A$49,products!$E$1:$E$49,0)</f>
        <v>9.51</v>
      </c>
      <c r="M780" s="6">
        <f>worksheet!E780*worksheet!L780</f>
        <v>19.02</v>
      </c>
      <c r="N780" t="str">
        <f t="shared" si="24"/>
        <v>Liberica</v>
      </c>
      <c r="O780" t="str">
        <f t="shared" si="25"/>
        <v>Light</v>
      </c>
      <c r="P780" t="str">
        <f>_xlfn.XLOOKUP(worksheet[[#This Row],[Customer ID]],customers!$A$1:$A$1001,customers!$I$1:$I$1001,0)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
        <v>4895</v>
      </c>
      <c r="H781" s="2" t="str">
        <f>_xlfn.XLOOKUP(C781,customers!$A$1:$A$1001,customers!$G$1:$G$1001,0)</f>
        <v>United States</v>
      </c>
      <c r="I781" t="str">
        <f>_xlfn.XLOOKUP(D781,products!$A$1:$A$49,products!$B$1:$B$49,0)</f>
        <v>Lib</v>
      </c>
      <c r="J781" t="str">
        <f>_xlfn.XLOOKUP(worksheet!D781,products!$A$1:$A$49,products!$C$1:$C$49,0)</f>
        <v>D</v>
      </c>
      <c r="K781" s="5">
        <f>_xlfn.XLOOKUP(worksheet!D781,products!$A$1:$A$49,products!$D$1:$D$49,0)</f>
        <v>1</v>
      </c>
      <c r="L781" s="6">
        <f>_xlfn.XLOOKUP(worksheet!D781,products!$A$1:$A$49,products!$E$1:$E$49,0)</f>
        <v>12.95</v>
      </c>
      <c r="M781" s="6">
        <f>worksheet!E781*worksheet!L781</f>
        <v>77.699999999999989</v>
      </c>
      <c r="N781" t="str">
        <f t="shared" si="24"/>
        <v>Liberica</v>
      </c>
      <c r="O781" t="str">
        <f t="shared" si="25"/>
        <v>Dark</v>
      </c>
      <c r="P781" t="str">
        <f>_xlfn.XLOOKUP(worksheet[[#This Row],[Customer ID]],customers!$A$1:$A$1001,customers!$I$1:$I$1001,0)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
        <v>6222</v>
      </c>
      <c r="H782" s="2" t="str">
        <f>_xlfn.XLOOKUP(C782,customers!$A$1:$A$1001,customers!$G$1:$G$1001,0)</f>
        <v>United States</v>
      </c>
      <c r="I782" t="str">
        <f>_xlfn.XLOOKUP(D782,products!$A$1:$A$49,products!$B$1:$B$49,0)</f>
        <v>Exc</v>
      </c>
      <c r="J782" t="str">
        <f>_xlfn.XLOOKUP(worksheet!D782,products!$A$1:$A$49,products!$C$1:$C$49,0)</f>
        <v>M</v>
      </c>
      <c r="K782" s="5">
        <f>_xlfn.XLOOKUP(worksheet!D782,products!$A$1:$A$49,products!$D$1:$D$49,0)</f>
        <v>1</v>
      </c>
      <c r="L782" s="6">
        <f>_xlfn.XLOOKUP(worksheet!D782,products!$A$1:$A$49,products!$E$1:$E$49,0)</f>
        <v>13.75</v>
      </c>
      <c r="M782" s="6">
        <f>worksheet!E782*worksheet!L782</f>
        <v>41.25</v>
      </c>
      <c r="N782" t="str">
        <f t="shared" si="24"/>
        <v>Excelsa</v>
      </c>
      <c r="O782" t="str">
        <f t="shared" si="25"/>
        <v>Medium</v>
      </c>
      <c r="P782" t="str">
        <f>_xlfn.XLOOKUP(worksheet[[#This Row],[Customer ID]],customers!$A$1:$A$1001,customers!$I$1:$I$1001,0)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
        <v>4906</v>
      </c>
      <c r="H783" s="2" t="str">
        <f>_xlfn.XLOOKUP(C783,customers!$A$1:$A$1001,customers!$G$1:$G$1001,0)</f>
        <v>United States</v>
      </c>
      <c r="I783" t="str">
        <f>_xlfn.XLOOKUP(D783,products!$A$1:$A$49,products!$B$1:$B$49,0)</f>
        <v>Lib</v>
      </c>
      <c r="J783" t="str">
        <f>_xlfn.XLOOKUP(worksheet!D783,products!$A$1:$A$49,products!$C$1:$C$49,0)</f>
        <v>L</v>
      </c>
      <c r="K783" s="5">
        <f>_xlfn.XLOOKUP(worksheet!D783,products!$A$1:$A$49,products!$D$1:$D$49,0)</f>
        <v>2.5</v>
      </c>
      <c r="L783" s="6">
        <f>_xlfn.XLOOKUP(worksheet!D783,products!$A$1:$A$49,products!$E$1:$E$49,0)</f>
        <v>36.454999999999998</v>
      </c>
      <c r="M783" s="6">
        <f>worksheet!E783*worksheet!L783</f>
        <v>145.82</v>
      </c>
      <c r="N783" t="str">
        <f t="shared" si="24"/>
        <v>Liberica</v>
      </c>
      <c r="O783" t="str">
        <f t="shared" si="25"/>
        <v>Light</v>
      </c>
      <c r="P783" t="str">
        <f>_xlfn.XLOOKUP(worksheet[[#This Row],[Customer ID]],customers!$A$1:$A$1001,customers!$I$1:$I$1001,0)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
        <v>4912</v>
      </c>
      <c r="H784" s="2" t="str">
        <f>_xlfn.XLOOKUP(C784,customers!$A$1:$A$1001,customers!$G$1:$G$1001,0)</f>
        <v>Ireland</v>
      </c>
      <c r="I784" t="str">
        <f>_xlfn.XLOOKUP(D784,products!$A$1:$A$49,products!$B$1:$B$49,0)</f>
        <v>Exc</v>
      </c>
      <c r="J784" t="str">
        <f>_xlfn.XLOOKUP(worksheet!D784,products!$A$1:$A$49,products!$C$1:$C$49,0)</f>
        <v>L</v>
      </c>
      <c r="K784" s="5">
        <f>_xlfn.XLOOKUP(worksheet!D784,products!$A$1:$A$49,products!$D$1:$D$49,0)</f>
        <v>0.2</v>
      </c>
      <c r="L784" s="6">
        <f>_xlfn.XLOOKUP(worksheet!D784,products!$A$1:$A$49,products!$E$1:$E$49,0)</f>
        <v>4.4550000000000001</v>
      </c>
      <c r="M784" s="6">
        <f>worksheet!E784*worksheet!L784</f>
        <v>26.73</v>
      </c>
      <c r="N784" t="str">
        <f t="shared" si="24"/>
        <v>Excelsa</v>
      </c>
      <c r="O784" t="str">
        <f t="shared" si="25"/>
        <v>Light</v>
      </c>
      <c r="P784" t="str">
        <f>_xlfn.XLOOKUP(worksheet[[#This Row],[Customer ID]],customers!$A$1:$A$1001,customers!$I$1:$I$1001,0)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
        <v>4918</v>
      </c>
      <c r="H785" s="2" t="str">
        <f>_xlfn.XLOOKUP(C785,customers!$A$1:$A$1001,customers!$G$1:$G$1001,0)</f>
        <v>United States</v>
      </c>
      <c r="I785" t="str">
        <f>_xlfn.XLOOKUP(D785,products!$A$1:$A$49,products!$B$1:$B$49,0)</f>
        <v>Lib</v>
      </c>
      <c r="J785" t="str">
        <f>_xlfn.XLOOKUP(worksheet!D785,products!$A$1:$A$49,products!$C$1:$C$49,0)</f>
        <v>M</v>
      </c>
      <c r="K785" s="5">
        <f>_xlfn.XLOOKUP(worksheet!D785,products!$A$1:$A$49,products!$D$1:$D$49,0)</f>
        <v>0.5</v>
      </c>
      <c r="L785" s="6">
        <f>_xlfn.XLOOKUP(worksheet!D785,products!$A$1:$A$49,products!$E$1:$E$49,0)</f>
        <v>8.73</v>
      </c>
      <c r="M785" s="6">
        <f>worksheet!E785*worksheet!L785</f>
        <v>43.650000000000006</v>
      </c>
      <c r="N785" t="str">
        <f t="shared" si="24"/>
        <v>Liberica</v>
      </c>
      <c r="O785" t="str">
        <f t="shared" si="25"/>
        <v>Medium</v>
      </c>
      <c r="P785" t="str">
        <f>_xlfn.XLOOKUP(worksheet[[#This Row],[Customer ID]],customers!$A$1:$A$1001,customers!$I$1:$I$1001,0)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
        <v>4924</v>
      </c>
      <c r="H786" s="2" t="str">
        <f>_xlfn.XLOOKUP(C786,customers!$A$1:$A$1001,customers!$G$1:$G$1001,0)</f>
        <v>United States</v>
      </c>
      <c r="I786" t="str">
        <f>_xlfn.XLOOKUP(D786,products!$A$1:$A$49,products!$B$1:$B$49,0)</f>
        <v>Lib</v>
      </c>
      <c r="J786" t="str">
        <f>_xlfn.XLOOKUP(worksheet!D786,products!$A$1:$A$49,products!$C$1:$C$49,0)</f>
        <v>L</v>
      </c>
      <c r="K786" s="5">
        <f>_xlfn.XLOOKUP(worksheet!D786,products!$A$1:$A$49,products!$D$1:$D$49,0)</f>
        <v>1</v>
      </c>
      <c r="L786" s="6">
        <f>_xlfn.XLOOKUP(worksheet!D786,products!$A$1:$A$49,products!$E$1:$E$49,0)</f>
        <v>15.85</v>
      </c>
      <c r="M786" s="6">
        <f>worksheet!E786*worksheet!L786</f>
        <v>31.7</v>
      </c>
      <c r="N786" t="str">
        <f t="shared" si="24"/>
        <v>Liberica</v>
      </c>
      <c r="O786" t="str">
        <f t="shared" si="25"/>
        <v>Light</v>
      </c>
      <c r="P786" t="str">
        <f>_xlfn.XLOOKUP(worksheet[[#This Row],[Customer ID]],customers!$A$1:$A$1001,customers!$I$1:$I$1001,0)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
        <v>4929</v>
      </c>
      <c r="H787" s="2" t="str">
        <f>_xlfn.XLOOKUP(C787,customers!$A$1:$A$1001,customers!$G$1:$G$1001,0)</f>
        <v>United States</v>
      </c>
      <c r="I787" t="str">
        <f>_xlfn.XLOOKUP(D787,products!$A$1:$A$49,products!$B$1:$B$49,0)</f>
        <v>Ara</v>
      </c>
      <c r="J787" t="str">
        <f>_xlfn.XLOOKUP(worksheet!D787,products!$A$1:$A$49,products!$C$1:$C$49,0)</f>
        <v>D</v>
      </c>
      <c r="K787" s="5">
        <f>_xlfn.XLOOKUP(worksheet!D787,products!$A$1:$A$49,products!$D$1:$D$49,0)</f>
        <v>2.5</v>
      </c>
      <c r="L787" s="6">
        <f>_xlfn.XLOOKUP(worksheet!D787,products!$A$1:$A$49,products!$E$1:$E$49,0)</f>
        <v>22.884999999999998</v>
      </c>
      <c r="M787" s="6">
        <f>worksheet!E787*worksheet!L787</f>
        <v>22.884999999999998</v>
      </c>
      <c r="N787" t="str">
        <f t="shared" si="24"/>
        <v>Arabica</v>
      </c>
      <c r="O787" t="str">
        <f t="shared" si="25"/>
        <v>Dark</v>
      </c>
      <c r="P787" t="str">
        <f>_xlfn.XLOOKUP(worksheet[[#This Row],[Customer ID]],customers!$A$1:$A$1001,customers!$I$1:$I$1001,0)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
        <v>4935</v>
      </c>
      <c r="H788" s="2" t="str">
        <f>_xlfn.XLOOKUP(C788,customers!$A$1:$A$1001,customers!$G$1:$G$1001,0)</f>
        <v>United States</v>
      </c>
      <c r="I788" t="str">
        <f>_xlfn.XLOOKUP(D788,products!$A$1:$A$49,products!$B$1:$B$49,0)</f>
        <v>Exc</v>
      </c>
      <c r="J788" t="str">
        <f>_xlfn.XLOOKUP(worksheet!D788,products!$A$1:$A$49,products!$C$1:$C$49,0)</f>
        <v>D</v>
      </c>
      <c r="K788" s="5">
        <f>_xlfn.XLOOKUP(worksheet!D788,products!$A$1:$A$49,products!$D$1:$D$49,0)</f>
        <v>2.5</v>
      </c>
      <c r="L788" s="6">
        <f>_xlfn.XLOOKUP(worksheet!D788,products!$A$1:$A$49,products!$E$1:$E$49,0)</f>
        <v>27.945</v>
      </c>
      <c r="M788" s="6">
        <f>worksheet!E788*worksheet!L788</f>
        <v>27.945</v>
      </c>
      <c r="N788" t="str">
        <f t="shared" si="24"/>
        <v>Excelsa</v>
      </c>
      <c r="O788" t="str">
        <f t="shared" si="25"/>
        <v>Dark</v>
      </c>
      <c r="P788" t="str">
        <f>_xlfn.XLOOKUP(worksheet[[#This Row],[Customer ID]],customers!$A$1:$A$1001,customers!$I$1:$I$1001,0)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
        <v>6222</v>
      </c>
      <c r="H789" s="2" t="str">
        <f>_xlfn.XLOOKUP(C789,customers!$A$1:$A$1001,customers!$G$1:$G$1001,0)</f>
        <v>United States</v>
      </c>
      <c r="I789" t="str">
        <f>_xlfn.XLOOKUP(D789,products!$A$1:$A$49,products!$B$1:$B$49,0)</f>
        <v>Exc</v>
      </c>
      <c r="J789" t="str">
        <f>_xlfn.XLOOKUP(worksheet!D789,products!$A$1:$A$49,products!$C$1:$C$49,0)</f>
        <v>M</v>
      </c>
      <c r="K789" s="5">
        <f>_xlfn.XLOOKUP(worksheet!D789,products!$A$1:$A$49,products!$D$1:$D$49,0)</f>
        <v>1</v>
      </c>
      <c r="L789" s="6">
        <f>_xlfn.XLOOKUP(worksheet!D789,products!$A$1:$A$49,products!$E$1:$E$49,0)</f>
        <v>13.75</v>
      </c>
      <c r="M789" s="6">
        <f>worksheet!E789*worksheet!L789</f>
        <v>82.5</v>
      </c>
      <c r="N789" t="str">
        <f t="shared" si="24"/>
        <v>Excelsa</v>
      </c>
      <c r="O789" t="str">
        <f t="shared" si="25"/>
        <v>Medium</v>
      </c>
      <c r="P789" t="str">
        <f>_xlfn.XLOOKUP(worksheet[[#This Row],[Customer ID]],customers!$A$1:$A$1001,customers!$I$1:$I$1001,0)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
        <v>4946</v>
      </c>
      <c r="H790" s="2" t="str">
        <f>_xlfn.XLOOKUP(C790,customers!$A$1:$A$1001,customers!$G$1:$G$1001,0)</f>
        <v>Ireland</v>
      </c>
      <c r="I790" t="str">
        <f>_xlfn.XLOOKUP(D790,products!$A$1:$A$49,products!$B$1:$B$49,0)</f>
        <v>Rob</v>
      </c>
      <c r="J790" t="str">
        <f>_xlfn.XLOOKUP(worksheet!D790,products!$A$1:$A$49,products!$C$1:$C$49,0)</f>
        <v>M</v>
      </c>
      <c r="K790" s="5">
        <f>_xlfn.XLOOKUP(worksheet!D790,products!$A$1:$A$49,products!$D$1:$D$49,0)</f>
        <v>2.5</v>
      </c>
      <c r="L790" s="6">
        <f>_xlfn.XLOOKUP(worksheet!D790,products!$A$1:$A$49,products!$E$1:$E$49,0)</f>
        <v>22.884999999999998</v>
      </c>
      <c r="M790" s="6">
        <f>worksheet!E790*worksheet!L790</f>
        <v>45.769999999999996</v>
      </c>
      <c r="N790" t="str">
        <f t="shared" si="24"/>
        <v>Robusta</v>
      </c>
      <c r="O790" t="str">
        <f t="shared" si="25"/>
        <v>Medium</v>
      </c>
      <c r="P790" t="str">
        <f>_xlfn.XLOOKUP(worksheet[[#This Row],[Customer ID]],customers!$A$1:$A$1001,customers!$I$1:$I$1001,0)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
        <v>4952</v>
      </c>
      <c r="H791" s="2" t="str">
        <f>_xlfn.XLOOKUP(C791,customers!$A$1:$A$1001,customers!$G$1:$G$1001,0)</f>
        <v>United States</v>
      </c>
      <c r="I791" t="str">
        <f>_xlfn.XLOOKUP(D791,products!$A$1:$A$49,products!$B$1:$B$49,0)</f>
        <v>Ara</v>
      </c>
      <c r="J791" t="str">
        <f>_xlfn.XLOOKUP(worksheet!D791,products!$A$1:$A$49,products!$C$1:$C$49,0)</f>
        <v>L</v>
      </c>
      <c r="K791" s="5">
        <f>_xlfn.XLOOKUP(worksheet!D791,products!$A$1:$A$49,products!$D$1:$D$49,0)</f>
        <v>1</v>
      </c>
      <c r="L791" s="6">
        <f>_xlfn.XLOOKUP(worksheet!D791,products!$A$1:$A$49,products!$E$1:$E$49,0)</f>
        <v>12.95</v>
      </c>
      <c r="M791" s="6">
        <f>worksheet!E791*worksheet!L791</f>
        <v>77.699999999999989</v>
      </c>
      <c r="N791" t="str">
        <f t="shared" si="24"/>
        <v>Arabica</v>
      </c>
      <c r="O791" t="str">
        <f t="shared" si="25"/>
        <v>Light</v>
      </c>
      <c r="P791" t="str">
        <f>_xlfn.XLOOKUP(worksheet[[#This Row],[Customer ID]],customers!$A$1:$A$1001,customers!$I$1:$I$1001,0)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
        <v>4958</v>
      </c>
      <c r="H792" s="2" t="str">
        <f>_xlfn.XLOOKUP(C792,customers!$A$1:$A$1001,customers!$G$1:$G$1001,0)</f>
        <v>United States</v>
      </c>
      <c r="I792" t="str">
        <f>_xlfn.XLOOKUP(D792,products!$A$1:$A$49,products!$B$1:$B$49,0)</f>
        <v>Ara</v>
      </c>
      <c r="J792" t="str">
        <f>_xlfn.XLOOKUP(worksheet!D792,products!$A$1:$A$49,products!$C$1:$C$49,0)</f>
        <v>L</v>
      </c>
      <c r="K792" s="5">
        <f>_xlfn.XLOOKUP(worksheet!D792,products!$A$1:$A$49,products!$D$1:$D$49,0)</f>
        <v>0.5</v>
      </c>
      <c r="L792" s="6">
        <f>_xlfn.XLOOKUP(worksheet!D792,products!$A$1:$A$49,products!$E$1:$E$49,0)</f>
        <v>7.77</v>
      </c>
      <c r="M792" s="6">
        <f>worksheet!E792*worksheet!L792</f>
        <v>23.31</v>
      </c>
      <c r="N792" t="str">
        <f t="shared" si="24"/>
        <v>Arabica</v>
      </c>
      <c r="O792" t="str">
        <f t="shared" si="25"/>
        <v>Light</v>
      </c>
      <c r="P792" t="str">
        <f>_xlfn.XLOOKUP(worksheet[[#This Row],[Customer ID]],customers!$A$1:$A$1001,customers!$I$1:$I$1001,0)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
        <v>4964</v>
      </c>
      <c r="H793" s="2" t="str">
        <f>_xlfn.XLOOKUP(C793,customers!$A$1:$A$1001,customers!$G$1:$G$1001,0)</f>
        <v>United States</v>
      </c>
      <c r="I793" t="str">
        <f>_xlfn.XLOOKUP(D793,products!$A$1:$A$49,products!$B$1:$B$49,0)</f>
        <v>Lib</v>
      </c>
      <c r="J793" t="str">
        <f>_xlfn.XLOOKUP(worksheet!D793,products!$A$1:$A$49,products!$C$1:$C$49,0)</f>
        <v>L</v>
      </c>
      <c r="K793" s="5">
        <f>_xlfn.XLOOKUP(worksheet!D793,products!$A$1:$A$49,products!$D$1:$D$49,0)</f>
        <v>0.2</v>
      </c>
      <c r="L793" s="6">
        <f>_xlfn.XLOOKUP(worksheet!D793,products!$A$1:$A$49,products!$E$1:$E$49,0)</f>
        <v>4.7549999999999999</v>
      </c>
      <c r="M793" s="6">
        <f>worksheet!E793*worksheet!L793</f>
        <v>23.774999999999999</v>
      </c>
      <c r="N793" t="str">
        <f t="shared" si="24"/>
        <v>Liberica</v>
      </c>
      <c r="O793" t="str">
        <f t="shared" si="25"/>
        <v>Light</v>
      </c>
      <c r="P793" t="str">
        <f>_xlfn.XLOOKUP(worksheet[[#This Row],[Customer ID]],customers!$A$1:$A$1001,customers!$I$1:$I$1001,0)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
        <v>4970</v>
      </c>
      <c r="H794" s="2" t="str">
        <f>_xlfn.XLOOKUP(C794,customers!$A$1:$A$1001,customers!$G$1:$G$1001,0)</f>
        <v>United Kingdom</v>
      </c>
      <c r="I794" t="str">
        <f>_xlfn.XLOOKUP(D794,products!$A$1:$A$49,products!$B$1:$B$49,0)</f>
        <v>Lib</v>
      </c>
      <c r="J794" t="str">
        <f>_xlfn.XLOOKUP(worksheet!D794,products!$A$1:$A$49,products!$C$1:$C$49,0)</f>
        <v>M</v>
      </c>
      <c r="K794" s="5">
        <f>_xlfn.XLOOKUP(worksheet!D794,products!$A$1:$A$49,products!$D$1:$D$49,0)</f>
        <v>0.5</v>
      </c>
      <c r="L794" s="6">
        <f>_xlfn.XLOOKUP(worksheet!D794,products!$A$1:$A$49,products!$E$1:$E$49,0)</f>
        <v>8.73</v>
      </c>
      <c r="M794" s="6">
        <f>worksheet!E794*worksheet!L794</f>
        <v>52.38</v>
      </c>
      <c r="N794" t="str">
        <f t="shared" si="24"/>
        <v>Liberica</v>
      </c>
      <c r="O794" t="str">
        <f t="shared" si="25"/>
        <v>Medium</v>
      </c>
      <c r="P794" t="str">
        <f>_xlfn.XLOOKUP(worksheet[[#This Row],[Customer ID]],customers!$A$1:$A$1001,customers!$I$1:$I$1001,0)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
        <v>4976</v>
      </c>
      <c r="H795" s="2" t="str">
        <f>_xlfn.XLOOKUP(C795,customers!$A$1:$A$1001,customers!$G$1:$G$1001,0)</f>
        <v>United States</v>
      </c>
      <c r="I795" t="str">
        <f>_xlfn.XLOOKUP(D795,products!$A$1:$A$49,products!$B$1:$B$49,0)</f>
        <v>Rob</v>
      </c>
      <c r="J795" t="str">
        <f>_xlfn.XLOOKUP(worksheet!D795,products!$A$1:$A$49,products!$C$1:$C$49,0)</f>
        <v>L</v>
      </c>
      <c r="K795" s="5">
        <f>_xlfn.XLOOKUP(worksheet!D795,products!$A$1:$A$49,products!$D$1:$D$49,0)</f>
        <v>0.2</v>
      </c>
      <c r="L795" s="6">
        <f>_xlfn.XLOOKUP(worksheet!D795,products!$A$1:$A$49,products!$E$1:$E$49,0)</f>
        <v>3.5849999999999995</v>
      </c>
      <c r="M795" s="6">
        <f>worksheet!E795*worksheet!L795</f>
        <v>17.924999999999997</v>
      </c>
      <c r="N795" t="str">
        <f t="shared" si="24"/>
        <v>Robusta</v>
      </c>
      <c r="O795" t="str">
        <f t="shared" si="25"/>
        <v>Light</v>
      </c>
      <c r="P795" t="str">
        <f>_xlfn.XLOOKUP(worksheet[[#This Row],[Customer ID]],customers!$A$1:$A$1001,customers!$I$1:$I$1001,0)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
        <v>4982</v>
      </c>
      <c r="H796" s="2" t="str">
        <f>_xlfn.XLOOKUP(C796,customers!$A$1:$A$1001,customers!$G$1:$G$1001,0)</f>
        <v>United States</v>
      </c>
      <c r="I796" t="str">
        <f>_xlfn.XLOOKUP(D796,products!$A$1:$A$49,products!$B$1:$B$49,0)</f>
        <v>Ara</v>
      </c>
      <c r="J796" t="str">
        <f>_xlfn.XLOOKUP(worksheet!D796,products!$A$1:$A$49,products!$C$1:$C$49,0)</f>
        <v>L</v>
      </c>
      <c r="K796" s="5">
        <f>_xlfn.XLOOKUP(worksheet!D796,products!$A$1:$A$49,products!$D$1:$D$49,0)</f>
        <v>2.5</v>
      </c>
      <c r="L796" s="6">
        <f>_xlfn.XLOOKUP(worksheet!D796,products!$A$1:$A$49,products!$E$1:$E$49,0)</f>
        <v>29.784999999999997</v>
      </c>
      <c r="M796" s="6">
        <f>worksheet!E796*worksheet!L796</f>
        <v>148.92499999999998</v>
      </c>
      <c r="N796" t="str">
        <f t="shared" si="24"/>
        <v>Arabica</v>
      </c>
      <c r="O796" t="str">
        <f t="shared" si="25"/>
        <v>Light</v>
      </c>
      <c r="P796" t="str">
        <f>_xlfn.XLOOKUP(worksheet[[#This Row],[Customer ID]],customers!$A$1:$A$1001,customers!$I$1:$I$1001,0)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
        <v>4988</v>
      </c>
      <c r="H797" s="2" t="str">
        <f>_xlfn.XLOOKUP(C797,customers!$A$1:$A$1001,customers!$G$1:$G$1001,0)</f>
        <v>United States</v>
      </c>
      <c r="I797" t="str">
        <f>_xlfn.XLOOKUP(D797,products!$A$1:$A$49,products!$B$1:$B$49,0)</f>
        <v>Rob</v>
      </c>
      <c r="J797" t="str">
        <f>_xlfn.XLOOKUP(worksheet!D797,products!$A$1:$A$49,products!$C$1:$C$49,0)</f>
        <v>L</v>
      </c>
      <c r="K797" s="5">
        <f>_xlfn.XLOOKUP(worksheet!D797,products!$A$1:$A$49,products!$D$1:$D$49,0)</f>
        <v>0.5</v>
      </c>
      <c r="L797" s="6">
        <f>_xlfn.XLOOKUP(worksheet!D797,products!$A$1:$A$49,products!$E$1:$E$49,0)</f>
        <v>7.169999999999999</v>
      </c>
      <c r="M797" s="6">
        <f>worksheet!E797*worksheet!L797</f>
        <v>28.679999999999996</v>
      </c>
      <c r="N797" t="str">
        <f t="shared" si="24"/>
        <v>Robusta</v>
      </c>
      <c r="O797" t="str">
        <f t="shared" si="25"/>
        <v>Light</v>
      </c>
      <c r="P797" t="str">
        <f>_xlfn.XLOOKUP(worksheet[[#This Row],[Customer ID]],customers!$A$1:$A$1001,customers!$I$1:$I$1001,0)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
        <v>6222</v>
      </c>
      <c r="H798" s="2" t="str">
        <f>_xlfn.XLOOKUP(C798,customers!$A$1:$A$1001,customers!$G$1:$G$1001,0)</f>
        <v>United States</v>
      </c>
      <c r="I798" t="str">
        <f>_xlfn.XLOOKUP(D798,products!$A$1:$A$49,products!$B$1:$B$49,0)</f>
        <v>Lib</v>
      </c>
      <c r="J798" t="str">
        <f>_xlfn.XLOOKUP(worksheet!D798,products!$A$1:$A$49,products!$C$1:$C$49,0)</f>
        <v>L</v>
      </c>
      <c r="K798" s="5">
        <f>_xlfn.XLOOKUP(worksheet!D798,products!$A$1:$A$49,products!$D$1:$D$49,0)</f>
        <v>0.5</v>
      </c>
      <c r="L798" s="6">
        <f>_xlfn.XLOOKUP(worksheet!D798,products!$A$1:$A$49,products!$E$1:$E$49,0)</f>
        <v>9.51</v>
      </c>
      <c r="M798" s="6">
        <f>worksheet!E798*worksheet!L798</f>
        <v>9.51</v>
      </c>
      <c r="N798" t="str">
        <f t="shared" si="24"/>
        <v>Liberica</v>
      </c>
      <c r="O798" t="str">
        <f t="shared" si="25"/>
        <v>Light</v>
      </c>
      <c r="P798" t="str">
        <f>_xlfn.XLOOKUP(worksheet[[#This Row],[Customer ID]],customers!$A$1:$A$1001,customers!$I$1:$I$1001,0)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
        <v>4999</v>
      </c>
      <c r="H799" s="2" t="str">
        <f>_xlfn.XLOOKUP(C799,customers!$A$1:$A$1001,customers!$G$1:$G$1001,0)</f>
        <v>United States</v>
      </c>
      <c r="I799" t="str">
        <f>_xlfn.XLOOKUP(D799,products!$A$1:$A$49,products!$B$1:$B$49,0)</f>
        <v>Ara</v>
      </c>
      <c r="J799" t="str">
        <f>_xlfn.XLOOKUP(worksheet!D799,products!$A$1:$A$49,products!$C$1:$C$49,0)</f>
        <v>L</v>
      </c>
      <c r="K799" s="5">
        <f>_xlfn.XLOOKUP(worksheet!D799,products!$A$1:$A$49,products!$D$1:$D$49,0)</f>
        <v>0.5</v>
      </c>
      <c r="L799" s="6">
        <f>_xlfn.XLOOKUP(worksheet!D799,products!$A$1:$A$49,products!$E$1:$E$49,0)</f>
        <v>7.77</v>
      </c>
      <c r="M799" s="6">
        <f>worksheet!E799*worksheet!L799</f>
        <v>31.08</v>
      </c>
      <c r="N799" t="str">
        <f t="shared" si="24"/>
        <v>Arabica</v>
      </c>
      <c r="O799" t="str">
        <f t="shared" si="25"/>
        <v>Light</v>
      </c>
      <c r="P799" t="str">
        <f>_xlfn.XLOOKUP(worksheet[[#This Row],[Customer ID]],customers!$A$1:$A$1001,customers!$I$1:$I$1001,0)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
        <v>5005</v>
      </c>
      <c r="H800" s="2" t="str">
        <f>_xlfn.XLOOKUP(C800,customers!$A$1:$A$1001,customers!$G$1:$G$1001,0)</f>
        <v>United States</v>
      </c>
      <c r="I800" t="str">
        <f>_xlfn.XLOOKUP(D800,products!$A$1:$A$49,products!$B$1:$B$49,0)</f>
        <v>Rob</v>
      </c>
      <c r="J800" t="str">
        <f>_xlfn.XLOOKUP(worksheet!D800,products!$A$1:$A$49,products!$C$1:$C$49,0)</f>
        <v>D</v>
      </c>
      <c r="K800" s="5">
        <f>_xlfn.XLOOKUP(worksheet!D800,products!$A$1:$A$49,products!$D$1:$D$49,0)</f>
        <v>0.2</v>
      </c>
      <c r="L800" s="6">
        <f>_xlfn.XLOOKUP(worksheet!D800,products!$A$1:$A$49,products!$E$1:$E$49,0)</f>
        <v>2.6849999999999996</v>
      </c>
      <c r="M800" s="6">
        <f>worksheet!E800*worksheet!L800</f>
        <v>8.0549999999999997</v>
      </c>
      <c r="N800" t="str">
        <f t="shared" si="24"/>
        <v>Robusta</v>
      </c>
      <c r="O800" t="str">
        <f t="shared" si="25"/>
        <v>Dark</v>
      </c>
      <c r="P800" t="str">
        <f>_xlfn.XLOOKUP(worksheet[[#This Row],[Customer ID]],customers!$A$1:$A$1001,customers!$I$1:$I$1001,0)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
        <v>6222</v>
      </c>
      <c r="H801" s="2" t="str">
        <f>_xlfn.XLOOKUP(C801,customers!$A$1:$A$1001,customers!$G$1:$G$1001,0)</f>
        <v>United States</v>
      </c>
      <c r="I801" t="str">
        <f>_xlfn.XLOOKUP(D801,products!$A$1:$A$49,products!$B$1:$B$49,0)</f>
        <v>Exc</v>
      </c>
      <c r="J801" t="str">
        <f>_xlfn.XLOOKUP(worksheet!D801,products!$A$1:$A$49,products!$C$1:$C$49,0)</f>
        <v>D</v>
      </c>
      <c r="K801" s="5">
        <f>_xlfn.XLOOKUP(worksheet!D801,products!$A$1:$A$49,products!$D$1:$D$49,0)</f>
        <v>1</v>
      </c>
      <c r="L801" s="6">
        <f>_xlfn.XLOOKUP(worksheet!D801,products!$A$1:$A$49,products!$E$1:$E$49,0)</f>
        <v>12.15</v>
      </c>
      <c r="M801" s="6">
        <f>worksheet!E801*worksheet!L801</f>
        <v>36.450000000000003</v>
      </c>
      <c r="N801" t="str">
        <f t="shared" si="24"/>
        <v>Excelsa</v>
      </c>
      <c r="O801" t="str">
        <f t="shared" si="25"/>
        <v>Dark</v>
      </c>
      <c r="P801" t="str">
        <f>_xlfn.XLOOKUP(worksheet[[#This Row],[Customer ID]],customers!$A$1:$A$1001,customers!$I$1:$I$1001,0)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
        <v>5015</v>
      </c>
      <c r="H802" s="2" t="str">
        <f>_xlfn.XLOOKUP(C802,customers!$A$1:$A$1001,customers!$G$1:$G$1001,0)</f>
        <v>Ireland</v>
      </c>
      <c r="I802" t="str">
        <f>_xlfn.XLOOKUP(D802,products!$A$1:$A$49,products!$B$1:$B$49,0)</f>
        <v>Rob</v>
      </c>
      <c r="J802" t="str">
        <f>_xlfn.XLOOKUP(worksheet!D802,products!$A$1:$A$49,products!$C$1:$C$49,0)</f>
        <v>D</v>
      </c>
      <c r="K802" s="5">
        <f>_xlfn.XLOOKUP(worksheet!D802,products!$A$1:$A$49,products!$D$1:$D$49,0)</f>
        <v>0.2</v>
      </c>
      <c r="L802" s="6">
        <f>_xlfn.XLOOKUP(worksheet!D802,products!$A$1:$A$49,products!$E$1:$E$49,0)</f>
        <v>2.6849999999999996</v>
      </c>
      <c r="M802" s="6">
        <f>worksheet!E802*worksheet!L802</f>
        <v>16.11</v>
      </c>
      <c r="N802" t="str">
        <f t="shared" si="24"/>
        <v>Robusta</v>
      </c>
      <c r="O802" t="str">
        <f t="shared" si="25"/>
        <v>Dark</v>
      </c>
      <c r="P802" t="str">
        <f>_xlfn.XLOOKUP(worksheet[[#This Row],[Customer ID]],customers!$A$1:$A$1001,customers!$I$1:$I$1001,0)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
        <v>5021</v>
      </c>
      <c r="H803" s="2" t="str">
        <f>_xlfn.XLOOKUP(C803,customers!$A$1:$A$1001,customers!$G$1:$G$1001,0)</f>
        <v>United States</v>
      </c>
      <c r="I803" t="str">
        <f>_xlfn.XLOOKUP(D803,products!$A$1:$A$49,products!$B$1:$B$49,0)</f>
        <v>Rob</v>
      </c>
      <c r="J803" t="str">
        <f>_xlfn.XLOOKUP(worksheet!D803,products!$A$1:$A$49,products!$C$1:$C$49,0)</f>
        <v>D</v>
      </c>
      <c r="K803" s="5">
        <f>_xlfn.XLOOKUP(worksheet!D803,products!$A$1:$A$49,products!$D$1:$D$49,0)</f>
        <v>2.5</v>
      </c>
      <c r="L803" s="6">
        <f>_xlfn.XLOOKUP(worksheet!D803,products!$A$1:$A$49,products!$E$1:$E$49,0)</f>
        <v>20.584999999999997</v>
      </c>
      <c r="M803" s="6">
        <f>worksheet!E803*worksheet!L803</f>
        <v>41.169999999999995</v>
      </c>
      <c r="N803" t="str">
        <f t="shared" si="24"/>
        <v>Robusta</v>
      </c>
      <c r="O803" t="str">
        <f t="shared" si="25"/>
        <v>Dark</v>
      </c>
      <c r="P803" t="str">
        <f>_xlfn.XLOOKUP(worksheet[[#This Row],[Customer ID]],customers!$A$1:$A$1001,customers!$I$1:$I$1001,0)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
        <v>5027</v>
      </c>
      <c r="H804" s="2" t="str">
        <f>_xlfn.XLOOKUP(C804,customers!$A$1:$A$1001,customers!$G$1:$G$1001,0)</f>
        <v>United States</v>
      </c>
      <c r="I804" t="str">
        <f>_xlfn.XLOOKUP(D804,products!$A$1:$A$49,products!$B$1:$B$49,0)</f>
        <v>Rob</v>
      </c>
      <c r="J804" t="str">
        <f>_xlfn.XLOOKUP(worksheet!D804,products!$A$1:$A$49,products!$C$1:$C$49,0)</f>
        <v>D</v>
      </c>
      <c r="K804" s="5">
        <f>_xlfn.XLOOKUP(worksheet!D804,products!$A$1:$A$49,products!$D$1:$D$49,0)</f>
        <v>0.2</v>
      </c>
      <c r="L804" s="6">
        <f>_xlfn.XLOOKUP(worksheet!D804,products!$A$1:$A$49,products!$E$1:$E$49,0)</f>
        <v>2.6849999999999996</v>
      </c>
      <c r="M804" s="6">
        <f>worksheet!E804*worksheet!L804</f>
        <v>10.739999999999998</v>
      </c>
      <c r="N804" t="str">
        <f t="shared" si="24"/>
        <v>Robusta</v>
      </c>
      <c r="O804" t="str">
        <f t="shared" si="25"/>
        <v>Dark</v>
      </c>
      <c r="P804" t="str">
        <f>_xlfn.XLOOKUP(worksheet[[#This Row],[Customer ID]],customers!$A$1:$A$1001,customers!$I$1:$I$1001,0)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
        <v>5033</v>
      </c>
      <c r="H805" s="2" t="str">
        <f>_xlfn.XLOOKUP(C805,customers!$A$1:$A$1001,customers!$G$1:$G$1001,0)</f>
        <v>United States</v>
      </c>
      <c r="I805" t="str">
        <f>_xlfn.XLOOKUP(D805,products!$A$1:$A$49,products!$B$1:$B$49,0)</f>
        <v>Exc</v>
      </c>
      <c r="J805" t="str">
        <f>_xlfn.XLOOKUP(worksheet!D805,products!$A$1:$A$49,products!$C$1:$C$49,0)</f>
        <v>M</v>
      </c>
      <c r="K805" s="5">
        <f>_xlfn.XLOOKUP(worksheet!D805,products!$A$1:$A$49,products!$D$1:$D$49,0)</f>
        <v>2.5</v>
      </c>
      <c r="L805" s="6">
        <f>_xlfn.XLOOKUP(worksheet!D805,products!$A$1:$A$49,products!$E$1:$E$49,0)</f>
        <v>31.624999999999996</v>
      </c>
      <c r="M805" s="6">
        <f>worksheet!E805*worksheet!L805</f>
        <v>126.49999999999999</v>
      </c>
      <c r="N805" t="str">
        <f t="shared" si="24"/>
        <v>Excelsa</v>
      </c>
      <c r="O805" t="str">
        <f t="shared" si="25"/>
        <v>Medium</v>
      </c>
      <c r="P805" t="str">
        <f>_xlfn.XLOOKUP(worksheet[[#This Row],[Customer ID]],customers!$A$1:$A$1001,customers!$I$1:$I$1001,0)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
        <v>6222</v>
      </c>
      <c r="H806" s="2" t="str">
        <f>_xlfn.XLOOKUP(C806,customers!$A$1:$A$1001,customers!$G$1:$G$1001,0)</f>
        <v>United Kingdom</v>
      </c>
      <c r="I806" t="str">
        <f>_xlfn.XLOOKUP(D806,products!$A$1:$A$49,products!$B$1:$B$49,0)</f>
        <v>Rob</v>
      </c>
      <c r="J806" t="str">
        <f>_xlfn.XLOOKUP(worksheet!D806,products!$A$1:$A$49,products!$C$1:$C$49,0)</f>
        <v>L</v>
      </c>
      <c r="K806" s="5">
        <f>_xlfn.XLOOKUP(worksheet!D806,products!$A$1:$A$49,products!$D$1:$D$49,0)</f>
        <v>1</v>
      </c>
      <c r="L806" s="6">
        <f>_xlfn.XLOOKUP(worksheet!D806,products!$A$1:$A$49,products!$E$1:$E$49,0)</f>
        <v>11.95</v>
      </c>
      <c r="M806" s="6">
        <f>worksheet!E806*worksheet!L806</f>
        <v>23.9</v>
      </c>
      <c r="N806" t="str">
        <f t="shared" si="24"/>
        <v>Robusta</v>
      </c>
      <c r="O806" t="str">
        <f t="shared" si="25"/>
        <v>Light</v>
      </c>
      <c r="P806" t="str">
        <f>_xlfn.XLOOKUP(worksheet[[#This Row],[Customer ID]],customers!$A$1:$A$1001,customers!$I$1:$I$1001,0)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
        <v>6222</v>
      </c>
      <c r="H807" s="2" t="str">
        <f>_xlfn.XLOOKUP(C807,customers!$A$1:$A$1001,customers!$G$1:$G$1001,0)</f>
        <v>United States</v>
      </c>
      <c r="I807" t="str">
        <f>_xlfn.XLOOKUP(D807,products!$A$1:$A$49,products!$B$1:$B$49,0)</f>
        <v>Rob</v>
      </c>
      <c r="J807" t="str">
        <f>_xlfn.XLOOKUP(worksheet!D807,products!$A$1:$A$49,products!$C$1:$C$49,0)</f>
        <v>M</v>
      </c>
      <c r="K807" s="5">
        <f>_xlfn.XLOOKUP(worksheet!D807,products!$A$1:$A$49,products!$D$1:$D$49,0)</f>
        <v>0.5</v>
      </c>
      <c r="L807" s="6">
        <f>_xlfn.XLOOKUP(worksheet!D807,products!$A$1:$A$49,products!$E$1:$E$49,0)</f>
        <v>5.97</v>
      </c>
      <c r="M807" s="6">
        <f>worksheet!E807*worksheet!L807</f>
        <v>5.97</v>
      </c>
      <c r="N807" t="str">
        <f t="shared" si="24"/>
        <v>Robusta</v>
      </c>
      <c r="O807" t="str">
        <f t="shared" si="25"/>
        <v>Medium</v>
      </c>
      <c r="P807" t="str">
        <f>_xlfn.XLOOKUP(worksheet[[#This Row],[Customer ID]],customers!$A$1:$A$1001,customers!$I$1:$I$1001,0)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
        <v>6222</v>
      </c>
      <c r="H808" s="2" t="str">
        <f>_xlfn.XLOOKUP(C808,customers!$A$1:$A$1001,customers!$G$1:$G$1001,0)</f>
        <v>United Kingdom</v>
      </c>
      <c r="I808" t="str">
        <f>_xlfn.XLOOKUP(D808,products!$A$1:$A$49,products!$B$1:$B$49,0)</f>
        <v>Lib</v>
      </c>
      <c r="J808" t="str">
        <f>_xlfn.XLOOKUP(worksheet!D808,products!$A$1:$A$49,products!$C$1:$C$49,0)</f>
        <v>D</v>
      </c>
      <c r="K808" s="5">
        <f>_xlfn.XLOOKUP(worksheet!D808,products!$A$1:$A$49,products!$D$1:$D$49,0)</f>
        <v>0.2</v>
      </c>
      <c r="L808" s="6">
        <f>_xlfn.XLOOKUP(worksheet!D808,products!$A$1:$A$49,products!$E$1:$E$49,0)</f>
        <v>3.8849999999999998</v>
      </c>
      <c r="M808" s="6">
        <f>worksheet!E808*worksheet!L808</f>
        <v>7.77</v>
      </c>
      <c r="N808" t="str">
        <f t="shared" si="24"/>
        <v>Liberica</v>
      </c>
      <c r="O808" t="str">
        <f t="shared" si="25"/>
        <v>Dark</v>
      </c>
      <c r="P808" t="str">
        <f>_xlfn.XLOOKUP(worksheet[[#This Row],[Customer ID]],customers!$A$1:$A$1001,customers!$I$1:$I$1001,0)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
        <v>5053</v>
      </c>
      <c r="H809" s="2" t="str">
        <f>_xlfn.XLOOKUP(C809,customers!$A$1:$A$1001,customers!$G$1:$G$1001,0)</f>
        <v>Ireland</v>
      </c>
      <c r="I809" t="str">
        <f>_xlfn.XLOOKUP(D809,products!$A$1:$A$49,products!$B$1:$B$49,0)</f>
        <v>Lib</v>
      </c>
      <c r="J809" t="str">
        <f>_xlfn.XLOOKUP(worksheet!D809,products!$A$1:$A$49,products!$C$1:$C$49,0)</f>
        <v>D</v>
      </c>
      <c r="K809" s="5">
        <f>_xlfn.XLOOKUP(worksheet!D809,products!$A$1:$A$49,products!$D$1:$D$49,0)</f>
        <v>0.5</v>
      </c>
      <c r="L809" s="6">
        <f>_xlfn.XLOOKUP(worksheet!D809,products!$A$1:$A$49,products!$E$1:$E$49,0)</f>
        <v>7.77</v>
      </c>
      <c r="M809" s="6">
        <f>worksheet!E809*worksheet!L809</f>
        <v>23.31</v>
      </c>
      <c r="N809" t="str">
        <f t="shared" si="24"/>
        <v>Liberica</v>
      </c>
      <c r="O809" t="str">
        <f t="shared" si="25"/>
        <v>Dark</v>
      </c>
      <c r="P809" t="str">
        <f>_xlfn.XLOOKUP(worksheet[[#This Row],[Customer ID]],customers!$A$1:$A$1001,customers!$I$1:$I$1001,0)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
        <v>6222</v>
      </c>
      <c r="H810" s="2" t="str">
        <f>_xlfn.XLOOKUP(C810,customers!$A$1:$A$1001,customers!$G$1:$G$1001,0)</f>
        <v>United States</v>
      </c>
      <c r="I810" t="str">
        <f>_xlfn.XLOOKUP(D810,products!$A$1:$A$49,products!$B$1:$B$49,0)</f>
        <v>Rob</v>
      </c>
      <c r="J810" t="str">
        <f>_xlfn.XLOOKUP(worksheet!D810,products!$A$1:$A$49,products!$C$1:$C$49,0)</f>
        <v>L</v>
      </c>
      <c r="K810" s="5">
        <f>_xlfn.XLOOKUP(worksheet!D810,products!$A$1:$A$49,products!$D$1:$D$49,0)</f>
        <v>2.5</v>
      </c>
      <c r="L810" s="6">
        <f>_xlfn.XLOOKUP(worksheet!D810,products!$A$1:$A$49,products!$E$1:$E$49,0)</f>
        <v>27.484999999999996</v>
      </c>
      <c r="M810" s="6">
        <f>worksheet!E810*worksheet!L810</f>
        <v>137.42499999999998</v>
      </c>
      <c r="N810" t="str">
        <f t="shared" si="24"/>
        <v>Robusta</v>
      </c>
      <c r="O810" t="str">
        <f t="shared" si="25"/>
        <v>Light</v>
      </c>
      <c r="P810" t="str">
        <f>_xlfn.XLOOKUP(worksheet[[#This Row],[Customer ID]],customers!$A$1:$A$1001,customers!$I$1:$I$1001,0)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
        <v>6222</v>
      </c>
      <c r="H811" s="2" t="str">
        <f>_xlfn.XLOOKUP(C811,customers!$A$1:$A$1001,customers!$G$1:$G$1001,0)</f>
        <v>United States</v>
      </c>
      <c r="I811" t="str">
        <f>_xlfn.XLOOKUP(D811,products!$A$1:$A$49,products!$B$1:$B$49,0)</f>
        <v>Rob</v>
      </c>
      <c r="J811" t="str">
        <f>_xlfn.XLOOKUP(worksheet!D811,products!$A$1:$A$49,products!$C$1:$C$49,0)</f>
        <v>D</v>
      </c>
      <c r="K811" s="5">
        <f>_xlfn.XLOOKUP(worksheet!D811,products!$A$1:$A$49,products!$D$1:$D$49,0)</f>
        <v>0.2</v>
      </c>
      <c r="L811" s="6">
        <f>_xlfn.XLOOKUP(worksheet!D811,products!$A$1:$A$49,products!$E$1:$E$49,0)</f>
        <v>2.6849999999999996</v>
      </c>
      <c r="M811" s="6">
        <f>worksheet!E811*worksheet!L811</f>
        <v>8.0549999999999997</v>
      </c>
      <c r="N811" t="str">
        <f t="shared" si="24"/>
        <v>Robusta</v>
      </c>
      <c r="O811" t="str">
        <f t="shared" si="25"/>
        <v>Dark</v>
      </c>
      <c r="P811" t="str">
        <f>_xlfn.XLOOKUP(worksheet[[#This Row],[Customer ID]],customers!$A$1:$A$1001,customers!$I$1:$I$1001,0)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
        <v>5070</v>
      </c>
      <c r="H812" s="2" t="str">
        <f>_xlfn.XLOOKUP(C812,customers!$A$1:$A$1001,customers!$G$1:$G$1001,0)</f>
        <v>United States</v>
      </c>
      <c r="I812" t="str">
        <f>_xlfn.XLOOKUP(D812,products!$A$1:$A$49,products!$B$1:$B$49,0)</f>
        <v>Lib</v>
      </c>
      <c r="J812" t="str">
        <f>_xlfn.XLOOKUP(worksheet!D812,products!$A$1:$A$49,products!$C$1:$C$49,0)</f>
        <v>L</v>
      </c>
      <c r="K812" s="5">
        <f>_xlfn.XLOOKUP(worksheet!D812,products!$A$1:$A$49,products!$D$1:$D$49,0)</f>
        <v>0.5</v>
      </c>
      <c r="L812" s="6">
        <f>_xlfn.XLOOKUP(worksheet!D812,products!$A$1:$A$49,products!$E$1:$E$49,0)</f>
        <v>9.51</v>
      </c>
      <c r="M812" s="6">
        <f>worksheet!E812*worksheet!L812</f>
        <v>28.53</v>
      </c>
      <c r="N812" t="str">
        <f t="shared" si="24"/>
        <v>Liberica</v>
      </c>
      <c r="O812" t="str">
        <f t="shared" si="25"/>
        <v>Light</v>
      </c>
      <c r="P812" t="str">
        <f>_xlfn.XLOOKUP(worksheet[[#This Row],[Customer ID]],customers!$A$1:$A$1001,customers!$I$1:$I$1001,0)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
        <v>5076</v>
      </c>
      <c r="H813" s="2" t="str">
        <f>_xlfn.XLOOKUP(C813,customers!$A$1:$A$1001,customers!$G$1:$G$1001,0)</f>
        <v>Ireland</v>
      </c>
      <c r="I813" t="str">
        <f>_xlfn.XLOOKUP(D813,products!$A$1:$A$49,products!$B$1:$B$49,0)</f>
        <v>Ara</v>
      </c>
      <c r="J813" t="str">
        <f>_xlfn.XLOOKUP(worksheet!D813,products!$A$1:$A$49,products!$C$1:$C$49,0)</f>
        <v>M</v>
      </c>
      <c r="K813" s="5">
        <f>_xlfn.XLOOKUP(worksheet!D813,products!$A$1:$A$49,products!$D$1:$D$49,0)</f>
        <v>1</v>
      </c>
      <c r="L813" s="6">
        <f>_xlfn.XLOOKUP(worksheet!D813,products!$A$1:$A$49,products!$E$1:$E$49,0)</f>
        <v>11.25</v>
      </c>
      <c r="M813" s="6">
        <f>worksheet!E813*worksheet!L813</f>
        <v>67.5</v>
      </c>
      <c r="N813" t="str">
        <f t="shared" si="24"/>
        <v>Arabica</v>
      </c>
      <c r="O813" t="str">
        <f t="shared" si="25"/>
        <v>Medium</v>
      </c>
      <c r="P813" t="str">
        <f>_xlfn.XLOOKUP(worksheet[[#This Row],[Customer ID]],customers!$A$1:$A$1001,customers!$I$1:$I$1001,0)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
        <v>5076</v>
      </c>
      <c r="H814" s="2" t="str">
        <f>_xlfn.XLOOKUP(C814,customers!$A$1:$A$1001,customers!$G$1:$G$1001,0)</f>
        <v>Ireland</v>
      </c>
      <c r="I814" t="str">
        <f>_xlfn.XLOOKUP(D814,products!$A$1:$A$49,products!$B$1:$B$49,0)</f>
        <v>Lib</v>
      </c>
      <c r="J814" t="str">
        <f>_xlfn.XLOOKUP(worksheet!D814,products!$A$1:$A$49,products!$C$1:$C$49,0)</f>
        <v>D</v>
      </c>
      <c r="K814" s="5">
        <f>_xlfn.XLOOKUP(worksheet!D814,products!$A$1:$A$49,products!$D$1:$D$49,0)</f>
        <v>2.5</v>
      </c>
      <c r="L814" s="6">
        <f>_xlfn.XLOOKUP(worksheet!D814,products!$A$1:$A$49,products!$E$1:$E$49,0)</f>
        <v>29.784999999999997</v>
      </c>
      <c r="M814" s="6">
        <f>worksheet!E814*worksheet!L814</f>
        <v>178.70999999999998</v>
      </c>
      <c r="N814" t="str">
        <f t="shared" si="24"/>
        <v>Liberica</v>
      </c>
      <c r="O814" t="str">
        <f t="shared" si="25"/>
        <v>Dark</v>
      </c>
      <c r="P814" t="str">
        <f>_xlfn.XLOOKUP(worksheet[[#This Row],[Customer ID]],customers!$A$1:$A$1001,customers!$I$1:$I$1001,0)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
        <v>5087</v>
      </c>
      <c r="H815" s="2" t="str">
        <f>_xlfn.XLOOKUP(C815,customers!$A$1:$A$1001,customers!$G$1:$G$1001,0)</f>
        <v>United States</v>
      </c>
      <c r="I815" t="str">
        <f>_xlfn.XLOOKUP(D815,products!$A$1:$A$49,products!$B$1:$B$49,0)</f>
        <v>Exc</v>
      </c>
      <c r="J815" t="str">
        <f>_xlfn.XLOOKUP(worksheet!D815,products!$A$1:$A$49,products!$C$1:$C$49,0)</f>
        <v>M</v>
      </c>
      <c r="K815" s="5">
        <f>_xlfn.XLOOKUP(worksheet!D815,products!$A$1:$A$49,products!$D$1:$D$49,0)</f>
        <v>2.5</v>
      </c>
      <c r="L815" s="6">
        <f>_xlfn.XLOOKUP(worksheet!D815,products!$A$1:$A$49,products!$E$1:$E$49,0)</f>
        <v>31.624999999999996</v>
      </c>
      <c r="M815" s="6">
        <f>worksheet!E815*worksheet!L815</f>
        <v>31.624999999999996</v>
      </c>
      <c r="N815" t="str">
        <f t="shared" si="24"/>
        <v>Excelsa</v>
      </c>
      <c r="O815" t="str">
        <f t="shared" si="25"/>
        <v>Medium</v>
      </c>
      <c r="P815" t="str">
        <f>_xlfn.XLOOKUP(worksheet[[#This Row],[Customer ID]],customers!$A$1:$A$1001,customers!$I$1:$I$1001,0)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
        <v>5093</v>
      </c>
      <c r="H816" s="2" t="str">
        <f>_xlfn.XLOOKUP(C816,customers!$A$1:$A$1001,customers!$G$1:$G$1001,0)</f>
        <v>United States</v>
      </c>
      <c r="I816" t="str">
        <f>_xlfn.XLOOKUP(D816,products!$A$1:$A$49,products!$B$1:$B$49,0)</f>
        <v>Exc</v>
      </c>
      <c r="J816" t="str">
        <f>_xlfn.XLOOKUP(worksheet!D816,products!$A$1:$A$49,products!$C$1:$C$49,0)</f>
        <v>L</v>
      </c>
      <c r="K816" s="5">
        <f>_xlfn.XLOOKUP(worksheet!D816,products!$A$1:$A$49,products!$D$1:$D$49,0)</f>
        <v>0.2</v>
      </c>
      <c r="L816" s="6">
        <f>_xlfn.XLOOKUP(worksheet!D816,products!$A$1:$A$49,products!$E$1:$E$49,0)</f>
        <v>4.4550000000000001</v>
      </c>
      <c r="M816" s="6">
        <f>worksheet!E816*worksheet!L816</f>
        <v>8.91</v>
      </c>
      <c r="N816" t="str">
        <f t="shared" si="24"/>
        <v>Excelsa</v>
      </c>
      <c r="O816" t="str">
        <f t="shared" si="25"/>
        <v>Light</v>
      </c>
      <c r="P816" t="str">
        <f>_xlfn.XLOOKUP(worksheet[[#This Row],[Customer ID]],customers!$A$1:$A$1001,customers!$I$1:$I$1001,0)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
        <v>5099</v>
      </c>
      <c r="H817" s="2" t="str">
        <f>_xlfn.XLOOKUP(C817,customers!$A$1:$A$1001,customers!$G$1:$G$1001,0)</f>
        <v>United States</v>
      </c>
      <c r="I817" t="str">
        <f>_xlfn.XLOOKUP(D817,products!$A$1:$A$49,products!$B$1:$B$49,0)</f>
        <v>Rob</v>
      </c>
      <c r="J817" t="str">
        <f>_xlfn.XLOOKUP(worksheet!D817,products!$A$1:$A$49,products!$C$1:$C$49,0)</f>
        <v>M</v>
      </c>
      <c r="K817" s="5">
        <f>_xlfn.XLOOKUP(worksheet!D817,products!$A$1:$A$49,products!$D$1:$D$49,0)</f>
        <v>0.5</v>
      </c>
      <c r="L817" s="6">
        <f>_xlfn.XLOOKUP(worksheet!D817,products!$A$1:$A$49,products!$E$1:$E$49,0)</f>
        <v>5.97</v>
      </c>
      <c r="M817" s="6">
        <f>worksheet!E817*worksheet!L817</f>
        <v>35.82</v>
      </c>
      <c r="N817" t="str">
        <f t="shared" si="24"/>
        <v>Robusta</v>
      </c>
      <c r="O817" t="str">
        <f t="shared" si="25"/>
        <v>Medium</v>
      </c>
      <c r="P817" t="str">
        <f>_xlfn.XLOOKUP(worksheet[[#This Row],[Customer ID]],customers!$A$1:$A$1001,customers!$I$1:$I$1001,0)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
        <v>5105</v>
      </c>
      <c r="H818" s="2" t="str">
        <f>_xlfn.XLOOKUP(C818,customers!$A$1:$A$1001,customers!$G$1:$G$1001,0)</f>
        <v>Ireland</v>
      </c>
      <c r="I818" t="str">
        <f>_xlfn.XLOOKUP(D818,products!$A$1:$A$49,products!$B$1:$B$49,0)</f>
        <v>Lib</v>
      </c>
      <c r="J818" t="str">
        <f>_xlfn.XLOOKUP(worksheet!D818,products!$A$1:$A$49,products!$C$1:$C$49,0)</f>
        <v>L</v>
      </c>
      <c r="K818" s="5">
        <f>_xlfn.XLOOKUP(worksheet!D818,products!$A$1:$A$49,products!$D$1:$D$49,0)</f>
        <v>0.5</v>
      </c>
      <c r="L818" s="6">
        <f>_xlfn.XLOOKUP(worksheet!D818,products!$A$1:$A$49,products!$E$1:$E$49,0)</f>
        <v>9.51</v>
      </c>
      <c r="M818" s="6">
        <f>worksheet!E818*worksheet!L818</f>
        <v>38.04</v>
      </c>
      <c r="N818" t="str">
        <f t="shared" si="24"/>
        <v>Liberica</v>
      </c>
      <c r="O818" t="str">
        <f t="shared" si="25"/>
        <v>Light</v>
      </c>
      <c r="P818" t="str">
        <f>_xlfn.XLOOKUP(worksheet[[#This Row],[Customer ID]],customers!$A$1:$A$1001,customers!$I$1:$I$1001,0)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
        <v>5110</v>
      </c>
      <c r="H819" s="2" t="str">
        <f>_xlfn.XLOOKUP(C819,customers!$A$1:$A$1001,customers!$G$1:$G$1001,0)</f>
        <v>United States</v>
      </c>
      <c r="I819" t="str">
        <f>_xlfn.XLOOKUP(D819,products!$A$1:$A$49,products!$B$1:$B$49,0)</f>
        <v>Lib</v>
      </c>
      <c r="J819" t="str">
        <f>_xlfn.XLOOKUP(worksheet!D819,products!$A$1:$A$49,products!$C$1:$C$49,0)</f>
        <v>D</v>
      </c>
      <c r="K819" s="5">
        <f>_xlfn.XLOOKUP(worksheet!D819,products!$A$1:$A$49,products!$D$1:$D$49,0)</f>
        <v>0.5</v>
      </c>
      <c r="L819" s="6">
        <f>_xlfn.XLOOKUP(worksheet!D819,products!$A$1:$A$49,products!$E$1:$E$49,0)</f>
        <v>7.77</v>
      </c>
      <c r="M819" s="6">
        <f>worksheet!E819*worksheet!L819</f>
        <v>15.54</v>
      </c>
      <c r="N819" t="str">
        <f t="shared" si="24"/>
        <v>Liberica</v>
      </c>
      <c r="O819" t="str">
        <f t="shared" si="25"/>
        <v>Dark</v>
      </c>
      <c r="P819" t="str">
        <f>_xlfn.XLOOKUP(worksheet[[#This Row],[Customer ID]],customers!$A$1:$A$1001,customers!$I$1:$I$1001,0)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
        <v>6222</v>
      </c>
      <c r="H820" s="2" t="str">
        <f>_xlfn.XLOOKUP(C820,customers!$A$1:$A$1001,customers!$G$1:$G$1001,0)</f>
        <v>United States</v>
      </c>
      <c r="I820" t="str">
        <f>_xlfn.XLOOKUP(D820,products!$A$1:$A$49,products!$B$1:$B$49,0)</f>
        <v>Lib</v>
      </c>
      <c r="J820" t="str">
        <f>_xlfn.XLOOKUP(worksheet!D820,products!$A$1:$A$49,products!$C$1:$C$49,0)</f>
        <v>L</v>
      </c>
      <c r="K820" s="5">
        <f>_xlfn.XLOOKUP(worksheet!D820,products!$A$1:$A$49,products!$D$1:$D$49,0)</f>
        <v>1</v>
      </c>
      <c r="L820" s="6">
        <f>_xlfn.XLOOKUP(worksheet!D820,products!$A$1:$A$49,products!$E$1:$E$49,0)</f>
        <v>15.85</v>
      </c>
      <c r="M820" s="6">
        <f>worksheet!E820*worksheet!L820</f>
        <v>79.25</v>
      </c>
      <c r="N820" t="str">
        <f t="shared" si="24"/>
        <v>Liberica</v>
      </c>
      <c r="O820" t="str">
        <f t="shared" si="25"/>
        <v>Light</v>
      </c>
      <c r="P820" t="str">
        <f>_xlfn.XLOOKUP(worksheet[[#This Row],[Customer ID]],customers!$A$1:$A$1001,customers!$I$1:$I$1001,0)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
        <v>5120</v>
      </c>
      <c r="H821" s="2" t="str">
        <f>_xlfn.XLOOKUP(C821,customers!$A$1:$A$1001,customers!$G$1:$G$1001,0)</f>
        <v>United States</v>
      </c>
      <c r="I821" t="str">
        <f>_xlfn.XLOOKUP(D821,products!$A$1:$A$49,products!$B$1:$B$49,0)</f>
        <v>Lib</v>
      </c>
      <c r="J821" t="str">
        <f>_xlfn.XLOOKUP(worksheet!D821,products!$A$1:$A$49,products!$C$1:$C$49,0)</f>
        <v>L</v>
      </c>
      <c r="K821" s="5">
        <f>_xlfn.XLOOKUP(worksheet!D821,products!$A$1:$A$49,products!$D$1:$D$49,0)</f>
        <v>0.2</v>
      </c>
      <c r="L821" s="6">
        <f>_xlfn.XLOOKUP(worksheet!D821,products!$A$1:$A$49,products!$E$1:$E$49,0)</f>
        <v>4.7549999999999999</v>
      </c>
      <c r="M821" s="6">
        <f>worksheet!E821*worksheet!L821</f>
        <v>4.7549999999999999</v>
      </c>
      <c r="N821" t="str">
        <f t="shared" si="24"/>
        <v>Liberica</v>
      </c>
      <c r="O821" t="str">
        <f t="shared" si="25"/>
        <v>Light</v>
      </c>
      <c r="P821" t="str">
        <f>_xlfn.XLOOKUP(worksheet[[#This Row],[Customer ID]],customers!$A$1:$A$1001,customers!$I$1:$I$1001,0)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
        <v>5126</v>
      </c>
      <c r="H822" s="2" t="str">
        <f>_xlfn.XLOOKUP(C822,customers!$A$1:$A$1001,customers!$G$1:$G$1001,0)</f>
        <v>United States</v>
      </c>
      <c r="I822" t="str">
        <f>_xlfn.XLOOKUP(D822,products!$A$1:$A$49,products!$B$1:$B$49,0)</f>
        <v>Exc</v>
      </c>
      <c r="J822" t="str">
        <f>_xlfn.XLOOKUP(worksheet!D822,products!$A$1:$A$49,products!$C$1:$C$49,0)</f>
        <v>M</v>
      </c>
      <c r="K822" s="5">
        <f>_xlfn.XLOOKUP(worksheet!D822,products!$A$1:$A$49,products!$D$1:$D$49,0)</f>
        <v>1</v>
      </c>
      <c r="L822" s="6">
        <f>_xlfn.XLOOKUP(worksheet!D822,products!$A$1:$A$49,products!$E$1:$E$49,0)</f>
        <v>13.75</v>
      </c>
      <c r="M822" s="6">
        <f>worksheet!E822*worksheet!L822</f>
        <v>55</v>
      </c>
      <c r="N822" t="str">
        <f t="shared" si="24"/>
        <v>Excelsa</v>
      </c>
      <c r="O822" t="str">
        <f t="shared" si="25"/>
        <v>Medium</v>
      </c>
      <c r="P822" t="str">
        <f>_xlfn.XLOOKUP(worksheet[[#This Row],[Customer ID]],customers!$A$1:$A$1001,customers!$I$1:$I$1001,0)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
        <v>5132</v>
      </c>
      <c r="H823" s="2" t="str">
        <f>_xlfn.XLOOKUP(C823,customers!$A$1:$A$1001,customers!$G$1:$G$1001,0)</f>
        <v>United States</v>
      </c>
      <c r="I823" t="str">
        <f>_xlfn.XLOOKUP(D823,products!$A$1:$A$49,products!$B$1:$B$49,0)</f>
        <v>Rob</v>
      </c>
      <c r="J823" t="str">
        <f>_xlfn.XLOOKUP(worksheet!D823,products!$A$1:$A$49,products!$C$1:$C$49,0)</f>
        <v>D</v>
      </c>
      <c r="K823" s="5">
        <f>_xlfn.XLOOKUP(worksheet!D823,products!$A$1:$A$49,products!$D$1:$D$49,0)</f>
        <v>0.5</v>
      </c>
      <c r="L823" s="6">
        <f>_xlfn.XLOOKUP(worksheet!D823,products!$A$1:$A$49,products!$E$1:$E$49,0)</f>
        <v>5.3699999999999992</v>
      </c>
      <c r="M823" s="6">
        <f>worksheet!E823*worksheet!L823</f>
        <v>26.849999999999994</v>
      </c>
      <c r="N823" t="str">
        <f t="shared" si="24"/>
        <v>Robusta</v>
      </c>
      <c r="O823" t="str">
        <f t="shared" si="25"/>
        <v>Dark</v>
      </c>
      <c r="P823" t="str">
        <f>_xlfn.XLOOKUP(worksheet[[#This Row],[Customer ID]],customers!$A$1:$A$1001,customers!$I$1:$I$1001,0)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
        <v>5138</v>
      </c>
      <c r="H824" s="2" t="str">
        <f>_xlfn.XLOOKUP(C824,customers!$A$1:$A$1001,customers!$G$1:$G$1001,0)</f>
        <v>United States</v>
      </c>
      <c r="I824" t="str">
        <f>_xlfn.XLOOKUP(D824,products!$A$1:$A$49,products!$B$1:$B$49,0)</f>
        <v>Exc</v>
      </c>
      <c r="J824" t="str">
        <f>_xlfn.XLOOKUP(worksheet!D824,products!$A$1:$A$49,products!$C$1:$C$49,0)</f>
        <v>L</v>
      </c>
      <c r="K824" s="5">
        <f>_xlfn.XLOOKUP(worksheet!D824,products!$A$1:$A$49,products!$D$1:$D$49,0)</f>
        <v>2.5</v>
      </c>
      <c r="L824" s="6">
        <f>_xlfn.XLOOKUP(worksheet!D824,products!$A$1:$A$49,products!$E$1:$E$49,0)</f>
        <v>34.154999999999994</v>
      </c>
      <c r="M824" s="6">
        <f>worksheet!E824*worksheet!L824</f>
        <v>136.61999999999998</v>
      </c>
      <c r="N824" t="str">
        <f t="shared" si="24"/>
        <v>Excelsa</v>
      </c>
      <c r="O824" t="str">
        <f t="shared" si="25"/>
        <v>Light</v>
      </c>
      <c r="P824" t="str">
        <f>_xlfn.XLOOKUP(worksheet[[#This Row],[Customer ID]],customers!$A$1:$A$1001,customers!$I$1:$I$1001,0)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
        <v>5144</v>
      </c>
      <c r="H825" s="2" t="str">
        <f>_xlfn.XLOOKUP(C825,customers!$A$1:$A$1001,customers!$G$1:$G$1001,0)</f>
        <v>United States</v>
      </c>
      <c r="I825" t="str">
        <f>_xlfn.XLOOKUP(D825,products!$A$1:$A$49,products!$B$1:$B$49,0)</f>
        <v>Lib</v>
      </c>
      <c r="J825" t="str">
        <f>_xlfn.XLOOKUP(worksheet!D825,products!$A$1:$A$49,products!$C$1:$C$49,0)</f>
        <v>L</v>
      </c>
      <c r="K825" s="5">
        <f>_xlfn.XLOOKUP(worksheet!D825,products!$A$1:$A$49,products!$D$1:$D$49,0)</f>
        <v>1</v>
      </c>
      <c r="L825" s="6">
        <f>_xlfn.XLOOKUP(worksheet!D825,products!$A$1:$A$49,products!$E$1:$E$49,0)</f>
        <v>15.85</v>
      </c>
      <c r="M825" s="6">
        <f>worksheet!E825*worksheet!L825</f>
        <v>47.55</v>
      </c>
      <c r="N825" t="str">
        <f t="shared" si="24"/>
        <v>Liberica</v>
      </c>
      <c r="O825" t="str">
        <f t="shared" si="25"/>
        <v>Light</v>
      </c>
      <c r="P825" t="str">
        <f>_xlfn.XLOOKUP(worksheet[[#This Row],[Customer ID]],customers!$A$1:$A$1001,customers!$I$1:$I$1001,0)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
        <v>5150</v>
      </c>
      <c r="H826" s="2" t="str">
        <f>_xlfn.XLOOKUP(C826,customers!$A$1:$A$1001,customers!$G$1:$G$1001,0)</f>
        <v>United States</v>
      </c>
      <c r="I826" t="str">
        <f>_xlfn.XLOOKUP(D826,products!$A$1:$A$49,products!$B$1:$B$49,0)</f>
        <v>Ara</v>
      </c>
      <c r="J826" t="str">
        <f>_xlfn.XLOOKUP(worksheet!D826,products!$A$1:$A$49,products!$C$1:$C$49,0)</f>
        <v>M</v>
      </c>
      <c r="K826" s="5">
        <f>_xlfn.XLOOKUP(worksheet!D826,products!$A$1:$A$49,products!$D$1:$D$49,0)</f>
        <v>0.2</v>
      </c>
      <c r="L826" s="6">
        <f>_xlfn.XLOOKUP(worksheet!D826,products!$A$1:$A$49,products!$E$1:$E$49,0)</f>
        <v>3.375</v>
      </c>
      <c r="M826" s="6">
        <f>worksheet!E826*worksheet!L826</f>
        <v>16.875</v>
      </c>
      <c r="N826" t="str">
        <f t="shared" si="24"/>
        <v>Arabica</v>
      </c>
      <c r="O826" t="str">
        <f t="shared" si="25"/>
        <v>Medium</v>
      </c>
      <c r="P826" t="str">
        <f>_xlfn.XLOOKUP(worksheet[[#This Row],[Customer ID]],customers!$A$1:$A$1001,customers!$I$1:$I$1001,0)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
        <v>5190</v>
      </c>
      <c r="H827" s="2" t="str">
        <f>_xlfn.XLOOKUP(C827,customers!$A$1:$A$1001,customers!$G$1:$G$1001,0)</f>
        <v>United States</v>
      </c>
      <c r="I827" t="str">
        <f>_xlfn.XLOOKUP(D827,products!$A$1:$A$49,products!$B$1:$B$49,0)</f>
        <v>Ara</v>
      </c>
      <c r="J827" t="str">
        <f>_xlfn.XLOOKUP(worksheet!D827,products!$A$1:$A$49,products!$C$1:$C$49,0)</f>
        <v>D</v>
      </c>
      <c r="K827" s="5">
        <f>_xlfn.XLOOKUP(worksheet!D827,products!$A$1:$A$49,products!$D$1:$D$49,0)</f>
        <v>1</v>
      </c>
      <c r="L827" s="6">
        <f>_xlfn.XLOOKUP(worksheet!D827,products!$A$1:$A$49,products!$E$1:$E$49,0)</f>
        <v>9.9499999999999993</v>
      </c>
      <c r="M827" s="6">
        <f>worksheet!E827*worksheet!L827</f>
        <v>29.849999999999998</v>
      </c>
      <c r="N827" t="str">
        <f t="shared" si="24"/>
        <v>Arabica</v>
      </c>
      <c r="O827" t="str">
        <f t="shared" si="25"/>
        <v>Dark</v>
      </c>
      <c r="P827" t="str">
        <f>_xlfn.XLOOKUP(worksheet[[#This Row],[Customer ID]],customers!$A$1:$A$1001,customers!$I$1:$I$1001,0)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
        <v>5161</v>
      </c>
      <c r="H828" s="2" t="str">
        <f>_xlfn.XLOOKUP(C828,customers!$A$1:$A$1001,customers!$G$1:$G$1001,0)</f>
        <v>United States</v>
      </c>
      <c r="I828" t="str">
        <f>_xlfn.XLOOKUP(D828,products!$A$1:$A$49,products!$B$1:$B$49,0)</f>
        <v>Exc</v>
      </c>
      <c r="J828" t="str">
        <f>_xlfn.XLOOKUP(worksheet!D828,products!$A$1:$A$49,products!$C$1:$C$49,0)</f>
        <v>M</v>
      </c>
      <c r="K828" s="5">
        <f>_xlfn.XLOOKUP(worksheet!D828,products!$A$1:$A$49,products!$D$1:$D$49,0)</f>
        <v>0.5</v>
      </c>
      <c r="L828" s="6">
        <f>_xlfn.XLOOKUP(worksheet!D828,products!$A$1:$A$49,products!$E$1:$E$49,0)</f>
        <v>8.25</v>
      </c>
      <c r="M828" s="6">
        <f>worksheet!E828*worksheet!L828</f>
        <v>41.25</v>
      </c>
      <c r="N828" t="str">
        <f t="shared" si="24"/>
        <v>Excelsa</v>
      </c>
      <c r="O828" t="str">
        <f t="shared" si="25"/>
        <v>Medium</v>
      </c>
      <c r="P828" t="str">
        <f>_xlfn.XLOOKUP(worksheet[[#This Row],[Customer ID]],customers!$A$1:$A$1001,customers!$I$1:$I$1001,0)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
        <v>5167</v>
      </c>
      <c r="H829" s="2" t="str">
        <f>_xlfn.XLOOKUP(C829,customers!$A$1:$A$1001,customers!$G$1:$G$1001,0)</f>
        <v>United States</v>
      </c>
      <c r="I829" t="str">
        <f>_xlfn.XLOOKUP(D829,products!$A$1:$A$49,products!$B$1:$B$49,0)</f>
        <v>Exc</v>
      </c>
      <c r="J829" t="str">
        <f>_xlfn.XLOOKUP(worksheet!D829,products!$A$1:$A$49,products!$C$1:$C$49,0)</f>
        <v>M</v>
      </c>
      <c r="K829" s="5">
        <f>_xlfn.XLOOKUP(worksheet!D829,products!$A$1:$A$49,products!$D$1:$D$49,0)</f>
        <v>0.2</v>
      </c>
      <c r="L829" s="6">
        <f>_xlfn.XLOOKUP(worksheet!D829,products!$A$1:$A$49,products!$E$1:$E$49,0)</f>
        <v>4.125</v>
      </c>
      <c r="M829" s="6">
        <f>worksheet!E829*worksheet!L829</f>
        <v>20.625</v>
      </c>
      <c r="N829" t="str">
        <f t="shared" si="24"/>
        <v>Excelsa</v>
      </c>
      <c r="O829" t="str">
        <f t="shared" si="25"/>
        <v>Medium</v>
      </c>
      <c r="P829" t="str">
        <f>_xlfn.XLOOKUP(worksheet[[#This Row],[Customer ID]],customers!$A$1:$A$1001,customers!$I$1:$I$1001,0)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
        <v>5173</v>
      </c>
      <c r="H830" s="2" t="str">
        <f>_xlfn.XLOOKUP(C830,customers!$A$1:$A$1001,customers!$G$1:$G$1001,0)</f>
        <v>United States</v>
      </c>
      <c r="I830" t="str">
        <f>_xlfn.XLOOKUP(D830,products!$A$1:$A$49,products!$B$1:$B$49,0)</f>
        <v>Ara</v>
      </c>
      <c r="J830" t="str">
        <f>_xlfn.XLOOKUP(worksheet!D830,products!$A$1:$A$49,products!$C$1:$C$49,0)</f>
        <v>D</v>
      </c>
      <c r="K830" s="5">
        <f>_xlfn.XLOOKUP(worksheet!D830,products!$A$1:$A$49,products!$D$1:$D$49,0)</f>
        <v>2.5</v>
      </c>
      <c r="L830" s="6">
        <f>_xlfn.XLOOKUP(worksheet!D830,products!$A$1:$A$49,products!$E$1:$E$49,0)</f>
        <v>22.884999999999998</v>
      </c>
      <c r="M830" s="6">
        <f>worksheet!E830*worksheet!L830</f>
        <v>137.31</v>
      </c>
      <c r="N830" t="str">
        <f t="shared" si="24"/>
        <v>Arabica</v>
      </c>
      <c r="O830" t="str">
        <f t="shared" si="25"/>
        <v>Dark</v>
      </c>
      <c r="P830" t="str">
        <f>_xlfn.XLOOKUP(worksheet[[#This Row],[Customer ID]],customers!$A$1:$A$1001,customers!$I$1:$I$1001,0)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
        <v>5179</v>
      </c>
      <c r="H831" s="2" t="str">
        <f>_xlfn.XLOOKUP(C831,customers!$A$1:$A$1001,customers!$G$1:$G$1001,0)</f>
        <v>United States</v>
      </c>
      <c r="I831" t="str">
        <f>_xlfn.XLOOKUP(D831,products!$A$1:$A$49,products!$B$1:$B$49,0)</f>
        <v>Ara</v>
      </c>
      <c r="J831" t="str">
        <f>_xlfn.XLOOKUP(worksheet!D831,products!$A$1:$A$49,products!$C$1:$C$49,0)</f>
        <v>D</v>
      </c>
      <c r="K831" s="5">
        <f>_xlfn.XLOOKUP(worksheet!D831,products!$A$1:$A$49,products!$D$1:$D$49,0)</f>
        <v>0.2</v>
      </c>
      <c r="L831" s="6">
        <f>_xlfn.XLOOKUP(worksheet!D831,products!$A$1:$A$49,products!$E$1:$E$49,0)</f>
        <v>2.9849999999999999</v>
      </c>
      <c r="M831" s="6">
        <f>worksheet!E831*worksheet!L831</f>
        <v>2.9849999999999999</v>
      </c>
      <c r="N831" t="str">
        <f t="shared" si="24"/>
        <v>Arabica</v>
      </c>
      <c r="O831" t="str">
        <f t="shared" si="25"/>
        <v>Dark</v>
      </c>
      <c r="P831" t="str">
        <f>_xlfn.XLOOKUP(worksheet[[#This Row],[Customer ID]],customers!$A$1:$A$1001,customers!$I$1:$I$1001,0)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
        <v>5185</v>
      </c>
      <c r="H832" s="2" t="str">
        <f>_xlfn.XLOOKUP(C832,customers!$A$1:$A$1001,customers!$G$1:$G$1001,0)</f>
        <v>United States</v>
      </c>
      <c r="I832" t="str">
        <f>_xlfn.XLOOKUP(D832,products!$A$1:$A$49,products!$B$1:$B$49,0)</f>
        <v>Exc</v>
      </c>
      <c r="J832" t="str">
        <f>_xlfn.XLOOKUP(worksheet!D832,products!$A$1:$A$49,products!$C$1:$C$49,0)</f>
        <v>M</v>
      </c>
      <c r="K832" s="5">
        <f>_xlfn.XLOOKUP(worksheet!D832,products!$A$1:$A$49,products!$D$1:$D$49,0)</f>
        <v>1</v>
      </c>
      <c r="L832" s="6">
        <f>_xlfn.XLOOKUP(worksheet!D832,products!$A$1:$A$49,products!$E$1:$E$49,0)</f>
        <v>13.75</v>
      </c>
      <c r="M832" s="6">
        <f>worksheet!E832*worksheet!L832</f>
        <v>27.5</v>
      </c>
      <c r="N832" t="str">
        <f t="shared" si="24"/>
        <v>Excelsa</v>
      </c>
      <c r="O832" t="str">
        <f t="shared" si="25"/>
        <v>Medium</v>
      </c>
      <c r="P832" t="str">
        <f>_xlfn.XLOOKUP(worksheet[[#This Row],[Customer ID]],customers!$A$1:$A$1001,customers!$I$1:$I$1001,0)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
        <v>5185</v>
      </c>
      <c r="H833" s="2" t="str">
        <f>_xlfn.XLOOKUP(C833,customers!$A$1:$A$1001,customers!$G$1:$G$1001,0)</f>
        <v>United States</v>
      </c>
      <c r="I833" t="str">
        <f>_xlfn.XLOOKUP(D833,products!$A$1:$A$49,products!$B$1:$B$49,0)</f>
        <v>Ara</v>
      </c>
      <c r="J833" t="str">
        <f>_xlfn.XLOOKUP(worksheet!D833,products!$A$1:$A$49,products!$C$1:$C$49,0)</f>
        <v>D</v>
      </c>
      <c r="K833" s="5">
        <f>_xlfn.XLOOKUP(worksheet!D833,products!$A$1:$A$49,products!$D$1:$D$49,0)</f>
        <v>0.2</v>
      </c>
      <c r="L833" s="6">
        <f>_xlfn.XLOOKUP(worksheet!D833,products!$A$1:$A$49,products!$E$1:$E$49,0)</f>
        <v>2.9849999999999999</v>
      </c>
      <c r="M833" s="6">
        <f>worksheet!E833*worksheet!L833</f>
        <v>5.97</v>
      </c>
      <c r="N833" t="str">
        <f t="shared" si="24"/>
        <v>Arabica</v>
      </c>
      <c r="O833" t="str">
        <f t="shared" si="25"/>
        <v>Dark</v>
      </c>
      <c r="P833" t="str">
        <f>_xlfn.XLOOKUP(worksheet[[#This Row],[Customer ID]],customers!$A$1:$A$1001,customers!$I$1:$I$1001,0)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
        <v>5196</v>
      </c>
      <c r="H834" s="2" t="str">
        <f>_xlfn.XLOOKUP(C834,customers!$A$1:$A$1001,customers!$G$1:$G$1001,0)</f>
        <v>United States</v>
      </c>
      <c r="I834" t="str">
        <f>_xlfn.XLOOKUP(D834,products!$A$1:$A$49,products!$B$1:$B$49,0)</f>
        <v>Rob</v>
      </c>
      <c r="J834" t="str">
        <f>_xlfn.XLOOKUP(worksheet!D834,products!$A$1:$A$49,products!$C$1:$C$49,0)</f>
        <v>M</v>
      </c>
      <c r="K834" s="5">
        <f>_xlfn.XLOOKUP(worksheet!D834,products!$A$1:$A$49,products!$D$1:$D$49,0)</f>
        <v>1</v>
      </c>
      <c r="L834" s="6">
        <f>_xlfn.XLOOKUP(worksheet!D834,products!$A$1:$A$49,products!$E$1:$E$49,0)</f>
        <v>9.9499999999999993</v>
      </c>
      <c r="M834" s="6">
        <f>worksheet!E834*worksheet!L834</f>
        <v>59.699999999999996</v>
      </c>
      <c r="N834" t="str">
        <f t="shared" si="24"/>
        <v>Robusta</v>
      </c>
      <c r="O834" t="str">
        <f t="shared" si="25"/>
        <v>Medium</v>
      </c>
      <c r="P834" t="str">
        <f>_xlfn.XLOOKUP(worksheet[[#This Row],[Customer ID]],customers!$A$1:$A$1001,customers!$I$1:$I$1001,0)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
        <v>5202</v>
      </c>
      <c r="H835" s="2" t="str">
        <f>_xlfn.XLOOKUP(C835,customers!$A$1:$A$1001,customers!$G$1:$G$1001,0)</f>
        <v>United States</v>
      </c>
      <c r="I835" t="str">
        <f>_xlfn.XLOOKUP(D835,products!$A$1:$A$49,products!$B$1:$B$49,0)</f>
        <v>Rob</v>
      </c>
      <c r="J835" t="str">
        <f>_xlfn.XLOOKUP(worksheet!D835,products!$A$1:$A$49,products!$C$1:$C$49,0)</f>
        <v>D</v>
      </c>
      <c r="K835" s="5">
        <f>_xlfn.XLOOKUP(worksheet!D835,products!$A$1:$A$49,products!$D$1:$D$49,0)</f>
        <v>2.5</v>
      </c>
      <c r="L835" s="6">
        <f>_xlfn.XLOOKUP(worksheet!D835,products!$A$1:$A$49,products!$E$1:$E$49,0)</f>
        <v>20.584999999999997</v>
      </c>
      <c r="M835" s="6">
        <f>worksheet!E835*worksheet!L835</f>
        <v>82.339999999999989</v>
      </c>
      <c r="N835" t="str">
        <f t="shared" ref="N835:N898" si="26">IF(I835="Rob","Robusta",IF(I835="Exc","Excelsa",IF(I835="Ara","Arabica",IF(I835="Lib","Liberica",""))))</f>
        <v>Robusta</v>
      </c>
      <c r="O835" t="str">
        <f t="shared" ref="O835:O898" si="27">IF(J835="M","Medium",IF(J835="L","Light",IF(J835="D","Dark","")))</f>
        <v>Dark</v>
      </c>
      <c r="P835" t="str">
        <f>_xlfn.XLOOKUP(worksheet[[#This Row],[Customer ID]],customers!$A$1:$A$1001,customers!$I$1:$I$1001,0)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
        <v>5208</v>
      </c>
      <c r="H836" s="2" t="str">
        <f>_xlfn.XLOOKUP(C836,customers!$A$1:$A$1001,customers!$G$1:$G$1001,0)</f>
        <v>United States</v>
      </c>
      <c r="I836" t="str">
        <f>_xlfn.XLOOKUP(D836,products!$A$1:$A$49,products!$B$1:$B$49,0)</f>
        <v>Ara</v>
      </c>
      <c r="J836" t="str">
        <f>_xlfn.XLOOKUP(worksheet!D836,products!$A$1:$A$49,products!$C$1:$C$49,0)</f>
        <v>D</v>
      </c>
      <c r="K836" s="5">
        <f>_xlfn.XLOOKUP(worksheet!D836,products!$A$1:$A$49,products!$D$1:$D$49,0)</f>
        <v>2.5</v>
      </c>
      <c r="L836" s="6">
        <f>_xlfn.XLOOKUP(worksheet!D836,products!$A$1:$A$49,products!$E$1:$E$49,0)</f>
        <v>22.884999999999998</v>
      </c>
      <c r="M836" s="6">
        <f>worksheet!E836*worksheet!L836</f>
        <v>22.884999999999998</v>
      </c>
      <c r="N836" t="str">
        <f t="shared" si="26"/>
        <v>Arabica</v>
      </c>
      <c r="O836" t="str">
        <f t="shared" si="27"/>
        <v>Dark</v>
      </c>
      <c r="P836" t="str">
        <f>_xlfn.XLOOKUP(worksheet[[#This Row],[Customer ID]],customers!$A$1:$A$1001,customers!$I$1:$I$1001,0)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
        <v>5214</v>
      </c>
      <c r="H837" s="2" t="str">
        <f>_xlfn.XLOOKUP(C837,customers!$A$1:$A$1001,customers!$G$1:$G$1001,0)</f>
        <v>United States</v>
      </c>
      <c r="I837" t="str">
        <f>_xlfn.XLOOKUP(D837,products!$A$1:$A$49,products!$B$1:$B$49,0)</f>
        <v>Exc</v>
      </c>
      <c r="J837" t="str">
        <f>_xlfn.XLOOKUP(worksheet!D837,products!$A$1:$A$49,products!$C$1:$C$49,0)</f>
        <v>L</v>
      </c>
      <c r="K837" s="5">
        <f>_xlfn.XLOOKUP(worksheet!D837,products!$A$1:$A$49,products!$D$1:$D$49,0)</f>
        <v>0.5</v>
      </c>
      <c r="L837" s="6">
        <f>_xlfn.XLOOKUP(worksheet!D837,products!$A$1:$A$49,products!$E$1:$E$49,0)</f>
        <v>8.91</v>
      </c>
      <c r="M837" s="6">
        <f>worksheet!E837*worksheet!L837</f>
        <v>8.91</v>
      </c>
      <c r="N837" t="str">
        <f t="shared" si="26"/>
        <v>Excelsa</v>
      </c>
      <c r="O837" t="str">
        <f t="shared" si="27"/>
        <v>Light</v>
      </c>
      <c r="P837" t="str">
        <f>_xlfn.XLOOKUP(worksheet[[#This Row],[Customer ID]],customers!$A$1:$A$1001,customers!$I$1:$I$1001,0)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
        <v>5219</v>
      </c>
      <c r="H838" s="2" t="str">
        <f>_xlfn.XLOOKUP(C838,customers!$A$1:$A$1001,customers!$G$1:$G$1001,0)</f>
        <v>United States</v>
      </c>
      <c r="I838" t="str">
        <f>_xlfn.XLOOKUP(D838,products!$A$1:$A$49,products!$B$1:$B$49,0)</f>
        <v>Ara</v>
      </c>
      <c r="J838" t="str">
        <f>_xlfn.XLOOKUP(worksheet!D838,products!$A$1:$A$49,products!$C$1:$C$49,0)</f>
        <v>D</v>
      </c>
      <c r="K838" s="5">
        <f>_xlfn.XLOOKUP(worksheet!D838,products!$A$1:$A$49,products!$D$1:$D$49,0)</f>
        <v>0.2</v>
      </c>
      <c r="L838" s="6">
        <f>_xlfn.XLOOKUP(worksheet!D838,products!$A$1:$A$49,products!$E$1:$E$49,0)</f>
        <v>2.9849999999999999</v>
      </c>
      <c r="M838" s="6">
        <f>worksheet!E838*worksheet!L838</f>
        <v>11.94</v>
      </c>
      <c r="N838" t="str">
        <f t="shared" si="26"/>
        <v>Arabica</v>
      </c>
      <c r="O838" t="str">
        <f t="shared" si="27"/>
        <v>Dark</v>
      </c>
      <c r="P838" t="str">
        <f>_xlfn.XLOOKUP(worksheet[[#This Row],[Customer ID]],customers!$A$1:$A$1001,customers!$I$1:$I$1001,0)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
        <v>6222</v>
      </c>
      <c r="H839" s="2" t="str">
        <f>_xlfn.XLOOKUP(C839,customers!$A$1:$A$1001,customers!$G$1:$G$1001,0)</f>
        <v>United States</v>
      </c>
      <c r="I839" t="str">
        <f>_xlfn.XLOOKUP(D839,products!$A$1:$A$49,products!$B$1:$B$49,0)</f>
        <v>Lib</v>
      </c>
      <c r="J839" t="str">
        <f>_xlfn.XLOOKUP(worksheet!D839,products!$A$1:$A$49,products!$C$1:$C$49,0)</f>
        <v>M</v>
      </c>
      <c r="K839" s="5">
        <f>_xlfn.XLOOKUP(worksheet!D839,products!$A$1:$A$49,products!$D$1:$D$49,0)</f>
        <v>2.5</v>
      </c>
      <c r="L839" s="6">
        <f>_xlfn.XLOOKUP(worksheet!D839,products!$A$1:$A$49,products!$E$1:$E$49,0)</f>
        <v>33.464999999999996</v>
      </c>
      <c r="M839" s="6">
        <f>worksheet!E839*worksheet!L839</f>
        <v>100.39499999999998</v>
      </c>
      <c r="N839" t="str">
        <f t="shared" si="26"/>
        <v>Liberica</v>
      </c>
      <c r="O839" t="str">
        <f t="shared" si="27"/>
        <v>Medium</v>
      </c>
      <c r="P839" t="str">
        <f>_xlfn.XLOOKUP(worksheet[[#This Row],[Customer ID]],customers!$A$1:$A$1001,customers!$I$1:$I$1001,0)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
        <v>5231</v>
      </c>
      <c r="H840" s="2" t="str">
        <f>_xlfn.XLOOKUP(C840,customers!$A$1:$A$1001,customers!$G$1:$G$1001,0)</f>
        <v>United States</v>
      </c>
      <c r="I840" t="str">
        <f>_xlfn.XLOOKUP(D840,products!$A$1:$A$49,products!$B$1:$B$49,0)</f>
        <v>Ara</v>
      </c>
      <c r="J840" t="str">
        <f>_xlfn.XLOOKUP(worksheet!D840,products!$A$1:$A$49,products!$C$1:$C$49,0)</f>
        <v>D</v>
      </c>
      <c r="K840" s="5">
        <f>_xlfn.XLOOKUP(worksheet!D840,products!$A$1:$A$49,products!$D$1:$D$49,0)</f>
        <v>2.5</v>
      </c>
      <c r="L840" s="6">
        <f>_xlfn.XLOOKUP(worksheet!D840,products!$A$1:$A$49,products!$E$1:$E$49,0)</f>
        <v>22.884999999999998</v>
      </c>
      <c r="M840" s="6">
        <f>worksheet!E840*worksheet!L840</f>
        <v>114.42499999999998</v>
      </c>
      <c r="N840" t="str">
        <f t="shared" si="26"/>
        <v>Arabica</v>
      </c>
      <c r="O840" t="str">
        <f t="shared" si="27"/>
        <v>Dark</v>
      </c>
      <c r="P840" t="str">
        <f>_xlfn.XLOOKUP(worksheet[[#This Row],[Customer ID]],customers!$A$1:$A$1001,customers!$I$1:$I$1001,0)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
        <v>5237</v>
      </c>
      <c r="H841" s="2" t="str">
        <f>_xlfn.XLOOKUP(C841,customers!$A$1:$A$1001,customers!$G$1:$G$1001,0)</f>
        <v>United States</v>
      </c>
      <c r="I841" t="str">
        <f>_xlfn.XLOOKUP(D841,products!$A$1:$A$49,products!$B$1:$B$49,0)</f>
        <v>Exc</v>
      </c>
      <c r="J841" t="str">
        <f>_xlfn.XLOOKUP(worksheet!D841,products!$A$1:$A$49,products!$C$1:$C$49,0)</f>
        <v>M</v>
      </c>
      <c r="K841" s="5">
        <f>_xlfn.XLOOKUP(worksheet!D841,products!$A$1:$A$49,products!$D$1:$D$49,0)</f>
        <v>0.5</v>
      </c>
      <c r="L841" s="6">
        <f>_xlfn.XLOOKUP(worksheet!D841,products!$A$1:$A$49,products!$E$1:$E$49,0)</f>
        <v>8.25</v>
      </c>
      <c r="M841" s="6">
        <f>worksheet!E841*worksheet!L841</f>
        <v>41.25</v>
      </c>
      <c r="N841" t="str">
        <f t="shared" si="26"/>
        <v>Excelsa</v>
      </c>
      <c r="O841" t="str">
        <f t="shared" si="27"/>
        <v>Medium</v>
      </c>
      <c r="P841" t="str">
        <f>_xlfn.XLOOKUP(worksheet[[#This Row],[Customer ID]],customers!$A$1:$A$1001,customers!$I$1:$I$1001,0)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
        <v>5243</v>
      </c>
      <c r="H842" s="2" t="str">
        <f>_xlfn.XLOOKUP(C842,customers!$A$1:$A$1001,customers!$G$1:$G$1001,0)</f>
        <v>United States</v>
      </c>
      <c r="I842" t="str">
        <f>_xlfn.XLOOKUP(D842,products!$A$1:$A$49,products!$B$1:$B$49,0)</f>
        <v>Rob</v>
      </c>
      <c r="J842" t="str">
        <f>_xlfn.XLOOKUP(worksheet!D842,products!$A$1:$A$49,products!$C$1:$C$49,0)</f>
        <v>L</v>
      </c>
      <c r="K842" s="5">
        <f>_xlfn.XLOOKUP(worksheet!D842,products!$A$1:$A$49,products!$D$1:$D$49,0)</f>
        <v>0.5</v>
      </c>
      <c r="L842" s="6">
        <f>_xlfn.XLOOKUP(worksheet!D842,products!$A$1:$A$49,products!$E$1:$E$49,0)</f>
        <v>7.169999999999999</v>
      </c>
      <c r="M842" s="6">
        <f>worksheet!E842*worksheet!L842</f>
        <v>28.679999999999996</v>
      </c>
      <c r="N842" t="str">
        <f t="shared" si="26"/>
        <v>Robusta</v>
      </c>
      <c r="O842" t="str">
        <f t="shared" si="27"/>
        <v>Light</v>
      </c>
      <c r="P842" t="str">
        <f>_xlfn.XLOOKUP(worksheet[[#This Row],[Customer ID]],customers!$A$1:$A$1001,customers!$I$1:$I$1001,0)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
        <v>5249</v>
      </c>
      <c r="H843" s="2" t="str">
        <f>_xlfn.XLOOKUP(C843,customers!$A$1:$A$1001,customers!$G$1:$G$1001,0)</f>
        <v>United States</v>
      </c>
      <c r="I843" t="str">
        <f>_xlfn.XLOOKUP(D843,products!$A$1:$A$49,products!$B$1:$B$49,0)</f>
        <v>Lib</v>
      </c>
      <c r="J843" t="str">
        <f>_xlfn.XLOOKUP(worksheet!D843,products!$A$1:$A$49,products!$C$1:$C$49,0)</f>
        <v>M</v>
      </c>
      <c r="K843" s="5">
        <f>_xlfn.XLOOKUP(worksheet!D843,products!$A$1:$A$49,products!$D$1:$D$49,0)</f>
        <v>0.2</v>
      </c>
      <c r="L843" s="6">
        <f>_xlfn.XLOOKUP(worksheet!D843,products!$A$1:$A$49,products!$E$1:$E$49,0)</f>
        <v>4.3650000000000002</v>
      </c>
      <c r="M843" s="6">
        <f>worksheet!E843*worksheet!L843</f>
        <v>4.3650000000000002</v>
      </c>
      <c r="N843" t="str">
        <f t="shared" si="26"/>
        <v>Liberica</v>
      </c>
      <c r="O843" t="str">
        <f t="shared" si="27"/>
        <v>Medium</v>
      </c>
      <c r="P843" t="str">
        <f>_xlfn.XLOOKUP(worksheet[[#This Row],[Customer ID]],customers!$A$1:$A$1001,customers!$I$1:$I$1001,0)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
        <v>5190</v>
      </c>
      <c r="H844" s="2" t="str">
        <f>_xlfn.XLOOKUP(C844,customers!$A$1:$A$1001,customers!$G$1:$G$1001,0)</f>
        <v>United States</v>
      </c>
      <c r="I844" t="str">
        <f>_xlfn.XLOOKUP(D844,products!$A$1:$A$49,products!$B$1:$B$49,0)</f>
        <v>Exc</v>
      </c>
      <c r="J844" t="str">
        <f>_xlfn.XLOOKUP(worksheet!D844,products!$A$1:$A$49,products!$C$1:$C$49,0)</f>
        <v>M</v>
      </c>
      <c r="K844" s="5">
        <f>_xlfn.XLOOKUP(worksheet!D844,products!$A$1:$A$49,products!$D$1:$D$49,0)</f>
        <v>0.2</v>
      </c>
      <c r="L844" s="6">
        <f>_xlfn.XLOOKUP(worksheet!D844,products!$A$1:$A$49,products!$E$1:$E$49,0)</f>
        <v>4.125</v>
      </c>
      <c r="M844" s="6">
        <f>worksheet!E844*worksheet!L844</f>
        <v>8.25</v>
      </c>
      <c r="N844" t="str">
        <f t="shared" si="26"/>
        <v>Excelsa</v>
      </c>
      <c r="O844" t="str">
        <f t="shared" si="27"/>
        <v>Medium</v>
      </c>
      <c r="P844" t="str">
        <f>_xlfn.XLOOKUP(worksheet[[#This Row],[Customer ID]],customers!$A$1:$A$1001,customers!$I$1:$I$1001,0)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
        <v>5259</v>
      </c>
      <c r="H845" s="2" t="str">
        <f>_xlfn.XLOOKUP(C845,customers!$A$1:$A$1001,customers!$G$1:$G$1001,0)</f>
        <v>United States</v>
      </c>
      <c r="I845" t="str">
        <f>_xlfn.XLOOKUP(D845,products!$A$1:$A$49,products!$B$1:$B$49,0)</f>
        <v>Exc</v>
      </c>
      <c r="J845" t="str">
        <f>_xlfn.XLOOKUP(worksheet!D845,products!$A$1:$A$49,products!$C$1:$C$49,0)</f>
        <v>M</v>
      </c>
      <c r="K845" s="5">
        <f>_xlfn.XLOOKUP(worksheet!D845,products!$A$1:$A$49,products!$D$1:$D$49,0)</f>
        <v>0.2</v>
      </c>
      <c r="L845" s="6">
        <f>_xlfn.XLOOKUP(worksheet!D845,products!$A$1:$A$49,products!$E$1:$E$49,0)</f>
        <v>4.125</v>
      </c>
      <c r="M845" s="6">
        <f>worksheet!E845*worksheet!L845</f>
        <v>8.25</v>
      </c>
      <c r="N845" t="str">
        <f t="shared" si="26"/>
        <v>Excelsa</v>
      </c>
      <c r="O845" t="str">
        <f t="shared" si="27"/>
        <v>Medium</v>
      </c>
      <c r="P845" t="str">
        <f>_xlfn.XLOOKUP(worksheet[[#This Row],[Customer ID]],customers!$A$1:$A$1001,customers!$I$1:$I$1001,0)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
        <v>5265</v>
      </c>
      <c r="H846" s="2" t="str">
        <f>_xlfn.XLOOKUP(C846,customers!$A$1:$A$1001,customers!$G$1:$G$1001,0)</f>
        <v>United States</v>
      </c>
      <c r="I846" t="str">
        <f>_xlfn.XLOOKUP(D846,products!$A$1:$A$49,products!$B$1:$B$49,0)</f>
        <v>Ara</v>
      </c>
      <c r="J846" t="str">
        <f>_xlfn.XLOOKUP(worksheet!D846,products!$A$1:$A$49,products!$C$1:$C$49,0)</f>
        <v>D</v>
      </c>
      <c r="K846" s="5">
        <f>_xlfn.XLOOKUP(worksheet!D846,products!$A$1:$A$49,products!$D$1:$D$49,0)</f>
        <v>0.5</v>
      </c>
      <c r="L846" s="6">
        <f>_xlfn.XLOOKUP(worksheet!D846,products!$A$1:$A$49,products!$E$1:$E$49,0)</f>
        <v>5.97</v>
      </c>
      <c r="M846" s="6">
        <f>worksheet!E846*worksheet!L846</f>
        <v>35.82</v>
      </c>
      <c r="N846" t="str">
        <f t="shared" si="26"/>
        <v>Arabica</v>
      </c>
      <c r="O846" t="str">
        <f t="shared" si="27"/>
        <v>Dark</v>
      </c>
      <c r="P846" t="str">
        <f>_xlfn.XLOOKUP(worksheet[[#This Row],[Customer ID]],customers!$A$1:$A$1001,customers!$I$1:$I$1001,0)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
        <v>5271</v>
      </c>
      <c r="H847" s="2" t="str">
        <f>_xlfn.XLOOKUP(C847,customers!$A$1:$A$1001,customers!$G$1:$G$1001,0)</f>
        <v>United States</v>
      </c>
      <c r="I847" t="str">
        <f>_xlfn.XLOOKUP(D847,products!$A$1:$A$49,products!$B$1:$B$49,0)</f>
        <v>Exc</v>
      </c>
      <c r="J847" t="str">
        <f>_xlfn.XLOOKUP(worksheet!D847,products!$A$1:$A$49,products!$C$1:$C$49,0)</f>
        <v>D</v>
      </c>
      <c r="K847" s="5">
        <f>_xlfn.XLOOKUP(worksheet!D847,products!$A$1:$A$49,products!$D$1:$D$49,0)</f>
        <v>2.5</v>
      </c>
      <c r="L847" s="6">
        <f>_xlfn.XLOOKUP(worksheet!D847,products!$A$1:$A$49,products!$E$1:$E$49,0)</f>
        <v>27.945</v>
      </c>
      <c r="M847" s="6">
        <f>worksheet!E847*worksheet!L847</f>
        <v>167.67000000000002</v>
      </c>
      <c r="N847" t="str">
        <f t="shared" si="26"/>
        <v>Excelsa</v>
      </c>
      <c r="O847" t="str">
        <f t="shared" si="27"/>
        <v>Dark</v>
      </c>
      <c r="P847" t="str">
        <f>_xlfn.XLOOKUP(worksheet[[#This Row],[Customer ID]],customers!$A$1:$A$1001,customers!$I$1:$I$1001,0)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
        <v>6222</v>
      </c>
      <c r="H848" s="2" t="str">
        <f>_xlfn.XLOOKUP(C848,customers!$A$1:$A$1001,customers!$G$1:$G$1001,0)</f>
        <v>United States</v>
      </c>
      <c r="I848" t="str">
        <f>_xlfn.XLOOKUP(D848,products!$A$1:$A$49,products!$B$1:$B$49,0)</f>
        <v>Ara</v>
      </c>
      <c r="J848" t="str">
        <f>_xlfn.XLOOKUP(worksheet!D848,products!$A$1:$A$49,products!$C$1:$C$49,0)</f>
        <v>M</v>
      </c>
      <c r="K848" s="5">
        <f>_xlfn.XLOOKUP(worksheet!D848,products!$A$1:$A$49,products!$D$1:$D$49,0)</f>
        <v>2.5</v>
      </c>
      <c r="L848" s="6">
        <f>_xlfn.XLOOKUP(worksheet!D848,products!$A$1:$A$49,products!$E$1:$E$49,0)</f>
        <v>25.874999999999996</v>
      </c>
      <c r="M848" s="6">
        <f>worksheet!E848*worksheet!L848</f>
        <v>51.749999999999993</v>
      </c>
      <c r="N848" t="str">
        <f t="shared" si="26"/>
        <v>Arabica</v>
      </c>
      <c r="O848" t="str">
        <f t="shared" si="27"/>
        <v>Medium</v>
      </c>
      <c r="P848" t="str">
        <f>_xlfn.XLOOKUP(worksheet[[#This Row],[Customer ID]],customers!$A$1:$A$1001,customers!$I$1:$I$1001,0)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
        <v>5281</v>
      </c>
      <c r="H849" s="2" t="str">
        <f>_xlfn.XLOOKUP(C849,customers!$A$1:$A$1001,customers!$G$1:$G$1001,0)</f>
        <v>United States</v>
      </c>
      <c r="I849" t="str">
        <f>_xlfn.XLOOKUP(D849,products!$A$1:$A$49,products!$B$1:$B$49,0)</f>
        <v>Ara</v>
      </c>
      <c r="J849" t="str">
        <f>_xlfn.XLOOKUP(worksheet!D849,products!$A$1:$A$49,products!$C$1:$C$49,0)</f>
        <v>D</v>
      </c>
      <c r="K849" s="5">
        <f>_xlfn.XLOOKUP(worksheet!D849,products!$A$1:$A$49,products!$D$1:$D$49,0)</f>
        <v>0.2</v>
      </c>
      <c r="L849" s="6">
        <f>_xlfn.XLOOKUP(worksheet!D849,products!$A$1:$A$49,products!$E$1:$E$49,0)</f>
        <v>2.9849999999999999</v>
      </c>
      <c r="M849" s="6">
        <f>worksheet!E849*worksheet!L849</f>
        <v>8.9550000000000001</v>
      </c>
      <c r="N849" t="str">
        <f t="shared" si="26"/>
        <v>Arabica</v>
      </c>
      <c r="O849" t="str">
        <f t="shared" si="27"/>
        <v>Dark</v>
      </c>
      <c r="P849" t="str">
        <f>_xlfn.XLOOKUP(worksheet[[#This Row],[Customer ID]],customers!$A$1:$A$1001,customers!$I$1:$I$1001,0)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
        <v>6222</v>
      </c>
      <c r="H850" s="2" t="str">
        <f>_xlfn.XLOOKUP(C850,customers!$A$1:$A$1001,customers!$G$1:$G$1001,0)</f>
        <v>United States</v>
      </c>
      <c r="I850" t="str">
        <f>_xlfn.XLOOKUP(D850,products!$A$1:$A$49,products!$B$1:$B$49,0)</f>
        <v>Exc</v>
      </c>
      <c r="J850" t="str">
        <f>_xlfn.XLOOKUP(worksheet!D850,products!$A$1:$A$49,products!$C$1:$C$49,0)</f>
        <v>L</v>
      </c>
      <c r="K850" s="5">
        <f>_xlfn.XLOOKUP(worksheet!D850,products!$A$1:$A$49,products!$D$1:$D$49,0)</f>
        <v>0.5</v>
      </c>
      <c r="L850" s="6">
        <f>_xlfn.XLOOKUP(worksheet!D850,products!$A$1:$A$49,products!$E$1:$E$49,0)</f>
        <v>8.91</v>
      </c>
      <c r="M850" s="6">
        <f>worksheet!E850*worksheet!L850</f>
        <v>53.46</v>
      </c>
      <c r="N850" t="str">
        <f t="shared" si="26"/>
        <v>Excelsa</v>
      </c>
      <c r="O850" t="str">
        <f t="shared" si="27"/>
        <v>Light</v>
      </c>
      <c r="P850" t="str">
        <f>_xlfn.XLOOKUP(worksheet[[#This Row],[Customer ID]],customers!$A$1:$A$1001,customers!$I$1:$I$1001,0)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
        <v>5291</v>
      </c>
      <c r="H851" s="2" t="str">
        <f>_xlfn.XLOOKUP(C851,customers!$A$1:$A$1001,customers!$G$1:$G$1001,0)</f>
        <v>United States</v>
      </c>
      <c r="I851" t="str">
        <f>_xlfn.XLOOKUP(D851,products!$A$1:$A$49,products!$B$1:$B$49,0)</f>
        <v>Ara</v>
      </c>
      <c r="J851" t="str">
        <f>_xlfn.XLOOKUP(worksheet!D851,products!$A$1:$A$49,products!$C$1:$C$49,0)</f>
        <v>L</v>
      </c>
      <c r="K851" s="5">
        <f>_xlfn.XLOOKUP(worksheet!D851,products!$A$1:$A$49,products!$D$1:$D$49,0)</f>
        <v>0.2</v>
      </c>
      <c r="L851" s="6">
        <f>_xlfn.XLOOKUP(worksheet!D851,products!$A$1:$A$49,products!$E$1:$E$49,0)</f>
        <v>3.8849999999999998</v>
      </c>
      <c r="M851" s="6">
        <f>worksheet!E851*worksheet!L851</f>
        <v>23.31</v>
      </c>
      <c r="N851" t="str">
        <f t="shared" si="26"/>
        <v>Arabica</v>
      </c>
      <c r="O851" t="str">
        <f t="shared" si="27"/>
        <v>Light</v>
      </c>
      <c r="P851" t="str">
        <f>_xlfn.XLOOKUP(worksheet[[#This Row],[Customer ID]],customers!$A$1:$A$1001,customers!$I$1:$I$1001,0)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
        <v>5291</v>
      </c>
      <c r="H852" s="2" t="str">
        <f>_xlfn.XLOOKUP(C852,customers!$A$1:$A$1001,customers!$G$1:$G$1001,0)</f>
        <v>United States</v>
      </c>
      <c r="I852" t="str">
        <f>_xlfn.XLOOKUP(D852,products!$A$1:$A$49,products!$B$1:$B$49,0)</f>
        <v>Ara</v>
      </c>
      <c r="J852" t="str">
        <f>_xlfn.XLOOKUP(worksheet!D852,products!$A$1:$A$49,products!$C$1:$C$49,0)</f>
        <v>M</v>
      </c>
      <c r="K852" s="5">
        <f>_xlfn.XLOOKUP(worksheet!D852,products!$A$1:$A$49,products!$D$1:$D$49,0)</f>
        <v>0.2</v>
      </c>
      <c r="L852" s="6">
        <f>_xlfn.XLOOKUP(worksheet!D852,products!$A$1:$A$49,products!$E$1:$E$49,0)</f>
        <v>3.375</v>
      </c>
      <c r="M852" s="6">
        <f>worksheet!E852*worksheet!L852</f>
        <v>6.75</v>
      </c>
      <c r="N852" t="str">
        <f t="shared" si="26"/>
        <v>Arabica</v>
      </c>
      <c r="O852" t="str">
        <f t="shared" si="27"/>
        <v>Medium</v>
      </c>
      <c r="P852" t="str">
        <f>_xlfn.XLOOKUP(worksheet[[#This Row],[Customer ID]],customers!$A$1:$A$1001,customers!$I$1:$I$1001,0)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
        <v>5302</v>
      </c>
      <c r="H853" s="2" t="str">
        <f>_xlfn.XLOOKUP(C853,customers!$A$1:$A$1001,customers!$G$1:$G$1001,0)</f>
        <v>United States</v>
      </c>
      <c r="I853" t="str">
        <f>_xlfn.XLOOKUP(D853,products!$A$1:$A$49,products!$B$1:$B$49,0)</f>
        <v>Lib</v>
      </c>
      <c r="J853" t="str">
        <f>_xlfn.XLOOKUP(worksheet!D853,products!$A$1:$A$49,products!$C$1:$C$49,0)</f>
        <v>D</v>
      </c>
      <c r="K853" s="5">
        <f>_xlfn.XLOOKUP(worksheet!D853,products!$A$1:$A$49,products!$D$1:$D$49,0)</f>
        <v>0.5</v>
      </c>
      <c r="L853" s="6">
        <f>_xlfn.XLOOKUP(worksheet!D853,products!$A$1:$A$49,products!$E$1:$E$49,0)</f>
        <v>7.77</v>
      </c>
      <c r="M853" s="6">
        <f>worksheet!E853*worksheet!L853</f>
        <v>7.77</v>
      </c>
      <c r="N853" t="str">
        <f t="shared" si="26"/>
        <v>Liberica</v>
      </c>
      <c r="O853" t="str">
        <f t="shared" si="27"/>
        <v>Dark</v>
      </c>
      <c r="P853" t="str">
        <f>_xlfn.XLOOKUP(worksheet[[#This Row],[Customer ID]],customers!$A$1:$A$1001,customers!$I$1:$I$1001,0)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
        <v>5308</v>
      </c>
      <c r="H854" s="2" t="str">
        <f>_xlfn.XLOOKUP(C854,customers!$A$1:$A$1001,customers!$G$1:$G$1001,0)</f>
        <v>United States</v>
      </c>
      <c r="I854" t="str">
        <f>_xlfn.XLOOKUP(D854,products!$A$1:$A$49,products!$B$1:$B$49,0)</f>
        <v>Lib</v>
      </c>
      <c r="J854" t="str">
        <f>_xlfn.XLOOKUP(worksheet!D854,products!$A$1:$A$49,products!$C$1:$C$49,0)</f>
        <v>D</v>
      </c>
      <c r="K854" s="5">
        <f>_xlfn.XLOOKUP(worksheet!D854,products!$A$1:$A$49,products!$D$1:$D$49,0)</f>
        <v>2.5</v>
      </c>
      <c r="L854" s="6">
        <f>_xlfn.XLOOKUP(worksheet!D854,products!$A$1:$A$49,products!$E$1:$E$49,0)</f>
        <v>29.784999999999997</v>
      </c>
      <c r="M854" s="6">
        <f>worksheet!E854*worksheet!L854</f>
        <v>119.13999999999999</v>
      </c>
      <c r="N854" t="str">
        <f t="shared" si="26"/>
        <v>Liberica</v>
      </c>
      <c r="O854" t="str">
        <f t="shared" si="27"/>
        <v>Dark</v>
      </c>
      <c r="P854" t="str">
        <f>_xlfn.XLOOKUP(worksheet[[#This Row],[Customer ID]],customers!$A$1:$A$1001,customers!$I$1:$I$1001,0)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
        <v>5313</v>
      </c>
      <c r="H855" s="2" t="str">
        <f>_xlfn.XLOOKUP(C855,customers!$A$1:$A$1001,customers!$G$1:$G$1001,0)</f>
        <v>United States</v>
      </c>
      <c r="I855" t="str">
        <f>_xlfn.XLOOKUP(D855,products!$A$1:$A$49,products!$B$1:$B$49,0)</f>
        <v>Ara</v>
      </c>
      <c r="J855" t="str">
        <f>_xlfn.XLOOKUP(worksheet!D855,products!$A$1:$A$49,products!$C$1:$C$49,0)</f>
        <v>D</v>
      </c>
      <c r="K855" s="5">
        <f>_xlfn.XLOOKUP(worksheet!D855,products!$A$1:$A$49,products!$D$1:$D$49,0)</f>
        <v>1</v>
      </c>
      <c r="L855" s="6">
        <f>_xlfn.XLOOKUP(worksheet!D855,products!$A$1:$A$49,products!$E$1:$E$49,0)</f>
        <v>9.9499999999999993</v>
      </c>
      <c r="M855" s="6">
        <f>worksheet!E855*worksheet!L855</f>
        <v>19.899999999999999</v>
      </c>
      <c r="N855" t="str">
        <f t="shared" si="26"/>
        <v>Arabica</v>
      </c>
      <c r="O855" t="str">
        <f t="shared" si="27"/>
        <v>Dark</v>
      </c>
      <c r="P855" t="str">
        <f>_xlfn.XLOOKUP(worksheet[[#This Row],[Customer ID]],customers!$A$1:$A$1001,customers!$I$1:$I$1001,0)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
        <v>5318</v>
      </c>
      <c r="H856" s="2" t="str">
        <f>_xlfn.XLOOKUP(C856,customers!$A$1:$A$1001,customers!$G$1:$G$1001,0)</f>
        <v>United States</v>
      </c>
      <c r="I856" t="str">
        <f>_xlfn.XLOOKUP(D856,products!$A$1:$A$49,products!$B$1:$B$49,0)</f>
        <v>Rob</v>
      </c>
      <c r="J856" t="str">
        <f>_xlfn.XLOOKUP(worksheet!D856,products!$A$1:$A$49,products!$C$1:$C$49,0)</f>
        <v>L</v>
      </c>
      <c r="K856" s="5">
        <f>_xlfn.XLOOKUP(worksheet!D856,products!$A$1:$A$49,products!$D$1:$D$49,0)</f>
        <v>0.5</v>
      </c>
      <c r="L856" s="6">
        <f>_xlfn.XLOOKUP(worksheet!D856,products!$A$1:$A$49,products!$E$1:$E$49,0)</f>
        <v>7.169999999999999</v>
      </c>
      <c r="M856" s="6">
        <f>worksheet!E856*worksheet!L856</f>
        <v>35.849999999999994</v>
      </c>
      <c r="N856" t="str">
        <f t="shared" si="26"/>
        <v>Robusta</v>
      </c>
      <c r="O856" t="str">
        <f t="shared" si="27"/>
        <v>Light</v>
      </c>
      <c r="P856" t="str">
        <f>_xlfn.XLOOKUP(worksheet[[#This Row],[Customer ID]],customers!$A$1:$A$1001,customers!$I$1:$I$1001,0)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
        <v>5324</v>
      </c>
      <c r="H857" s="2" t="str">
        <f>_xlfn.XLOOKUP(C857,customers!$A$1:$A$1001,customers!$G$1:$G$1001,0)</f>
        <v>United States</v>
      </c>
      <c r="I857" t="str">
        <f>_xlfn.XLOOKUP(D857,products!$A$1:$A$49,products!$B$1:$B$49,0)</f>
        <v>Lib</v>
      </c>
      <c r="J857" t="str">
        <f>_xlfn.XLOOKUP(worksheet!D857,products!$A$1:$A$49,products!$C$1:$C$49,0)</f>
        <v>D</v>
      </c>
      <c r="K857" s="5">
        <f>_xlfn.XLOOKUP(worksheet!D857,products!$A$1:$A$49,products!$D$1:$D$49,0)</f>
        <v>2.5</v>
      </c>
      <c r="L857" s="6">
        <f>_xlfn.XLOOKUP(worksheet!D857,products!$A$1:$A$49,products!$E$1:$E$49,0)</f>
        <v>29.784999999999997</v>
      </c>
      <c r="M857" s="6">
        <f>worksheet!E857*worksheet!L857</f>
        <v>89.35499999999999</v>
      </c>
      <c r="N857" t="str">
        <f t="shared" si="26"/>
        <v>Liberica</v>
      </c>
      <c r="O857" t="str">
        <f t="shared" si="27"/>
        <v>Dark</v>
      </c>
      <c r="P857" t="str">
        <f>_xlfn.XLOOKUP(worksheet[[#This Row],[Customer ID]],customers!$A$1:$A$1001,customers!$I$1:$I$1001,0)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
        <v>5190</v>
      </c>
      <c r="H858" s="2" t="str">
        <f>_xlfn.XLOOKUP(C858,customers!$A$1:$A$1001,customers!$G$1:$G$1001,0)</f>
        <v>United States</v>
      </c>
      <c r="I858" t="str">
        <f>_xlfn.XLOOKUP(D858,products!$A$1:$A$49,products!$B$1:$B$49,0)</f>
        <v>Lib</v>
      </c>
      <c r="J858" t="str">
        <f>_xlfn.XLOOKUP(worksheet!D858,products!$A$1:$A$49,products!$C$1:$C$49,0)</f>
        <v>M</v>
      </c>
      <c r="K858" s="5">
        <f>_xlfn.XLOOKUP(worksheet!D858,products!$A$1:$A$49,products!$D$1:$D$49,0)</f>
        <v>0.2</v>
      </c>
      <c r="L858" s="6">
        <f>_xlfn.XLOOKUP(worksheet!D858,products!$A$1:$A$49,products!$E$1:$E$49,0)</f>
        <v>4.3650000000000002</v>
      </c>
      <c r="M858" s="6">
        <f>worksheet!E858*worksheet!L858</f>
        <v>8.73</v>
      </c>
      <c r="N858" t="str">
        <f t="shared" si="26"/>
        <v>Liberica</v>
      </c>
      <c r="O858" t="str">
        <f t="shared" si="27"/>
        <v>Medium</v>
      </c>
      <c r="P858" t="str">
        <f>_xlfn.XLOOKUP(worksheet[[#This Row],[Customer ID]],customers!$A$1:$A$1001,customers!$I$1:$I$1001,0)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
        <v>5336</v>
      </c>
      <c r="H859" s="2" t="str">
        <f>_xlfn.XLOOKUP(C859,customers!$A$1:$A$1001,customers!$G$1:$G$1001,0)</f>
        <v>United States</v>
      </c>
      <c r="I859" t="str">
        <f>_xlfn.XLOOKUP(D859,products!$A$1:$A$49,products!$B$1:$B$49,0)</f>
        <v>Rob</v>
      </c>
      <c r="J859" t="str">
        <f>_xlfn.XLOOKUP(worksheet!D859,products!$A$1:$A$49,products!$C$1:$C$49,0)</f>
        <v>L</v>
      </c>
      <c r="K859" s="5">
        <f>_xlfn.XLOOKUP(worksheet!D859,products!$A$1:$A$49,products!$D$1:$D$49,0)</f>
        <v>2.5</v>
      </c>
      <c r="L859" s="6">
        <f>_xlfn.XLOOKUP(worksheet!D859,products!$A$1:$A$49,products!$E$1:$E$49,0)</f>
        <v>27.484999999999996</v>
      </c>
      <c r="M859" s="6">
        <f>worksheet!E859*worksheet!L859</f>
        <v>137.42499999999998</v>
      </c>
      <c r="N859" t="str">
        <f t="shared" si="26"/>
        <v>Robusta</v>
      </c>
      <c r="O859" t="str">
        <f t="shared" si="27"/>
        <v>Light</v>
      </c>
      <c r="P859" t="str">
        <f>_xlfn.XLOOKUP(worksheet[[#This Row],[Customer ID]],customers!$A$1:$A$1001,customers!$I$1:$I$1001,0)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
        <v>5342</v>
      </c>
      <c r="H860" s="2" t="str">
        <f>_xlfn.XLOOKUP(C860,customers!$A$1:$A$1001,customers!$G$1:$G$1001,0)</f>
        <v>United States</v>
      </c>
      <c r="I860" t="str">
        <f>_xlfn.XLOOKUP(D860,products!$A$1:$A$49,products!$B$1:$B$49,0)</f>
        <v>Lib</v>
      </c>
      <c r="J860" t="str">
        <f>_xlfn.XLOOKUP(worksheet!D860,products!$A$1:$A$49,products!$C$1:$C$49,0)</f>
        <v>M</v>
      </c>
      <c r="K860" s="5">
        <f>_xlfn.XLOOKUP(worksheet!D860,products!$A$1:$A$49,products!$D$1:$D$49,0)</f>
        <v>0.5</v>
      </c>
      <c r="L860" s="6">
        <f>_xlfn.XLOOKUP(worksheet!D860,products!$A$1:$A$49,products!$E$1:$E$49,0)</f>
        <v>8.73</v>
      </c>
      <c r="M860" s="6">
        <f>worksheet!E860*worksheet!L860</f>
        <v>34.92</v>
      </c>
      <c r="N860" t="str">
        <f t="shared" si="26"/>
        <v>Liberica</v>
      </c>
      <c r="O860" t="str">
        <f t="shared" si="27"/>
        <v>Medium</v>
      </c>
      <c r="P860" t="str">
        <f>_xlfn.XLOOKUP(worksheet[[#This Row],[Customer ID]],customers!$A$1:$A$1001,customers!$I$1:$I$1001,0)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
        <v>5348</v>
      </c>
      <c r="H861" s="2" t="str">
        <f>_xlfn.XLOOKUP(C861,customers!$A$1:$A$1001,customers!$G$1:$G$1001,0)</f>
        <v>United States</v>
      </c>
      <c r="I861" t="str">
        <f>_xlfn.XLOOKUP(D861,products!$A$1:$A$49,products!$B$1:$B$49,0)</f>
        <v>Ara</v>
      </c>
      <c r="J861" t="str">
        <f>_xlfn.XLOOKUP(worksheet!D861,products!$A$1:$A$49,products!$C$1:$C$49,0)</f>
        <v>L</v>
      </c>
      <c r="K861" s="5">
        <f>_xlfn.XLOOKUP(worksheet!D861,products!$A$1:$A$49,products!$D$1:$D$49,0)</f>
        <v>2.5</v>
      </c>
      <c r="L861" s="6">
        <f>_xlfn.XLOOKUP(worksheet!D861,products!$A$1:$A$49,products!$E$1:$E$49,0)</f>
        <v>29.784999999999997</v>
      </c>
      <c r="M861" s="6">
        <f>worksheet!E861*worksheet!L861</f>
        <v>178.70999999999998</v>
      </c>
      <c r="N861" t="str">
        <f t="shared" si="26"/>
        <v>Arabica</v>
      </c>
      <c r="O861" t="str">
        <f t="shared" si="27"/>
        <v>Light</v>
      </c>
      <c r="P861" t="str">
        <f>_xlfn.XLOOKUP(worksheet[[#This Row],[Customer ID]],customers!$A$1:$A$1001,customers!$I$1:$I$1001,0)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
        <v>6222</v>
      </c>
      <c r="H862" s="2" t="str">
        <f>_xlfn.XLOOKUP(C862,customers!$A$1:$A$1001,customers!$G$1:$G$1001,0)</f>
        <v>United States</v>
      </c>
      <c r="I862" t="str">
        <f>_xlfn.XLOOKUP(D862,products!$A$1:$A$49,products!$B$1:$B$49,0)</f>
        <v>Ara</v>
      </c>
      <c r="J862" t="str">
        <f>_xlfn.XLOOKUP(worksheet!D862,products!$A$1:$A$49,products!$C$1:$C$49,0)</f>
        <v>M</v>
      </c>
      <c r="K862" s="5">
        <f>_xlfn.XLOOKUP(worksheet!D862,products!$A$1:$A$49,products!$D$1:$D$49,0)</f>
        <v>2.5</v>
      </c>
      <c r="L862" s="6">
        <f>_xlfn.XLOOKUP(worksheet!D862,products!$A$1:$A$49,products!$E$1:$E$49,0)</f>
        <v>25.874999999999996</v>
      </c>
      <c r="M862" s="6">
        <f>worksheet!E862*worksheet!L862</f>
        <v>25.874999999999996</v>
      </c>
      <c r="N862" t="str">
        <f t="shared" si="26"/>
        <v>Arabica</v>
      </c>
      <c r="O862" t="str">
        <f t="shared" si="27"/>
        <v>Medium</v>
      </c>
      <c r="P862" t="str">
        <f>_xlfn.XLOOKUP(worksheet[[#This Row],[Customer ID]],customers!$A$1:$A$1001,customers!$I$1:$I$1001,0)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
        <v>5359</v>
      </c>
      <c r="H863" s="2" t="str">
        <f>_xlfn.XLOOKUP(C863,customers!$A$1:$A$1001,customers!$G$1:$G$1001,0)</f>
        <v>United States</v>
      </c>
      <c r="I863" t="str">
        <f>_xlfn.XLOOKUP(D863,products!$A$1:$A$49,products!$B$1:$B$49,0)</f>
        <v>Lib</v>
      </c>
      <c r="J863" t="str">
        <f>_xlfn.XLOOKUP(worksheet!D863,products!$A$1:$A$49,products!$C$1:$C$49,0)</f>
        <v>D</v>
      </c>
      <c r="K863" s="5">
        <f>_xlfn.XLOOKUP(worksheet!D863,products!$A$1:$A$49,products!$D$1:$D$49,0)</f>
        <v>1</v>
      </c>
      <c r="L863" s="6">
        <f>_xlfn.XLOOKUP(worksheet!D863,products!$A$1:$A$49,products!$E$1:$E$49,0)</f>
        <v>12.95</v>
      </c>
      <c r="M863" s="6">
        <f>worksheet!E863*worksheet!L863</f>
        <v>77.699999999999989</v>
      </c>
      <c r="N863" t="str">
        <f t="shared" si="26"/>
        <v>Liberica</v>
      </c>
      <c r="O863" t="str">
        <f t="shared" si="27"/>
        <v>Dark</v>
      </c>
      <c r="P863" t="str">
        <f>_xlfn.XLOOKUP(worksheet[[#This Row],[Customer ID]],customers!$A$1:$A$1001,customers!$I$1:$I$1001,0)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
        <v>5365</v>
      </c>
      <c r="H864" s="2" t="str">
        <f>_xlfn.XLOOKUP(C864,customers!$A$1:$A$1001,customers!$G$1:$G$1001,0)</f>
        <v>United States</v>
      </c>
      <c r="I864" t="str">
        <f>_xlfn.XLOOKUP(D864,products!$A$1:$A$49,products!$B$1:$B$49,0)</f>
        <v>Rob</v>
      </c>
      <c r="J864" t="str">
        <f>_xlfn.XLOOKUP(worksheet!D864,products!$A$1:$A$49,products!$C$1:$C$49,0)</f>
        <v>M</v>
      </c>
      <c r="K864" s="5">
        <f>_xlfn.XLOOKUP(worksheet!D864,products!$A$1:$A$49,products!$D$1:$D$49,0)</f>
        <v>1</v>
      </c>
      <c r="L864" s="6">
        <f>_xlfn.XLOOKUP(worksheet!D864,products!$A$1:$A$49,products!$E$1:$E$49,0)</f>
        <v>9.9499999999999993</v>
      </c>
      <c r="M864" s="6">
        <f>worksheet!E864*worksheet!L864</f>
        <v>9.9499999999999993</v>
      </c>
      <c r="N864" t="str">
        <f t="shared" si="26"/>
        <v>Robusta</v>
      </c>
      <c r="O864" t="str">
        <f t="shared" si="27"/>
        <v>Medium</v>
      </c>
      <c r="P864" t="str">
        <f>_xlfn.XLOOKUP(worksheet[[#This Row],[Customer ID]],customers!$A$1:$A$1001,customers!$I$1:$I$1001,0)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
        <v>5371</v>
      </c>
      <c r="H865" s="2" t="str">
        <f>_xlfn.XLOOKUP(C865,customers!$A$1:$A$1001,customers!$G$1:$G$1001,0)</f>
        <v>United States</v>
      </c>
      <c r="I865" t="str">
        <f>_xlfn.XLOOKUP(D865,products!$A$1:$A$49,products!$B$1:$B$49,0)</f>
        <v>Lib</v>
      </c>
      <c r="J865" t="str">
        <f>_xlfn.XLOOKUP(worksheet!D865,products!$A$1:$A$49,products!$C$1:$C$49,0)</f>
        <v>M</v>
      </c>
      <c r="K865" s="5">
        <f>_xlfn.XLOOKUP(worksheet!D865,products!$A$1:$A$49,products!$D$1:$D$49,0)</f>
        <v>1</v>
      </c>
      <c r="L865" s="6">
        <f>_xlfn.XLOOKUP(worksheet!D865,products!$A$1:$A$49,products!$E$1:$E$49,0)</f>
        <v>14.55</v>
      </c>
      <c r="M865" s="6">
        <f>worksheet!E865*worksheet!L865</f>
        <v>29.1</v>
      </c>
      <c r="N865" t="str">
        <f t="shared" si="26"/>
        <v>Liberica</v>
      </c>
      <c r="O865" t="str">
        <f t="shared" si="27"/>
        <v>Medium</v>
      </c>
      <c r="P865" t="str">
        <f>_xlfn.XLOOKUP(worksheet[[#This Row],[Customer ID]],customers!$A$1:$A$1001,customers!$I$1:$I$1001,0)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
        <v>5377</v>
      </c>
      <c r="H866" s="2" t="str">
        <f>_xlfn.XLOOKUP(C866,customers!$A$1:$A$1001,customers!$G$1:$G$1001,0)</f>
        <v>Ireland</v>
      </c>
      <c r="I866" t="str">
        <f>_xlfn.XLOOKUP(D866,products!$A$1:$A$49,products!$B$1:$B$49,0)</f>
        <v>Rob</v>
      </c>
      <c r="J866" t="str">
        <f>_xlfn.XLOOKUP(worksheet!D866,products!$A$1:$A$49,products!$C$1:$C$49,0)</f>
        <v>L</v>
      </c>
      <c r="K866" s="5">
        <f>_xlfn.XLOOKUP(worksheet!D866,products!$A$1:$A$49,products!$D$1:$D$49,0)</f>
        <v>0.2</v>
      </c>
      <c r="L866" s="6">
        <f>_xlfn.XLOOKUP(worksheet!D866,products!$A$1:$A$49,products!$E$1:$E$49,0)</f>
        <v>3.5849999999999995</v>
      </c>
      <c r="M866" s="6">
        <f>worksheet!E866*worksheet!L866</f>
        <v>21.509999999999998</v>
      </c>
      <c r="N866" t="str">
        <f t="shared" si="26"/>
        <v>Robusta</v>
      </c>
      <c r="O866" t="str">
        <f t="shared" si="27"/>
        <v>Light</v>
      </c>
      <c r="P866" t="str">
        <f>_xlfn.XLOOKUP(worksheet[[#This Row],[Customer ID]],customers!$A$1:$A$1001,customers!$I$1:$I$1001,0)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
        <v>5430</v>
      </c>
      <c r="H867" s="2" t="str">
        <f>_xlfn.XLOOKUP(C867,customers!$A$1:$A$1001,customers!$G$1:$G$1001,0)</f>
        <v>United States</v>
      </c>
      <c r="I867" t="str">
        <f>_xlfn.XLOOKUP(D867,products!$A$1:$A$49,products!$B$1:$B$49,0)</f>
        <v>Ara</v>
      </c>
      <c r="J867" t="str">
        <f>_xlfn.XLOOKUP(worksheet!D867,products!$A$1:$A$49,products!$C$1:$C$49,0)</f>
        <v>M</v>
      </c>
      <c r="K867" s="5">
        <f>_xlfn.XLOOKUP(worksheet!D867,products!$A$1:$A$49,products!$D$1:$D$49,0)</f>
        <v>0.5</v>
      </c>
      <c r="L867" s="6">
        <f>_xlfn.XLOOKUP(worksheet!D867,products!$A$1:$A$49,products!$E$1:$E$49,0)</f>
        <v>6.75</v>
      </c>
      <c r="M867" s="6">
        <f>worksheet!E867*worksheet!L867</f>
        <v>6.75</v>
      </c>
      <c r="N867" t="str">
        <f t="shared" si="26"/>
        <v>Arabica</v>
      </c>
      <c r="O867" t="str">
        <f t="shared" si="27"/>
        <v>Medium</v>
      </c>
      <c r="P867" t="str">
        <f>_xlfn.XLOOKUP(worksheet[[#This Row],[Customer ID]],customers!$A$1:$A$1001,customers!$I$1:$I$1001,0)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
        <v>5388</v>
      </c>
      <c r="H868" s="2" t="str">
        <f>_xlfn.XLOOKUP(C868,customers!$A$1:$A$1001,customers!$G$1:$G$1001,0)</f>
        <v>Ireland</v>
      </c>
      <c r="I868" t="str">
        <f>_xlfn.XLOOKUP(D868,products!$A$1:$A$49,products!$B$1:$B$49,0)</f>
        <v>Ara</v>
      </c>
      <c r="J868" t="str">
        <f>_xlfn.XLOOKUP(worksheet!D868,products!$A$1:$A$49,products!$C$1:$C$49,0)</f>
        <v>D</v>
      </c>
      <c r="K868" s="5">
        <f>_xlfn.XLOOKUP(worksheet!D868,products!$A$1:$A$49,products!$D$1:$D$49,0)</f>
        <v>0.5</v>
      </c>
      <c r="L868" s="6">
        <f>_xlfn.XLOOKUP(worksheet!D868,products!$A$1:$A$49,products!$E$1:$E$49,0)</f>
        <v>5.97</v>
      </c>
      <c r="M868" s="6">
        <f>worksheet!E868*worksheet!L868</f>
        <v>17.91</v>
      </c>
      <c r="N868" t="str">
        <f t="shared" si="26"/>
        <v>Arabica</v>
      </c>
      <c r="O868" t="str">
        <f t="shared" si="27"/>
        <v>Dark</v>
      </c>
      <c r="P868" t="str">
        <f>_xlfn.XLOOKUP(worksheet[[#This Row],[Customer ID]],customers!$A$1:$A$1001,customers!$I$1:$I$1001,0)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
        <v>5394</v>
      </c>
      <c r="H869" s="2" t="str">
        <f>_xlfn.XLOOKUP(C869,customers!$A$1:$A$1001,customers!$G$1:$G$1001,0)</f>
        <v>Ireland</v>
      </c>
      <c r="I869" t="str">
        <f>_xlfn.XLOOKUP(D869,products!$A$1:$A$49,products!$B$1:$B$49,0)</f>
        <v>Ara</v>
      </c>
      <c r="J869" t="str">
        <f>_xlfn.XLOOKUP(worksheet!D869,products!$A$1:$A$49,products!$C$1:$C$49,0)</f>
        <v>L</v>
      </c>
      <c r="K869" s="5">
        <f>_xlfn.XLOOKUP(worksheet!D869,products!$A$1:$A$49,products!$D$1:$D$49,0)</f>
        <v>2.5</v>
      </c>
      <c r="L869" s="6">
        <f>_xlfn.XLOOKUP(worksheet!D869,products!$A$1:$A$49,products!$E$1:$E$49,0)</f>
        <v>29.784999999999997</v>
      </c>
      <c r="M869" s="6">
        <f>worksheet!E869*worksheet!L869</f>
        <v>29.784999999999997</v>
      </c>
      <c r="N869" t="str">
        <f t="shared" si="26"/>
        <v>Arabica</v>
      </c>
      <c r="O869" t="str">
        <f t="shared" si="27"/>
        <v>Light</v>
      </c>
      <c r="P869" t="str">
        <f>_xlfn.XLOOKUP(worksheet[[#This Row],[Customer ID]],customers!$A$1:$A$1001,customers!$I$1:$I$1001,0)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
        <v>5399</v>
      </c>
      <c r="H870" s="2" t="str">
        <f>_xlfn.XLOOKUP(C870,customers!$A$1:$A$1001,customers!$G$1:$G$1001,0)</f>
        <v>United States</v>
      </c>
      <c r="I870" t="str">
        <f>_xlfn.XLOOKUP(D870,products!$A$1:$A$49,products!$B$1:$B$49,0)</f>
        <v>Exc</v>
      </c>
      <c r="J870" t="str">
        <f>_xlfn.XLOOKUP(worksheet!D870,products!$A$1:$A$49,products!$C$1:$C$49,0)</f>
        <v>M</v>
      </c>
      <c r="K870" s="5">
        <f>_xlfn.XLOOKUP(worksheet!D870,products!$A$1:$A$49,products!$D$1:$D$49,0)</f>
        <v>0.5</v>
      </c>
      <c r="L870" s="6">
        <f>_xlfn.XLOOKUP(worksheet!D870,products!$A$1:$A$49,products!$E$1:$E$49,0)</f>
        <v>8.25</v>
      </c>
      <c r="M870" s="6">
        <f>worksheet!E870*worksheet!L870</f>
        <v>41.25</v>
      </c>
      <c r="N870" t="str">
        <f t="shared" si="26"/>
        <v>Excelsa</v>
      </c>
      <c r="O870" t="str">
        <f t="shared" si="27"/>
        <v>Medium</v>
      </c>
      <c r="P870" t="str">
        <f>_xlfn.XLOOKUP(worksheet[[#This Row],[Customer ID]],customers!$A$1:$A$1001,customers!$I$1:$I$1001,0)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
        <v>6222</v>
      </c>
      <c r="H871" s="2" t="str">
        <f>_xlfn.XLOOKUP(C871,customers!$A$1:$A$1001,customers!$G$1:$G$1001,0)</f>
        <v>United States</v>
      </c>
      <c r="I871" t="str">
        <f>_xlfn.XLOOKUP(D871,products!$A$1:$A$49,products!$B$1:$B$49,0)</f>
        <v>Rob</v>
      </c>
      <c r="J871" t="str">
        <f>_xlfn.XLOOKUP(worksheet!D871,products!$A$1:$A$49,products!$C$1:$C$49,0)</f>
        <v>M</v>
      </c>
      <c r="K871" s="5">
        <f>_xlfn.XLOOKUP(worksheet!D871,products!$A$1:$A$49,products!$D$1:$D$49,0)</f>
        <v>0.5</v>
      </c>
      <c r="L871" s="6">
        <f>_xlfn.XLOOKUP(worksheet!D871,products!$A$1:$A$49,products!$E$1:$E$49,0)</f>
        <v>5.97</v>
      </c>
      <c r="M871" s="6">
        <f>worksheet!E871*worksheet!L871</f>
        <v>17.91</v>
      </c>
      <c r="N871" t="str">
        <f t="shared" si="26"/>
        <v>Robusta</v>
      </c>
      <c r="O871" t="str">
        <f t="shared" si="27"/>
        <v>Medium</v>
      </c>
      <c r="P871" t="str">
        <f>_xlfn.XLOOKUP(worksheet[[#This Row],[Customer ID]],customers!$A$1:$A$1001,customers!$I$1:$I$1001,0)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
        <v>5410</v>
      </c>
      <c r="H872" s="2" t="str">
        <f>_xlfn.XLOOKUP(C872,customers!$A$1:$A$1001,customers!$G$1:$G$1001,0)</f>
        <v>Ireland</v>
      </c>
      <c r="I872" t="str">
        <f>_xlfn.XLOOKUP(D872,products!$A$1:$A$49,products!$B$1:$B$49,0)</f>
        <v>Exc</v>
      </c>
      <c r="J872" t="str">
        <f>_xlfn.XLOOKUP(worksheet!D872,products!$A$1:$A$49,products!$C$1:$C$49,0)</f>
        <v>D</v>
      </c>
      <c r="K872" s="5">
        <f>_xlfn.XLOOKUP(worksheet!D872,products!$A$1:$A$49,products!$D$1:$D$49,0)</f>
        <v>0.5</v>
      </c>
      <c r="L872" s="6">
        <f>_xlfn.XLOOKUP(worksheet!D872,products!$A$1:$A$49,products!$E$1:$E$49,0)</f>
        <v>7.29</v>
      </c>
      <c r="M872" s="6">
        <f>worksheet!E872*worksheet!L872</f>
        <v>7.29</v>
      </c>
      <c r="N872" t="str">
        <f t="shared" si="26"/>
        <v>Excelsa</v>
      </c>
      <c r="O872" t="str">
        <f t="shared" si="27"/>
        <v>Dark</v>
      </c>
      <c r="P872" t="str">
        <f>_xlfn.XLOOKUP(worksheet[[#This Row],[Customer ID]],customers!$A$1:$A$1001,customers!$I$1:$I$1001,0)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
        <v>5416</v>
      </c>
      <c r="H873" s="2" t="str">
        <f>_xlfn.XLOOKUP(C873,customers!$A$1:$A$1001,customers!$G$1:$G$1001,0)</f>
        <v>United Kingdom</v>
      </c>
      <c r="I873" t="str">
        <f>_xlfn.XLOOKUP(D873,products!$A$1:$A$49,products!$B$1:$B$49,0)</f>
        <v>Exc</v>
      </c>
      <c r="J873" t="str">
        <f>_xlfn.XLOOKUP(worksheet!D873,products!$A$1:$A$49,products!$C$1:$C$49,0)</f>
        <v>L</v>
      </c>
      <c r="K873" s="5">
        <f>_xlfn.XLOOKUP(worksheet!D873,products!$A$1:$A$49,products!$D$1:$D$49,0)</f>
        <v>1</v>
      </c>
      <c r="L873" s="6">
        <f>_xlfn.XLOOKUP(worksheet!D873,products!$A$1:$A$49,products!$E$1:$E$49,0)</f>
        <v>14.85</v>
      </c>
      <c r="M873" s="6">
        <f>worksheet!E873*worksheet!L873</f>
        <v>29.7</v>
      </c>
      <c r="N873" t="str">
        <f t="shared" si="26"/>
        <v>Excelsa</v>
      </c>
      <c r="O873" t="str">
        <f t="shared" si="27"/>
        <v>Light</v>
      </c>
      <c r="P873" t="str">
        <f>_xlfn.XLOOKUP(worksheet[[#This Row],[Customer ID]],customers!$A$1:$A$1001,customers!$I$1:$I$1001,0)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
        <v>5424</v>
      </c>
      <c r="H874" s="2" t="str">
        <f>_xlfn.XLOOKUP(C874,customers!$A$1:$A$1001,customers!$G$1:$G$1001,0)</f>
        <v>United States</v>
      </c>
      <c r="I874" t="str">
        <f>_xlfn.XLOOKUP(D874,products!$A$1:$A$49,products!$B$1:$B$49,0)</f>
        <v>Ara</v>
      </c>
      <c r="J874" t="str">
        <f>_xlfn.XLOOKUP(worksheet!D874,products!$A$1:$A$49,products!$C$1:$C$49,0)</f>
        <v>M</v>
      </c>
      <c r="K874" s="5">
        <f>_xlfn.XLOOKUP(worksheet!D874,products!$A$1:$A$49,products!$D$1:$D$49,0)</f>
        <v>1</v>
      </c>
      <c r="L874" s="6">
        <f>_xlfn.XLOOKUP(worksheet!D874,products!$A$1:$A$49,products!$E$1:$E$49,0)</f>
        <v>11.25</v>
      </c>
      <c r="M874" s="6">
        <f>worksheet!E874*worksheet!L874</f>
        <v>22.5</v>
      </c>
      <c r="N874" t="str">
        <f t="shared" si="26"/>
        <v>Arabica</v>
      </c>
      <c r="O874" t="str">
        <f t="shared" si="27"/>
        <v>Medium</v>
      </c>
      <c r="P874" t="str">
        <f>_xlfn.XLOOKUP(worksheet[[#This Row],[Customer ID]],customers!$A$1:$A$1001,customers!$I$1:$I$1001,0)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
        <v>5430</v>
      </c>
      <c r="H875" s="2" t="str">
        <f>_xlfn.XLOOKUP(C875,customers!$A$1:$A$1001,customers!$G$1:$G$1001,0)</f>
        <v>United States</v>
      </c>
      <c r="I875" t="str">
        <f>_xlfn.XLOOKUP(D875,products!$A$1:$A$49,products!$B$1:$B$49,0)</f>
        <v>Rob</v>
      </c>
      <c r="J875" t="str">
        <f>_xlfn.XLOOKUP(worksheet!D875,products!$A$1:$A$49,products!$C$1:$C$49,0)</f>
        <v>M</v>
      </c>
      <c r="K875" s="5">
        <f>_xlfn.XLOOKUP(worksheet!D875,products!$A$1:$A$49,products!$D$1:$D$49,0)</f>
        <v>0.2</v>
      </c>
      <c r="L875" s="6">
        <f>_xlfn.XLOOKUP(worksheet!D875,products!$A$1:$A$49,products!$E$1:$E$49,0)</f>
        <v>2.9849999999999999</v>
      </c>
      <c r="M875" s="6">
        <f>worksheet!E875*worksheet!L875</f>
        <v>11.94</v>
      </c>
      <c r="N875" t="str">
        <f t="shared" si="26"/>
        <v>Robusta</v>
      </c>
      <c r="O875" t="str">
        <f t="shared" si="27"/>
        <v>Medium</v>
      </c>
      <c r="P875" t="str">
        <f>_xlfn.XLOOKUP(worksheet[[#This Row],[Customer ID]],customers!$A$1:$A$1001,customers!$I$1:$I$1001,0)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
        <v>5436</v>
      </c>
      <c r="H876" s="2" t="str">
        <f>_xlfn.XLOOKUP(C876,customers!$A$1:$A$1001,customers!$G$1:$G$1001,0)</f>
        <v>United States</v>
      </c>
      <c r="I876" t="str">
        <f>_xlfn.XLOOKUP(D876,products!$A$1:$A$49,products!$B$1:$B$49,0)</f>
        <v>Ara</v>
      </c>
      <c r="J876" t="str">
        <f>_xlfn.XLOOKUP(worksheet!D876,products!$A$1:$A$49,products!$C$1:$C$49,0)</f>
        <v>L</v>
      </c>
      <c r="K876" s="5">
        <f>_xlfn.XLOOKUP(worksheet!D876,products!$A$1:$A$49,products!$D$1:$D$49,0)</f>
        <v>1</v>
      </c>
      <c r="L876" s="6">
        <f>_xlfn.XLOOKUP(worksheet!D876,products!$A$1:$A$49,products!$E$1:$E$49,0)</f>
        <v>12.95</v>
      </c>
      <c r="M876" s="6">
        <f>worksheet!E876*worksheet!L876</f>
        <v>25.9</v>
      </c>
      <c r="N876" t="str">
        <f t="shared" si="26"/>
        <v>Arabica</v>
      </c>
      <c r="O876" t="str">
        <f t="shared" si="27"/>
        <v>Light</v>
      </c>
      <c r="P876" t="str">
        <f>_xlfn.XLOOKUP(worksheet[[#This Row],[Customer ID]],customers!$A$1:$A$1001,customers!$I$1:$I$1001,0)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
        <v>5442</v>
      </c>
      <c r="H877" s="2" t="str">
        <f>_xlfn.XLOOKUP(C877,customers!$A$1:$A$1001,customers!$G$1:$G$1001,0)</f>
        <v>Ireland</v>
      </c>
      <c r="I877" t="str">
        <f>_xlfn.XLOOKUP(D877,products!$A$1:$A$49,products!$B$1:$B$49,0)</f>
        <v>Lib</v>
      </c>
      <c r="J877" t="str">
        <f>_xlfn.XLOOKUP(worksheet!D877,products!$A$1:$A$49,products!$C$1:$C$49,0)</f>
        <v>M</v>
      </c>
      <c r="K877" s="5">
        <f>_xlfn.XLOOKUP(worksheet!D877,products!$A$1:$A$49,products!$D$1:$D$49,0)</f>
        <v>0.5</v>
      </c>
      <c r="L877" s="6">
        <f>_xlfn.XLOOKUP(worksheet!D877,products!$A$1:$A$49,products!$E$1:$E$49,0)</f>
        <v>8.73</v>
      </c>
      <c r="M877" s="6">
        <f>worksheet!E877*worksheet!L877</f>
        <v>43.650000000000006</v>
      </c>
      <c r="N877" t="str">
        <f t="shared" si="26"/>
        <v>Liberica</v>
      </c>
      <c r="O877" t="str">
        <f t="shared" si="27"/>
        <v>Medium</v>
      </c>
      <c r="P877" t="str">
        <f>_xlfn.XLOOKUP(worksheet[[#This Row],[Customer ID]],customers!$A$1:$A$1001,customers!$I$1:$I$1001,0)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
        <v>5442</v>
      </c>
      <c r="H878" s="2" t="str">
        <f>_xlfn.XLOOKUP(C878,customers!$A$1:$A$1001,customers!$G$1:$G$1001,0)</f>
        <v>Ireland</v>
      </c>
      <c r="I878" t="str">
        <f>_xlfn.XLOOKUP(D878,products!$A$1:$A$49,products!$B$1:$B$49,0)</f>
        <v>Ara</v>
      </c>
      <c r="J878" t="str">
        <f>_xlfn.XLOOKUP(worksheet!D878,products!$A$1:$A$49,products!$C$1:$C$49,0)</f>
        <v>L</v>
      </c>
      <c r="K878" s="5">
        <f>_xlfn.XLOOKUP(worksheet!D878,products!$A$1:$A$49,products!$D$1:$D$49,0)</f>
        <v>0.5</v>
      </c>
      <c r="L878" s="6">
        <f>_xlfn.XLOOKUP(worksheet!D878,products!$A$1:$A$49,products!$E$1:$E$49,0)</f>
        <v>7.77</v>
      </c>
      <c r="M878" s="6">
        <f>worksheet!E878*worksheet!L878</f>
        <v>46.62</v>
      </c>
      <c r="N878" t="str">
        <f t="shared" si="26"/>
        <v>Arabica</v>
      </c>
      <c r="O878" t="str">
        <f t="shared" si="27"/>
        <v>Light</v>
      </c>
      <c r="P878" t="str">
        <f>_xlfn.XLOOKUP(worksheet[[#This Row],[Customer ID]],customers!$A$1:$A$1001,customers!$I$1:$I$1001,0)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
        <v>5453</v>
      </c>
      <c r="H879" s="2" t="str">
        <f>_xlfn.XLOOKUP(C879,customers!$A$1:$A$1001,customers!$G$1:$G$1001,0)</f>
        <v>United States</v>
      </c>
      <c r="I879" t="str">
        <f>_xlfn.XLOOKUP(D879,products!$A$1:$A$49,products!$B$1:$B$49,0)</f>
        <v>Lib</v>
      </c>
      <c r="J879" t="str">
        <f>_xlfn.XLOOKUP(worksheet!D879,products!$A$1:$A$49,products!$C$1:$C$49,0)</f>
        <v>L</v>
      </c>
      <c r="K879" s="5">
        <f>_xlfn.XLOOKUP(worksheet!D879,products!$A$1:$A$49,products!$D$1:$D$49,0)</f>
        <v>0.5</v>
      </c>
      <c r="L879" s="6">
        <f>_xlfn.XLOOKUP(worksheet!D879,products!$A$1:$A$49,products!$E$1:$E$49,0)</f>
        <v>9.51</v>
      </c>
      <c r="M879" s="6">
        <f>worksheet!E879*worksheet!L879</f>
        <v>28.53</v>
      </c>
      <c r="N879" t="str">
        <f t="shared" si="26"/>
        <v>Liberica</v>
      </c>
      <c r="O879" t="str">
        <f t="shared" si="27"/>
        <v>Light</v>
      </c>
      <c r="P879" t="str">
        <f>_xlfn.XLOOKUP(worksheet[[#This Row],[Customer ID]],customers!$A$1:$A$1001,customers!$I$1:$I$1001,0)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
        <v>6222</v>
      </c>
      <c r="H880" s="2" t="str">
        <f>_xlfn.XLOOKUP(C880,customers!$A$1:$A$1001,customers!$G$1:$G$1001,0)</f>
        <v>United States</v>
      </c>
      <c r="I880" t="str">
        <f>_xlfn.XLOOKUP(D880,products!$A$1:$A$49,products!$B$1:$B$49,0)</f>
        <v>Rob</v>
      </c>
      <c r="J880" t="str">
        <f>_xlfn.XLOOKUP(worksheet!D880,products!$A$1:$A$49,products!$C$1:$C$49,0)</f>
        <v>L</v>
      </c>
      <c r="K880" s="5">
        <f>_xlfn.XLOOKUP(worksheet!D880,products!$A$1:$A$49,products!$D$1:$D$49,0)</f>
        <v>2.5</v>
      </c>
      <c r="L880" s="6">
        <f>_xlfn.XLOOKUP(worksheet!D880,products!$A$1:$A$49,products!$E$1:$E$49,0)</f>
        <v>27.484999999999996</v>
      </c>
      <c r="M880" s="6">
        <f>worksheet!E880*worksheet!L880</f>
        <v>27.484999999999996</v>
      </c>
      <c r="N880" t="str">
        <f t="shared" si="26"/>
        <v>Robusta</v>
      </c>
      <c r="O880" t="str">
        <f t="shared" si="27"/>
        <v>Light</v>
      </c>
      <c r="P880" t="str">
        <f>_xlfn.XLOOKUP(worksheet[[#This Row],[Customer ID]],customers!$A$1:$A$1001,customers!$I$1:$I$1001,0)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
        <v>6222</v>
      </c>
      <c r="H881" s="2" t="str">
        <f>_xlfn.XLOOKUP(C881,customers!$A$1:$A$1001,customers!$G$1:$G$1001,0)</f>
        <v>United States</v>
      </c>
      <c r="I881" t="str">
        <f>_xlfn.XLOOKUP(D881,products!$A$1:$A$49,products!$B$1:$B$49,0)</f>
        <v>Exc</v>
      </c>
      <c r="J881" t="str">
        <f>_xlfn.XLOOKUP(worksheet!D881,products!$A$1:$A$49,products!$C$1:$C$49,0)</f>
        <v>D</v>
      </c>
      <c r="K881" s="5">
        <f>_xlfn.XLOOKUP(worksheet!D881,products!$A$1:$A$49,products!$D$1:$D$49,0)</f>
        <v>0.2</v>
      </c>
      <c r="L881" s="6">
        <f>_xlfn.XLOOKUP(worksheet!D881,products!$A$1:$A$49,products!$E$1:$E$49,0)</f>
        <v>3.645</v>
      </c>
      <c r="M881" s="6">
        <f>worksheet!E881*worksheet!L881</f>
        <v>10.935</v>
      </c>
      <c r="N881" t="str">
        <f t="shared" si="26"/>
        <v>Excelsa</v>
      </c>
      <c r="O881" t="str">
        <f t="shared" si="27"/>
        <v>Dark</v>
      </c>
      <c r="P881" t="str">
        <f>_xlfn.XLOOKUP(worksheet[[#This Row],[Customer ID]],customers!$A$1:$A$1001,customers!$I$1:$I$1001,0)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
        <v>5469</v>
      </c>
      <c r="H882" s="2" t="str">
        <f>_xlfn.XLOOKUP(C882,customers!$A$1:$A$1001,customers!$G$1:$G$1001,0)</f>
        <v>United States</v>
      </c>
      <c r="I882" t="str">
        <f>_xlfn.XLOOKUP(D882,products!$A$1:$A$49,products!$B$1:$B$49,0)</f>
        <v>Rob</v>
      </c>
      <c r="J882" t="str">
        <f>_xlfn.XLOOKUP(worksheet!D882,products!$A$1:$A$49,products!$C$1:$C$49,0)</f>
        <v>L</v>
      </c>
      <c r="K882" s="5">
        <f>_xlfn.XLOOKUP(worksheet!D882,products!$A$1:$A$49,products!$D$1:$D$49,0)</f>
        <v>0.2</v>
      </c>
      <c r="L882" s="6">
        <f>_xlfn.XLOOKUP(worksheet!D882,products!$A$1:$A$49,products!$E$1:$E$49,0)</f>
        <v>3.5849999999999995</v>
      </c>
      <c r="M882" s="6">
        <f>worksheet!E882*worksheet!L882</f>
        <v>7.169999999999999</v>
      </c>
      <c r="N882" t="str">
        <f t="shared" si="26"/>
        <v>Robusta</v>
      </c>
      <c r="O882" t="str">
        <f t="shared" si="27"/>
        <v>Light</v>
      </c>
      <c r="P882" t="str">
        <f>_xlfn.XLOOKUP(worksheet[[#This Row],[Customer ID]],customers!$A$1:$A$1001,customers!$I$1:$I$1001,0)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
        <v>6222</v>
      </c>
      <c r="H883" s="2" t="str">
        <f>_xlfn.XLOOKUP(C883,customers!$A$1:$A$1001,customers!$G$1:$G$1001,0)</f>
        <v>United States</v>
      </c>
      <c r="I883" t="str">
        <f>_xlfn.XLOOKUP(D883,products!$A$1:$A$49,products!$B$1:$B$49,0)</f>
        <v>Ara</v>
      </c>
      <c r="J883" t="str">
        <f>_xlfn.XLOOKUP(worksheet!D883,products!$A$1:$A$49,products!$C$1:$C$49,0)</f>
        <v>L</v>
      </c>
      <c r="K883" s="5">
        <f>_xlfn.XLOOKUP(worksheet!D883,products!$A$1:$A$49,products!$D$1:$D$49,0)</f>
        <v>0.2</v>
      </c>
      <c r="L883" s="6">
        <f>_xlfn.XLOOKUP(worksheet!D883,products!$A$1:$A$49,products!$E$1:$E$49,0)</f>
        <v>3.8849999999999998</v>
      </c>
      <c r="M883" s="6">
        <f>worksheet!E883*worksheet!L883</f>
        <v>23.31</v>
      </c>
      <c r="N883" t="str">
        <f t="shared" si="26"/>
        <v>Arabica</v>
      </c>
      <c r="O883" t="str">
        <f t="shared" si="27"/>
        <v>Light</v>
      </c>
      <c r="P883" t="str">
        <f>_xlfn.XLOOKUP(worksheet[[#This Row],[Customer ID]],customers!$A$1:$A$1001,customers!$I$1:$I$1001,0)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
        <v>5528</v>
      </c>
      <c r="H884" s="2" t="str">
        <f>_xlfn.XLOOKUP(C884,customers!$A$1:$A$1001,customers!$G$1:$G$1001,0)</f>
        <v>United States</v>
      </c>
      <c r="I884" t="str">
        <f>_xlfn.XLOOKUP(D884,products!$A$1:$A$49,products!$B$1:$B$49,0)</f>
        <v>Ara</v>
      </c>
      <c r="J884" t="str">
        <f>_xlfn.XLOOKUP(worksheet!D884,products!$A$1:$A$49,products!$C$1:$C$49,0)</f>
        <v>D</v>
      </c>
      <c r="K884" s="5">
        <f>_xlfn.XLOOKUP(worksheet!D884,products!$A$1:$A$49,products!$D$1:$D$49,0)</f>
        <v>2.5</v>
      </c>
      <c r="L884" s="6">
        <f>_xlfn.XLOOKUP(worksheet!D884,products!$A$1:$A$49,products!$E$1:$E$49,0)</f>
        <v>22.884999999999998</v>
      </c>
      <c r="M884" s="6">
        <f>worksheet!E884*worksheet!L884</f>
        <v>114.42499999999998</v>
      </c>
      <c r="N884" t="str">
        <f t="shared" si="26"/>
        <v>Arabica</v>
      </c>
      <c r="O884" t="str">
        <f t="shared" si="27"/>
        <v>Dark</v>
      </c>
      <c r="P884" t="str">
        <f>_xlfn.XLOOKUP(worksheet[[#This Row],[Customer ID]],customers!$A$1:$A$1001,customers!$I$1:$I$1001,0)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
        <v>5486</v>
      </c>
      <c r="H885" s="2" t="str">
        <f>_xlfn.XLOOKUP(C885,customers!$A$1:$A$1001,customers!$G$1:$G$1001,0)</f>
        <v>United States</v>
      </c>
      <c r="I885" t="str">
        <f>_xlfn.XLOOKUP(D885,products!$A$1:$A$49,products!$B$1:$B$49,0)</f>
        <v>Ara</v>
      </c>
      <c r="J885" t="str">
        <f>_xlfn.XLOOKUP(worksheet!D885,products!$A$1:$A$49,products!$C$1:$C$49,0)</f>
        <v>M</v>
      </c>
      <c r="K885" s="5">
        <f>_xlfn.XLOOKUP(worksheet!D885,products!$A$1:$A$49,products!$D$1:$D$49,0)</f>
        <v>2.5</v>
      </c>
      <c r="L885" s="6">
        <f>_xlfn.XLOOKUP(worksheet!D885,products!$A$1:$A$49,products!$E$1:$E$49,0)</f>
        <v>25.874999999999996</v>
      </c>
      <c r="M885" s="6">
        <f>worksheet!E885*worksheet!L885</f>
        <v>77.624999999999986</v>
      </c>
      <c r="N885" t="str">
        <f t="shared" si="26"/>
        <v>Arabica</v>
      </c>
      <c r="O885" t="str">
        <f t="shared" si="27"/>
        <v>Medium</v>
      </c>
      <c r="P885" t="str">
        <f>_xlfn.XLOOKUP(worksheet[[#This Row],[Customer ID]],customers!$A$1:$A$1001,customers!$I$1:$I$1001,0)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
        <v>5492</v>
      </c>
      <c r="H886" s="2" t="str">
        <f>_xlfn.XLOOKUP(C886,customers!$A$1:$A$1001,customers!$G$1:$G$1001,0)</f>
        <v>United States</v>
      </c>
      <c r="I886" t="str">
        <f>_xlfn.XLOOKUP(D886,products!$A$1:$A$49,products!$B$1:$B$49,0)</f>
        <v>Rob</v>
      </c>
      <c r="J886" t="str">
        <f>_xlfn.XLOOKUP(worksheet!D886,products!$A$1:$A$49,products!$C$1:$C$49,0)</f>
        <v>D</v>
      </c>
      <c r="K886" s="5">
        <f>_xlfn.XLOOKUP(worksheet!D886,products!$A$1:$A$49,products!$D$1:$D$49,0)</f>
        <v>0.5</v>
      </c>
      <c r="L886" s="6">
        <f>_xlfn.XLOOKUP(worksheet!D886,products!$A$1:$A$49,products!$E$1:$E$49,0)</f>
        <v>5.3699999999999992</v>
      </c>
      <c r="M886" s="6">
        <f>worksheet!E886*worksheet!L886</f>
        <v>5.3699999999999992</v>
      </c>
      <c r="N886" t="str">
        <f t="shared" si="26"/>
        <v>Robusta</v>
      </c>
      <c r="O886" t="str">
        <f t="shared" si="27"/>
        <v>Dark</v>
      </c>
      <c r="P886" t="str">
        <f>_xlfn.XLOOKUP(worksheet[[#This Row],[Customer ID]],customers!$A$1:$A$1001,customers!$I$1:$I$1001,0)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
        <v>5498</v>
      </c>
      <c r="H887" s="2" t="str">
        <f>_xlfn.XLOOKUP(C887,customers!$A$1:$A$1001,customers!$G$1:$G$1001,0)</f>
        <v>Ireland</v>
      </c>
      <c r="I887" t="str">
        <f>_xlfn.XLOOKUP(D887,products!$A$1:$A$49,products!$B$1:$B$49,0)</f>
        <v>Rob</v>
      </c>
      <c r="J887" t="str">
        <f>_xlfn.XLOOKUP(worksheet!D887,products!$A$1:$A$49,products!$C$1:$C$49,0)</f>
        <v>D</v>
      </c>
      <c r="K887" s="5">
        <f>_xlfn.XLOOKUP(worksheet!D887,products!$A$1:$A$49,products!$D$1:$D$49,0)</f>
        <v>2.5</v>
      </c>
      <c r="L887" s="6">
        <f>_xlfn.XLOOKUP(worksheet!D887,products!$A$1:$A$49,products!$E$1:$E$49,0)</f>
        <v>20.584999999999997</v>
      </c>
      <c r="M887" s="6">
        <f>worksheet!E887*worksheet!L887</f>
        <v>123.50999999999999</v>
      </c>
      <c r="N887" t="str">
        <f t="shared" si="26"/>
        <v>Robusta</v>
      </c>
      <c r="O887" t="str">
        <f t="shared" si="27"/>
        <v>Dark</v>
      </c>
      <c r="P887" t="str">
        <f>_xlfn.XLOOKUP(worksheet[[#This Row],[Customer ID]],customers!$A$1:$A$1001,customers!$I$1:$I$1001,0)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
        <v>5504</v>
      </c>
      <c r="H888" s="2" t="str">
        <f>_xlfn.XLOOKUP(C888,customers!$A$1:$A$1001,customers!$G$1:$G$1001,0)</f>
        <v>United States</v>
      </c>
      <c r="I888" t="str">
        <f>_xlfn.XLOOKUP(D888,products!$A$1:$A$49,products!$B$1:$B$49,0)</f>
        <v>Lib</v>
      </c>
      <c r="J888" t="str">
        <f>_xlfn.XLOOKUP(worksheet!D888,products!$A$1:$A$49,products!$C$1:$C$49,0)</f>
        <v>M</v>
      </c>
      <c r="K888" s="5">
        <f>_xlfn.XLOOKUP(worksheet!D888,products!$A$1:$A$49,products!$D$1:$D$49,0)</f>
        <v>0.5</v>
      </c>
      <c r="L888" s="6">
        <f>_xlfn.XLOOKUP(worksheet!D888,products!$A$1:$A$49,products!$E$1:$E$49,0)</f>
        <v>8.73</v>
      </c>
      <c r="M888" s="6">
        <f>worksheet!E888*worksheet!L888</f>
        <v>17.46</v>
      </c>
      <c r="N888" t="str">
        <f t="shared" si="26"/>
        <v>Liberica</v>
      </c>
      <c r="O888" t="str">
        <f t="shared" si="27"/>
        <v>Medium</v>
      </c>
      <c r="P888" t="str">
        <f>_xlfn.XLOOKUP(worksheet[[#This Row],[Customer ID]],customers!$A$1:$A$1001,customers!$I$1:$I$1001,0)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
        <v>5510</v>
      </c>
      <c r="H889" s="2" t="str">
        <f>_xlfn.XLOOKUP(C889,customers!$A$1:$A$1001,customers!$G$1:$G$1001,0)</f>
        <v>United States</v>
      </c>
      <c r="I889" t="str">
        <f>_xlfn.XLOOKUP(D889,products!$A$1:$A$49,products!$B$1:$B$49,0)</f>
        <v>Exc</v>
      </c>
      <c r="J889" t="str">
        <f>_xlfn.XLOOKUP(worksheet!D889,products!$A$1:$A$49,products!$C$1:$C$49,0)</f>
        <v>L</v>
      </c>
      <c r="K889" s="5">
        <f>_xlfn.XLOOKUP(worksheet!D889,products!$A$1:$A$49,products!$D$1:$D$49,0)</f>
        <v>0.2</v>
      </c>
      <c r="L889" s="6">
        <f>_xlfn.XLOOKUP(worksheet!D889,products!$A$1:$A$49,products!$E$1:$E$49,0)</f>
        <v>4.4550000000000001</v>
      </c>
      <c r="M889" s="6">
        <f>worksheet!E889*worksheet!L889</f>
        <v>13.365</v>
      </c>
      <c r="N889" t="str">
        <f t="shared" si="26"/>
        <v>Excelsa</v>
      </c>
      <c r="O889" t="str">
        <f t="shared" si="27"/>
        <v>Light</v>
      </c>
      <c r="P889" t="str">
        <f>_xlfn.XLOOKUP(worksheet[[#This Row],[Customer ID]],customers!$A$1:$A$1001,customers!$I$1:$I$1001,0)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
        <v>5516</v>
      </c>
      <c r="H890" s="2" t="str">
        <f>_xlfn.XLOOKUP(C890,customers!$A$1:$A$1001,customers!$G$1:$G$1001,0)</f>
        <v>United States</v>
      </c>
      <c r="I890" t="str">
        <f>_xlfn.XLOOKUP(D890,products!$A$1:$A$49,products!$B$1:$B$49,0)</f>
        <v>Ara</v>
      </c>
      <c r="J890" t="str">
        <f>_xlfn.XLOOKUP(worksheet!D890,products!$A$1:$A$49,products!$C$1:$C$49,0)</f>
        <v>L</v>
      </c>
      <c r="K890" s="5">
        <f>_xlfn.XLOOKUP(worksheet!D890,products!$A$1:$A$49,products!$D$1:$D$49,0)</f>
        <v>0.2</v>
      </c>
      <c r="L890" s="6">
        <f>_xlfn.XLOOKUP(worksheet!D890,products!$A$1:$A$49,products!$E$1:$E$49,0)</f>
        <v>3.8849999999999998</v>
      </c>
      <c r="M890" s="6">
        <f>worksheet!E890*worksheet!L890</f>
        <v>7.77</v>
      </c>
      <c r="N890" t="str">
        <f t="shared" si="26"/>
        <v>Arabica</v>
      </c>
      <c r="O890" t="str">
        <f t="shared" si="27"/>
        <v>Light</v>
      </c>
      <c r="P890" t="str">
        <f>_xlfn.XLOOKUP(worksheet[[#This Row],[Customer ID]],customers!$A$1:$A$1001,customers!$I$1:$I$1001,0)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
        <v>5522</v>
      </c>
      <c r="H891" s="2" t="str">
        <f>_xlfn.XLOOKUP(C891,customers!$A$1:$A$1001,customers!$G$1:$G$1001,0)</f>
        <v>United States</v>
      </c>
      <c r="I891" t="str">
        <f>_xlfn.XLOOKUP(D891,products!$A$1:$A$49,products!$B$1:$B$49,0)</f>
        <v>Rob</v>
      </c>
      <c r="J891" t="str">
        <f>_xlfn.XLOOKUP(worksheet!D891,products!$A$1:$A$49,products!$C$1:$C$49,0)</f>
        <v>D</v>
      </c>
      <c r="K891" s="5">
        <f>_xlfn.XLOOKUP(worksheet!D891,products!$A$1:$A$49,products!$D$1:$D$49,0)</f>
        <v>0.2</v>
      </c>
      <c r="L891" s="6">
        <f>_xlfn.XLOOKUP(worksheet!D891,products!$A$1:$A$49,products!$E$1:$E$49,0)</f>
        <v>2.6849999999999996</v>
      </c>
      <c r="M891" s="6">
        <f>worksheet!E891*worksheet!L891</f>
        <v>2.6849999999999996</v>
      </c>
      <c r="N891" t="str">
        <f t="shared" si="26"/>
        <v>Robusta</v>
      </c>
      <c r="O891" t="str">
        <f t="shared" si="27"/>
        <v>Dark</v>
      </c>
      <c r="P891" t="str">
        <f>_xlfn.XLOOKUP(worksheet[[#This Row],[Customer ID]],customers!$A$1:$A$1001,customers!$I$1:$I$1001,0)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
        <v>5528</v>
      </c>
      <c r="H892" s="2" t="str">
        <f>_xlfn.XLOOKUP(C892,customers!$A$1:$A$1001,customers!$G$1:$G$1001,0)</f>
        <v>United States</v>
      </c>
      <c r="I892" t="str">
        <f>_xlfn.XLOOKUP(D892,products!$A$1:$A$49,products!$B$1:$B$49,0)</f>
        <v>Rob</v>
      </c>
      <c r="J892" t="str">
        <f>_xlfn.XLOOKUP(worksheet!D892,products!$A$1:$A$49,products!$C$1:$C$49,0)</f>
        <v>D</v>
      </c>
      <c r="K892" s="5">
        <f>_xlfn.XLOOKUP(worksheet!D892,products!$A$1:$A$49,products!$D$1:$D$49,0)</f>
        <v>2.5</v>
      </c>
      <c r="L892" s="6">
        <f>_xlfn.XLOOKUP(worksheet!D892,products!$A$1:$A$49,products!$E$1:$E$49,0)</f>
        <v>20.584999999999997</v>
      </c>
      <c r="M892" s="6">
        <f>worksheet!E892*worksheet!L892</f>
        <v>20.584999999999997</v>
      </c>
      <c r="N892" t="str">
        <f t="shared" si="26"/>
        <v>Robusta</v>
      </c>
      <c r="O892" t="str">
        <f t="shared" si="27"/>
        <v>Dark</v>
      </c>
      <c r="P892" t="str">
        <f>_xlfn.XLOOKUP(worksheet[[#This Row],[Customer ID]],customers!$A$1:$A$1001,customers!$I$1:$I$1001,0)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
        <v>5534</v>
      </c>
      <c r="H893" s="2" t="str">
        <f>_xlfn.XLOOKUP(C893,customers!$A$1:$A$1001,customers!$G$1:$G$1001,0)</f>
        <v>United States</v>
      </c>
      <c r="I893" t="str">
        <f>_xlfn.XLOOKUP(D893,products!$A$1:$A$49,products!$B$1:$B$49,0)</f>
        <v>Ara</v>
      </c>
      <c r="J893" t="str">
        <f>_xlfn.XLOOKUP(worksheet!D893,products!$A$1:$A$49,products!$C$1:$C$49,0)</f>
        <v>D</v>
      </c>
      <c r="K893" s="5">
        <f>_xlfn.XLOOKUP(worksheet!D893,products!$A$1:$A$49,products!$D$1:$D$49,0)</f>
        <v>2.5</v>
      </c>
      <c r="L893" s="6">
        <f>_xlfn.XLOOKUP(worksheet!D893,products!$A$1:$A$49,products!$E$1:$E$49,0)</f>
        <v>22.884999999999998</v>
      </c>
      <c r="M893" s="6">
        <f>worksheet!E893*worksheet!L893</f>
        <v>114.42499999999998</v>
      </c>
      <c r="N893" t="str">
        <f t="shared" si="26"/>
        <v>Arabica</v>
      </c>
      <c r="O893" t="str">
        <f t="shared" si="27"/>
        <v>Dark</v>
      </c>
      <c r="P893" t="str">
        <f>_xlfn.XLOOKUP(worksheet[[#This Row],[Customer ID]],customers!$A$1:$A$1001,customers!$I$1:$I$1001,0)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
        <v>5540</v>
      </c>
      <c r="H894" s="2" t="str">
        <f>_xlfn.XLOOKUP(C894,customers!$A$1:$A$1001,customers!$G$1:$G$1001,0)</f>
        <v>United Kingdom</v>
      </c>
      <c r="I894" t="str">
        <f>_xlfn.XLOOKUP(D894,products!$A$1:$A$49,products!$B$1:$B$49,0)</f>
        <v>Exc</v>
      </c>
      <c r="J894" t="str">
        <f>_xlfn.XLOOKUP(worksheet!D894,products!$A$1:$A$49,products!$C$1:$C$49,0)</f>
        <v>M</v>
      </c>
      <c r="K894" s="5">
        <f>_xlfn.XLOOKUP(worksheet!D894,products!$A$1:$A$49,products!$D$1:$D$49,0)</f>
        <v>0.2</v>
      </c>
      <c r="L894" s="6">
        <f>_xlfn.XLOOKUP(worksheet!D894,products!$A$1:$A$49,products!$E$1:$E$49,0)</f>
        <v>4.125</v>
      </c>
      <c r="M894" s="6">
        <f>worksheet!E894*worksheet!L894</f>
        <v>20.625</v>
      </c>
      <c r="N894" t="str">
        <f t="shared" si="26"/>
        <v>Excelsa</v>
      </c>
      <c r="O894" t="str">
        <f t="shared" si="27"/>
        <v>Medium</v>
      </c>
      <c r="P894" t="str">
        <f>_xlfn.XLOOKUP(worksheet[[#This Row],[Customer ID]],customers!$A$1:$A$1001,customers!$I$1:$I$1001,0)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
        <v>5546</v>
      </c>
      <c r="H895" s="2" t="str">
        <f>_xlfn.XLOOKUP(C895,customers!$A$1:$A$1001,customers!$G$1:$G$1001,0)</f>
        <v>United States</v>
      </c>
      <c r="I895" t="str">
        <f>_xlfn.XLOOKUP(D895,products!$A$1:$A$49,products!$B$1:$B$49,0)</f>
        <v>Lib</v>
      </c>
      <c r="J895" t="str">
        <f>_xlfn.XLOOKUP(worksheet!D895,products!$A$1:$A$49,products!$C$1:$C$49,0)</f>
        <v>L</v>
      </c>
      <c r="K895" s="5">
        <f>_xlfn.XLOOKUP(worksheet!D895,products!$A$1:$A$49,products!$D$1:$D$49,0)</f>
        <v>0.5</v>
      </c>
      <c r="L895" s="6">
        <f>_xlfn.XLOOKUP(worksheet!D895,products!$A$1:$A$49,products!$E$1:$E$49,0)</f>
        <v>9.51</v>
      </c>
      <c r="M895" s="6">
        <f>worksheet!E895*worksheet!L895</f>
        <v>57.06</v>
      </c>
      <c r="N895" t="str">
        <f t="shared" si="26"/>
        <v>Liberica</v>
      </c>
      <c r="O895" t="str">
        <f t="shared" si="27"/>
        <v>Light</v>
      </c>
      <c r="P895" t="str">
        <f>_xlfn.XLOOKUP(worksheet[[#This Row],[Customer ID]],customers!$A$1:$A$1001,customers!$I$1:$I$1001,0)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
        <v>6222</v>
      </c>
      <c r="H896" s="2" t="str">
        <f>_xlfn.XLOOKUP(C896,customers!$A$1:$A$1001,customers!$G$1:$G$1001,0)</f>
        <v>Ireland</v>
      </c>
      <c r="I896" t="str">
        <f>_xlfn.XLOOKUP(D896,products!$A$1:$A$49,products!$B$1:$B$49,0)</f>
        <v>Rob</v>
      </c>
      <c r="J896" t="str">
        <f>_xlfn.XLOOKUP(worksheet!D896,products!$A$1:$A$49,products!$C$1:$C$49,0)</f>
        <v>D</v>
      </c>
      <c r="K896" s="5">
        <f>_xlfn.XLOOKUP(worksheet!D896,products!$A$1:$A$49,products!$D$1:$D$49,0)</f>
        <v>2.5</v>
      </c>
      <c r="L896" s="6">
        <f>_xlfn.XLOOKUP(worksheet!D896,products!$A$1:$A$49,products!$E$1:$E$49,0)</f>
        <v>20.584999999999997</v>
      </c>
      <c r="M896" s="6">
        <f>worksheet!E896*worksheet!L896</f>
        <v>82.339999999999989</v>
      </c>
      <c r="N896" t="str">
        <f t="shared" si="26"/>
        <v>Robusta</v>
      </c>
      <c r="O896" t="str">
        <f t="shared" si="27"/>
        <v>Dark</v>
      </c>
      <c r="P896" t="str">
        <f>_xlfn.XLOOKUP(worksheet[[#This Row],[Customer ID]],customers!$A$1:$A$1001,customers!$I$1:$I$1001,0)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
        <v>6222</v>
      </c>
      <c r="H897" s="2" t="str">
        <f>_xlfn.XLOOKUP(C897,customers!$A$1:$A$1001,customers!$G$1:$G$1001,0)</f>
        <v>United States</v>
      </c>
      <c r="I897" t="str">
        <f>_xlfn.XLOOKUP(D897,products!$A$1:$A$49,products!$B$1:$B$49,0)</f>
        <v>Exc</v>
      </c>
      <c r="J897" t="str">
        <f>_xlfn.XLOOKUP(worksheet!D897,products!$A$1:$A$49,products!$C$1:$C$49,0)</f>
        <v>M</v>
      </c>
      <c r="K897" s="5">
        <f>_xlfn.XLOOKUP(worksheet!D897,products!$A$1:$A$49,products!$D$1:$D$49,0)</f>
        <v>2.5</v>
      </c>
      <c r="L897" s="6">
        <f>_xlfn.XLOOKUP(worksheet!D897,products!$A$1:$A$49,products!$E$1:$E$49,0)</f>
        <v>31.624999999999996</v>
      </c>
      <c r="M897" s="6">
        <f>worksheet!E897*worksheet!L897</f>
        <v>158.12499999999997</v>
      </c>
      <c r="N897" t="str">
        <f t="shared" si="26"/>
        <v>Excelsa</v>
      </c>
      <c r="O897" t="str">
        <f t="shared" si="27"/>
        <v>Medium</v>
      </c>
      <c r="P897" t="str">
        <f>_xlfn.XLOOKUP(worksheet[[#This Row],[Customer ID]],customers!$A$1:$A$1001,customers!$I$1:$I$1001,0)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
        <v>5561</v>
      </c>
      <c r="H898" s="2" t="str">
        <f>_xlfn.XLOOKUP(C898,customers!$A$1:$A$1001,customers!$G$1:$G$1001,0)</f>
        <v>United States</v>
      </c>
      <c r="I898" t="str">
        <f>_xlfn.XLOOKUP(D898,products!$A$1:$A$49,products!$B$1:$B$49,0)</f>
        <v>Rob</v>
      </c>
      <c r="J898" t="str">
        <f>_xlfn.XLOOKUP(worksheet!D898,products!$A$1:$A$49,products!$C$1:$C$49,0)</f>
        <v>D</v>
      </c>
      <c r="K898" s="5">
        <f>_xlfn.XLOOKUP(worksheet!D898,products!$A$1:$A$49,products!$D$1:$D$49,0)</f>
        <v>0.5</v>
      </c>
      <c r="L898" s="6">
        <f>_xlfn.XLOOKUP(worksheet!D898,products!$A$1:$A$49,products!$E$1:$E$49,0)</f>
        <v>5.3699999999999992</v>
      </c>
      <c r="M898" s="6">
        <f>worksheet!E898*worksheet!L898</f>
        <v>32.22</v>
      </c>
      <c r="N898" t="str">
        <f t="shared" si="26"/>
        <v>Robusta</v>
      </c>
      <c r="O898" t="str">
        <f t="shared" si="27"/>
        <v>Dark</v>
      </c>
      <c r="P898" t="str">
        <f>_xlfn.XLOOKUP(worksheet[[#This Row],[Customer ID]],customers!$A$1:$A$1001,customers!$I$1:$I$1001,0)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
        <v>5567</v>
      </c>
      <c r="H899" s="2" t="str">
        <f>_xlfn.XLOOKUP(C899,customers!$A$1:$A$1001,customers!$G$1:$G$1001,0)</f>
        <v>United Kingdom</v>
      </c>
      <c r="I899" t="str">
        <f>_xlfn.XLOOKUP(D899,products!$A$1:$A$49,products!$B$1:$B$49,0)</f>
        <v>Exc</v>
      </c>
      <c r="J899" t="str">
        <f>_xlfn.XLOOKUP(worksheet!D899,products!$A$1:$A$49,products!$C$1:$C$49,0)</f>
        <v>D</v>
      </c>
      <c r="K899" s="5">
        <f>_xlfn.XLOOKUP(worksheet!D899,products!$A$1:$A$49,products!$D$1:$D$49,0)</f>
        <v>1</v>
      </c>
      <c r="L899" s="6">
        <f>_xlfn.XLOOKUP(worksheet!D899,products!$A$1:$A$49,products!$E$1:$E$49,0)</f>
        <v>12.15</v>
      </c>
      <c r="M899" s="6">
        <f>worksheet!E899*worksheet!L899</f>
        <v>24.3</v>
      </c>
      <c r="N899" t="str">
        <f t="shared" ref="N899:N962" si="28">IF(I899="Rob","Robusta",IF(I899="Exc","Excelsa",IF(I899="Ara","Arabica",IF(I899="Lib","Liberica",""))))</f>
        <v>Excelsa</v>
      </c>
      <c r="O899" t="str">
        <f t="shared" ref="O899:O962" si="29">IF(J899="M","Medium",IF(J899="L","Light",IF(J899="D","Dark","")))</f>
        <v>Dark</v>
      </c>
      <c r="P899" t="str">
        <f>_xlfn.XLOOKUP(worksheet[[#This Row],[Customer ID]],customers!$A$1:$A$1001,customers!$I$1:$I$1001,0)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
        <v>6222</v>
      </c>
      <c r="H900" s="2" t="str">
        <f>_xlfn.XLOOKUP(C900,customers!$A$1:$A$1001,customers!$G$1:$G$1001,0)</f>
        <v>United States</v>
      </c>
      <c r="I900" t="str">
        <f>_xlfn.XLOOKUP(D900,products!$A$1:$A$49,products!$B$1:$B$49,0)</f>
        <v>Rob</v>
      </c>
      <c r="J900" t="str">
        <f>_xlfn.XLOOKUP(worksheet!D900,products!$A$1:$A$49,products!$C$1:$C$49,0)</f>
        <v>L</v>
      </c>
      <c r="K900" s="5">
        <f>_xlfn.XLOOKUP(worksheet!D900,products!$A$1:$A$49,products!$D$1:$D$49,0)</f>
        <v>0.5</v>
      </c>
      <c r="L900" s="6">
        <f>_xlfn.XLOOKUP(worksheet!D900,products!$A$1:$A$49,products!$E$1:$E$49,0)</f>
        <v>7.169999999999999</v>
      </c>
      <c r="M900" s="6">
        <f>worksheet!E900*worksheet!L900</f>
        <v>35.849999999999994</v>
      </c>
      <c r="N900" t="str">
        <f t="shared" si="28"/>
        <v>Robusta</v>
      </c>
      <c r="O900" t="str">
        <f t="shared" si="29"/>
        <v>Light</v>
      </c>
      <c r="P900" t="str">
        <f>_xlfn.XLOOKUP(worksheet[[#This Row],[Customer ID]],customers!$A$1:$A$1001,customers!$I$1:$I$1001,0)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
        <v>6222</v>
      </c>
      <c r="H901" s="2" t="str">
        <f>_xlfn.XLOOKUP(C901,customers!$A$1:$A$1001,customers!$G$1:$G$1001,0)</f>
        <v>United States</v>
      </c>
      <c r="I901" t="str">
        <f>_xlfn.XLOOKUP(D901,products!$A$1:$A$49,products!$B$1:$B$49,0)</f>
        <v>Lib</v>
      </c>
      <c r="J901" t="str">
        <f>_xlfn.XLOOKUP(worksheet!D901,products!$A$1:$A$49,products!$C$1:$C$49,0)</f>
        <v>M</v>
      </c>
      <c r="K901" s="5">
        <f>_xlfn.XLOOKUP(worksheet!D901,products!$A$1:$A$49,products!$D$1:$D$49,0)</f>
        <v>1</v>
      </c>
      <c r="L901" s="6">
        <f>_xlfn.XLOOKUP(worksheet!D901,products!$A$1:$A$49,products!$E$1:$E$49,0)</f>
        <v>14.55</v>
      </c>
      <c r="M901" s="6">
        <f>worksheet!E901*worksheet!L901</f>
        <v>72.75</v>
      </c>
      <c r="N901" t="str">
        <f t="shared" si="28"/>
        <v>Liberica</v>
      </c>
      <c r="O901" t="str">
        <f t="shared" si="29"/>
        <v>Medium</v>
      </c>
      <c r="P901" t="str">
        <f>_xlfn.XLOOKUP(worksheet[[#This Row],[Customer ID]],customers!$A$1:$A$1001,customers!$I$1:$I$1001,0)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
        <v>6222</v>
      </c>
      <c r="H902" s="2" t="str">
        <f>_xlfn.XLOOKUP(C902,customers!$A$1:$A$1001,customers!$G$1:$G$1001,0)</f>
        <v>Ireland</v>
      </c>
      <c r="I902" t="str">
        <f>_xlfn.XLOOKUP(D902,products!$A$1:$A$49,products!$B$1:$B$49,0)</f>
        <v>Lib</v>
      </c>
      <c r="J902" t="str">
        <f>_xlfn.XLOOKUP(worksheet!D902,products!$A$1:$A$49,products!$C$1:$C$49,0)</f>
        <v>L</v>
      </c>
      <c r="K902" s="5">
        <f>_xlfn.XLOOKUP(worksheet!D902,products!$A$1:$A$49,products!$D$1:$D$49,0)</f>
        <v>1</v>
      </c>
      <c r="L902" s="6">
        <f>_xlfn.XLOOKUP(worksheet!D902,products!$A$1:$A$49,products!$E$1:$E$49,0)</f>
        <v>15.85</v>
      </c>
      <c r="M902" s="6">
        <f>worksheet!E902*worksheet!L902</f>
        <v>47.55</v>
      </c>
      <c r="N902" t="str">
        <f t="shared" si="28"/>
        <v>Liberica</v>
      </c>
      <c r="O902" t="str">
        <f t="shared" si="29"/>
        <v>Light</v>
      </c>
      <c r="P902" t="str">
        <f>_xlfn.XLOOKUP(worksheet[[#This Row],[Customer ID]],customers!$A$1:$A$1001,customers!$I$1:$I$1001,0)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
        <v>5588</v>
      </c>
      <c r="H903" s="2" t="str">
        <f>_xlfn.XLOOKUP(C903,customers!$A$1:$A$1001,customers!$G$1:$G$1001,0)</f>
        <v>United States</v>
      </c>
      <c r="I903" t="str">
        <f>_xlfn.XLOOKUP(D903,products!$A$1:$A$49,products!$B$1:$B$49,0)</f>
        <v>Rob</v>
      </c>
      <c r="J903" t="str">
        <f>_xlfn.XLOOKUP(worksheet!D903,products!$A$1:$A$49,products!$C$1:$C$49,0)</f>
        <v>L</v>
      </c>
      <c r="K903" s="5">
        <f>_xlfn.XLOOKUP(worksheet!D903,products!$A$1:$A$49,products!$D$1:$D$49,0)</f>
        <v>0.2</v>
      </c>
      <c r="L903" s="6">
        <f>_xlfn.XLOOKUP(worksheet!D903,products!$A$1:$A$49,products!$E$1:$E$49,0)</f>
        <v>3.5849999999999995</v>
      </c>
      <c r="M903" s="6">
        <f>worksheet!E903*worksheet!L903</f>
        <v>3.5849999999999995</v>
      </c>
      <c r="N903" t="str">
        <f t="shared" si="28"/>
        <v>Robusta</v>
      </c>
      <c r="O903" t="str">
        <f t="shared" si="29"/>
        <v>Light</v>
      </c>
      <c r="P903" t="str">
        <f>_xlfn.XLOOKUP(worksheet[[#This Row],[Customer ID]],customers!$A$1:$A$1001,customers!$I$1:$I$1001,0)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
        <v>5594</v>
      </c>
      <c r="H904" s="2" t="str">
        <f>_xlfn.XLOOKUP(C904,customers!$A$1:$A$1001,customers!$G$1:$G$1001,0)</f>
        <v>United States</v>
      </c>
      <c r="I904" t="str">
        <f>_xlfn.XLOOKUP(D904,products!$A$1:$A$49,products!$B$1:$B$49,0)</f>
        <v>Exc</v>
      </c>
      <c r="J904" t="str">
        <f>_xlfn.XLOOKUP(worksheet!D904,products!$A$1:$A$49,products!$C$1:$C$49,0)</f>
        <v>M</v>
      </c>
      <c r="K904" s="5">
        <f>_xlfn.XLOOKUP(worksheet!D904,products!$A$1:$A$49,products!$D$1:$D$49,0)</f>
        <v>2.5</v>
      </c>
      <c r="L904" s="6">
        <f>_xlfn.XLOOKUP(worksheet!D904,products!$A$1:$A$49,products!$E$1:$E$49,0)</f>
        <v>31.624999999999996</v>
      </c>
      <c r="M904" s="6">
        <f>worksheet!E904*worksheet!L904</f>
        <v>158.12499999999997</v>
      </c>
      <c r="N904" t="str">
        <f t="shared" si="28"/>
        <v>Excelsa</v>
      </c>
      <c r="O904" t="str">
        <f t="shared" si="29"/>
        <v>Medium</v>
      </c>
      <c r="P904" t="str">
        <f>_xlfn.XLOOKUP(worksheet[[#This Row],[Customer ID]],customers!$A$1:$A$1001,customers!$I$1:$I$1001,0)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
        <v>5600</v>
      </c>
      <c r="H905" s="2" t="str">
        <f>_xlfn.XLOOKUP(C905,customers!$A$1:$A$1001,customers!$G$1:$G$1001,0)</f>
        <v>United States</v>
      </c>
      <c r="I905" t="str">
        <f>_xlfn.XLOOKUP(D905,products!$A$1:$A$49,products!$B$1:$B$49,0)</f>
        <v>Lib</v>
      </c>
      <c r="J905" t="str">
        <f>_xlfn.XLOOKUP(worksheet!D905,products!$A$1:$A$49,products!$C$1:$C$49,0)</f>
        <v>M</v>
      </c>
      <c r="K905" s="5">
        <f>_xlfn.XLOOKUP(worksheet!D905,products!$A$1:$A$49,products!$D$1:$D$49,0)</f>
        <v>0.5</v>
      </c>
      <c r="L905" s="6">
        <f>_xlfn.XLOOKUP(worksheet!D905,products!$A$1:$A$49,products!$E$1:$E$49,0)</f>
        <v>8.73</v>
      </c>
      <c r="M905" s="6">
        <f>worksheet!E905*worksheet!L905</f>
        <v>17.46</v>
      </c>
      <c r="N905" t="str">
        <f t="shared" si="28"/>
        <v>Liberica</v>
      </c>
      <c r="O905" t="str">
        <f t="shared" si="29"/>
        <v>Medium</v>
      </c>
      <c r="P905" t="str">
        <f>_xlfn.XLOOKUP(worksheet[[#This Row],[Customer ID]],customers!$A$1:$A$1001,customers!$I$1:$I$1001,0)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
        <v>5606</v>
      </c>
      <c r="H906" s="2" t="str">
        <f>_xlfn.XLOOKUP(C906,customers!$A$1:$A$1001,customers!$G$1:$G$1001,0)</f>
        <v>United States</v>
      </c>
      <c r="I906" t="str">
        <f>_xlfn.XLOOKUP(D906,products!$A$1:$A$49,products!$B$1:$B$49,0)</f>
        <v>Ara</v>
      </c>
      <c r="J906" t="str">
        <f>_xlfn.XLOOKUP(worksheet!D906,products!$A$1:$A$49,products!$C$1:$C$49,0)</f>
        <v>L</v>
      </c>
      <c r="K906" s="5">
        <f>_xlfn.XLOOKUP(worksheet!D906,products!$A$1:$A$49,products!$D$1:$D$49,0)</f>
        <v>2.5</v>
      </c>
      <c r="L906" s="6">
        <f>_xlfn.XLOOKUP(worksheet!D906,products!$A$1:$A$49,products!$E$1:$E$49,0)</f>
        <v>29.784999999999997</v>
      </c>
      <c r="M906" s="6">
        <f>worksheet!E906*worksheet!L906</f>
        <v>148.92499999999998</v>
      </c>
      <c r="N906" t="str">
        <f t="shared" si="28"/>
        <v>Arabica</v>
      </c>
      <c r="O906" t="str">
        <f t="shared" si="29"/>
        <v>Light</v>
      </c>
      <c r="P906" t="str">
        <f>_xlfn.XLOOKUP(worksheet[[#This Row],[Customer ID]],customers!$A$1:$A$1001,customers!$I$1:$I$1001,0)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
        <v>6222</v>
      </c>
      <c r="H907" s="2" t="str">
        <f>_xlfn.XLOOKUP(C907,customers!$A$1:$A$1001,customers!$G$1:$G$1001,0)</f>
        <v>United States</v>
      </c>
      <c r="I907" t="str">
        <f>_xlfn.XLOOKUP(D907,products!$A$1:$A$49,products!$B$1:$B$49,0)</f>
        <v>Ara</v>
      </c>
      <c r="J907" t="str">
        <f>_xlfn.XLOOKUP(worksheet!D907,products!$A$1:$A$49,products!$C$1:$C$49,0)</f>
        <v>M</v>
      </c>
      <c r="K907" s="5">
        <f>_xlfn.XLOOKUP(worksheet!D907,products!$A$1:$A$49,products!$D$1:$D$49,0)</f>
        <v>0.5</v>
      </c>
      <c r="L907" s="6">
        <f>_xlfn.XLOOKUP(worksheet!D907,products!$A$1:$A$49,products!$E$1:$E$49,0)</f>
        <v>6.75</v>
      </c>
      <c r="M907" s="6">
        <f>worksheet!E907*worksheet!L907</f>
        <v>40.5</v>
      </c>
      <c r="N907" t="str">
        <f t="shared" si="28"/>
        <v>Arabica</v>
      </c>
      <c r="O907" t="str">
        <f t="shared" si="29"/>
        <v>Medium</v>
      </c>
      <c r="P907" t="str">
        <f>_xlfn.XLOOKUP(worksheet[[#This Row],[Customer ID]],customers!$A$1:$A$1001,customers!$I$1:$I$1001,0)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
        <v>5617</v>
      </c>
      <c r="H908" s="2" t="str">
        <f>_xlfn.XLOOKUP(C908,customers!$A$1:$A$1001,customers!$G$1:$G$1001,0)</f>
        <v>United States</v>
      </c>
      <c r="I908" t="str">
        <f>_xlfn.XLOOKUP(D908,products!$A$1:$A$49,products!$B$1:$B$49,0)</f>
        <v>Ara</v>
      </c>
      <c r="J908" t="str">
        <f>_xlfn.XLOOKUP(worksheet!D908,products!$A$1:$A$49,products!$C$1:$C$49,0)</f>
        <v>M</v>
      </c>
      <c r="K908" s="5">
        <f>_xlfn.XLOOKUP(worksheet!D908,products!$A$1:$A$49,products!$D$1:$D$49,0)</f>
        <v>0.5</v>
      </c>
      <c r="L908" s="6">
        <f>_xlfn.XLOOKUP(worksheet!D908,products!$A$1:$A$49,products!$E$1:$E$49,0)</f>
        <v>6.75</v>
      </c>
      <c r="M908" s="6">
        <f>worksheet!E908*worksheet!L908</f>
        <v>27</v>
      </c>
      <c r="N908" t="str">
        <f t="shared" si="28"/>
        <v>Arabica</v>
      </c>
      <c r="O908" t="str">
        <f t="shared" si="29"/>
        <v>Medium</v>
      </c>
      <c r="P908" t="str">
        <f>_xlfn.XLOOKUP(worksheet[[#This Row],[Customer ID]],customers!$A$1:$A$1001,customers!$I$1:$I$1001,0)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
        <v>5623</v>
      </c>
      <c r="H909" s="2" t="str">
        <f>_xlfn.XLOOKUP(C909,customers!$A$1:$A$1001,customers!$G$1:$G$1001,0)</f>
        <v>United States</v>
      </c>
      <c r="I909" t="str">
        <f>_xlfn.XLOOKUP(D909,products!$A$1:$A$49,products!$B$1:$B$49,0)</f>
        <v>Lib</v>
      </c>
      <c r="J909" t="str">
        <f>_xlfn.XLOOKUP(worksheet!D909,products!$A$1:$A$49,products!$C$1:$C$49,0)</f>
        <v>D</v>
      </c>
      <c r="K909" s="5">
        <f>_xlfn.XLOOKUP(worksheet!D909,products!$A$1:$A$49,products!$D$1:$D$49,0)</f>
        <v>1</v>
      </c>
      <c r="L909" s="6">
        <f>_xlfn.XLOOKUP(worksheet!D909,products!$A$1:$A$49,products!$E$1:$E$49,0)</f>
        <v>12.95</v>
      </c>
      <c r="M909" s="6">
        <f>worksheet!E909*worksheet!L909</f>
        <v>38.849999999999994</v>
      </c>
      <c r="N909" t="str">
        <f t="shared" si="28"/>
        <v>Liberica</v>
      </c>
      <c r="O909" t="str">
        <f t="shared" si="29"/>
        <v>Dark</v>
      </c>
      <c r="P909" t="str">
        <f>_xlfn.XLOOKUP(worksheet[[#This Row],[Customer ID]],customers!$A$1:$A$1001,customers!$I$1:$I$1001,0)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
        <v>5629</v>
      </c>
      <c r="H910" s="2" t="str">
        <f>_xlfn.XLOOKUP(C910,customers!$A$1:$A$1001,customers!$G$1:$G$1001,0)</f>
        <v>United States</v>
      </c>
      <c r="I910" t="str">
        <f>_xlfn.XLOOKUP(D910,products!$A$1:$A$49,products!$B$1:$B$49,0)</f>
        <v>Rob</v>
      </c>
      <c r="J910" t="str">
        <f>_xlfn.XLOOKUP(worksheet!D910,products!$A$1:$A$49,products!$C$1:$C$49,0)</f>
        <v>L</v>
      </c>
      <c r="K910" s="5">
        <f>_xlfn.XLOOKUP(worksheet!D910,products!$A$1:$A$49,products!$D$1:$D$49,0)</f>
        <v>1</v>
      </c>
      <c r="L910" s="6">
        <f>_xlfn.XLOOKUP(worksheet!D910,products!$A$1:$A$49,products!$E$1:$E$49,0)</f>
        <v>11.95</v>
      </c>
      <c r="M910" s="6">
        <f>worksheet!E910*worksheet!L910</f>
        <v>59.75</v>
      </c>
      <c r="N910" t="str">
        <f t="shared" si="28"/>
        <v>Robusta</v>
      </c>
      <c r="O910" t="str">
        <f t="shared" si="29"/>
        <v>Light</v>
      </c>
      <c r="P910" t="str">
        <f>_xlfn.XLOOKUP(worksheet[[#This Row],[Customer ID]],customers!$A$1:$A$1001,customers!$I$1:$I$1001,0)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
        <v>6222</v>
      </c>
      <c r="H911" s="2" t="str">
        <f>_xlfn.XLOOKUP(C911,customers!$A$1:$A$1001,customers!$G$1:$G$1001,0)</f>
        <v>United States</v>
      </c>
      <c r="I911" t="str">
        <f>_xlfn.XLOOKUP(D911,products!$A$1:$A$49,products!$B$1:$B$49,0)</f>
        <v>Rob</v>
      </c>
      <c r="J911" t="str">
        <f>_xlfn.XLOOKUP(worksheet!D911,products!$A$1:$A$49,products!$C$1:$C$49,0)</f>
        <v>L</v>
      </c>
      <c r="K911" s="5">
        <f>_xlfn.XLOOKUP(worksheet!D911,products!$A$1:$A$49,products!$D$1:$D$49,0)</f>
        <v>0.2</v>
      </c>
      <c r="L911" s="6">
        <f>_xlfn.XLOOKUP(worksheet!D911,products!$A$1:$A$49,products!$E$1:$E$49,0)</f>
        <v>3.5849999999999995</v>
      </c>
      <c r="M911" s="6">
        <f>worksheet!E911*worksheet!L911</f>
        <v>10.754999999999999</v>
      </c>
      <c r="N911" t="str">
        <f t="shared" si="28"/>
        <v>Robusta</v>
      </c>
      <c r="O911" t="str">
        <f t="shared" si="29"/>
        <v>Light</v>
      </c>
      <c r="P911" t="str">
        <f>_xlfn.XLOOKUP(worksheet[[#This Row],[Customer ID]],customers!$A$1:$A$1001,customers!$I$1:$I$1001,0)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
        <v>5640</v>
      </c>
      <c r="H912" s="2" t="str">
        <f>_xlfn.XLOOKUP(C912,customers!$A$1:$A$1001,customers!$G$1:$G$1001,0)</f>
        <v>United States</v>
      </c>
      <c r="I912" t="str">
        <f>_xlfn.XLOOKUP(D912,products!$A$1:$A$49,products!$B$1:$B$49,0)</f>
        <v>Ara</v>
      </c>
      <c r="J912" t="str">
        <f>_xlfn.XLOOKUP(worksheet!D912,products!$A$1:$A$49,products!$C$1:$C$49,0)</f>
        <v>D</v>
      </c>
      <c r="K912" s="5">
        <f>_xlfn.XLOOKUP(worksheet!D912,products!$A$1:$A$49,products!$D$1:$D$49,0)</f>
        <v>2.5</v>
      </c>
      <c r="L912" s="6">
        <f>_xlfn.XLOOKUP(worksheet!D912,products!$A$1:$A$49,products!$E$1:$E$49,0)</f>
        <v>22.884999999999998</v>
      </c>
      <c r="M912" s="6">
        <f>worksheet!E912*worksheet!L912</f>
        <v>91.539999999999992</v>
      </c>
      <c r="N912" t="str">
        <f t="shared" si="28"/>
        <v>Arabica</v>
      </c>
      <c r="O912" t="str">
        <f t="shared" si="29"/>
        <v>Dark</v>
      </c>
      <c r="P912" t="str">
        <f>_xlfn.XLOOKUP(worksheet[[#This Row],[Customer ID]],customers!$A$1:$A$1001,customers!$I$1:$I$1001,0)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
        <v>5646</v>
      </c>
      <c r="H913" s="2" t="str">
        <f>_xlfn.XLOOKUP(C913,customers!$A$1:$A$1001,customers!$G$1:$G$1001,0)</f>
        <v>United States</v>
      </c>
      <c r="I913" t="str">
        <f>_xlfn.XLOOKUP(D913,products!$A$1:$A$49,products!$B$1:$B$49,0)</f>
        <v>Ara</v>
      </c>
      <c r="J913" t="str">
        <f>_xlfn.XLOOKUP(worksheet!D913,products!$A$1:$A$49,products!$C$1:$C$49,0)</f>
        <v>M</v>
      </c>
      <c r="K913" s="5">
        <f>_xlfn.XLOOKUP(worksheet!D913,products!$A$1:$A$49,products!$D$1:$D$49,0)</f>
        <v>1</v>
      </c>
      <c r="L913" s="6">
        <f>_xlfn.XLOOKUP(worksheet!D913,products!$A$1:$A$49,products!$E$1:$E$49,0)</f>
        <v>11.25</v>
      </c>
      <c r="M913" s="6">
        <f>worksheet!E913*worksheet!L913</f>
        <v>45</v>
      </c>
      <c r="N913" t="str">
        <f t="shared" si="28"/>
        <v>Arabica</v>
      </c>
      <c r="O913" t="str">
        <f t="shared" si="29"/>
        <v>Medium</v>
      </c>
      <c r="P913" t="str">
        <f>_xlfn.XLOOKUP(worksheet[[#This Row],[Customer ID]],customers!$A$1:$A$1001,customers!$I$1:$I$1001,0)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
        <v>6222</v>
      </c>
      <c r="H914" s="2" t="str">
        <f>_xlfn.XLOOKUP(C914,customers!$A$1:$A$1001,customers!$G$1:$G$1001,0)</f>
        <v>United States</v>
      </c>
      <c r="I914" t="str">
        <f>_xlfn.XLOOKUP(D914,products!$A$1:$A$49,products!$B$1:$B$49,0)</f>
        <v>Rob</v>
      </c>
      <c r="J914" t="str">
        <f>_xlfn.XLOOKUP(worksheet!D914,products!$A$1:$A$49,products!$C$1:$C$49,0)</f>
        <v>M</v>
      </c>
      <c r="K914" s="5">
        <f>_xlfn.XLOOKUP(worksheet!D914,products!$A$1:$A$49,products!$D$1:$D$49,0)</f>
        <v>2.5</v>
      </c>
      <c r="L914" s="6">
        <f>_xlfn.XLOOKUP(worksheet!D914,products!$A$1:$A$49,products!$E$1:$E$49,0)</f>
        <v>22.884999999999998</v>
      </c>
      <c r="M914" s="6">
        <f>worksheet!E914*worksheet!L914</f>
        <v>137.31</v>
      </c>
      <c r="N914" t="str">
        <f t="shared" si="28"/>
        <v>Robusta</v>
      </c>
      <c r="O914" t="str">
        <f t="shared" si="29"/>
        <v>Medium</v>
      </c>
      <c r="P914" t="str">
        <f>_xlfn.XLOOKUP(worksheet[[#This Row],[Customer ID]],customers!$A$1:$A$1001,customers!$I$1:$I$1001,0)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
        <v>5657</v>
      </c>
      <c r="H915" s="2" t="str">
        <f>_xlfn.XLOOKUP(C915,customers!$A$1:$A$1001,customers!$G$1:$G$1001,0)</f>
        <v>United States</v>
      </c>
      <c r="I915" t="str">
        <f>_xlfn.XLOOKUP(D915,products!$A$1:$A$49,products!$B$1:$B$49,0)</f>
        <v>Ara</v>
      </c>
      <c r="J915" t="str">
        <f>_xlfn.XLOOKUP(worksheet!D915,products!$A$1:$A$49,products!$C$1:$C$49,0)</f>
        <v>M</v>
      </c>
      <c r="K915" s="5">
        <f>_xlfn.XLOOKUP(worksheet!D915,products!$A$1:$A$49,products!$D$1:$D$49,0)</f>
        <v>0.5</v>
      </c>
      <c r="L915" s="6">
        <f>_xlfn.XLOOKUP(worksheet!D915,products!$A$1:$A$49,products!$E$1:$E$49,0)</f>
        <v>6.75</v>
      </c>
      <c r="M915" s="6">
        <f>worksheet!E915*worksheet!L915</f>
        <v>6.75</v>
      </c>
      <c r="N915" t="str">
        <f t="shared" si="28"/>
        <v>Arabica</v>
      </c>
      <c r="O915" t="str">
        <f t="shared" si="29"/>
        <v>Medium</v>
      </c>
      <c r="P915" t="str">
        <f>_xlfn.XLOOKUP(worksheet[[#This Row],[Customer ID]],customers!$A$1:$A$1001,customers!$I$1:$I$1001,0)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
        <v>5663</v>
      </c>
      <c r="H916" s="2" t="str">
        <f>_xlfn.XLOOKUP(C916,customers!$A$1:$A$1001,customers!$G$1:$G$1001,0)</f>
        <v>United States</v>
      </c>
      <c r="I916" t="str">
        <f>_xlfn.XLOOKUP(D916,products!$A$1:$A$49,products!$B$1:$B$49,0)</f>
        <v>Ara</v>
      </c>
      <c r="J916" t="str">
        <f>_xlfn.XLOOKUP(worksheet!D916,products!$A$1:$A$49,products!$C$1:$C$49,0)</f>
        <v>M</v>
      </c>
      <c r="K916" s="5">
        <f>_xlfn.XLOOKUP(worksheet!D916,products!$A$1:$A$49,products!$D$1:$D$49,0)</f>
        <v>1</v>
      </c>
      <c r="L916" s="6">
        <f>_xlfn.XLOOKUP(worksheet!D916,products!$A$1:$A$49,products!$E$1:$E$49,0)</f>
        <v>11.25</v>
      </c>
      <c r="M916" s="6">
        <f>worksheet!E916*worksheet!L916</f>
        <v>45</v>
      </c>
      <c r="N916" t="str">
        <f t="shared" si="28"/>
        <v>Arabica</v>
      </c>
      <c r="O916" t="str">
        <f t="shared" si="29"/>
        <v>Medium</v>
      </c>
      <c r="P916" t="str">
        <f>_xlfn.XLOOKUP(worksheet[[#This Row],[Customer ID]],customers!$A$1:$A$1001,customers!$I$1:$I$1001,0)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
        <v>5669</v>
      </c>
      <c r="H917" s="2" t="str">
        <f>_xlfn.XLOOKUP(C917,customers!$A$1:$A$1001,customers!$G$1:$G$1001,0)</f>
        <v>United States</v>
      </c>
      <c r="I917" t="str">
        <f>_xlfn.XLOOKUP(D917,products!$A$1:$A$49,products!$B$1:$B$49,0)</f>
        <v>Exc</v>
      </c>
      <c r="J917" t="str">
        <f>_xlfn.XLOOKUP(worksheet!D917,products!$A$1:$A$49,products!$C$1:$C$49,0)</f>
        <v>D</v>
      </c>
      <c r="K917" s="5">
        <f>_xlfn.XLOOKUP(worksheet!D917,products!$A$1:$A$49,products!$D$1:$D$49,0)</f>
        <v>2.5</v>
      </c>
      <c r="L917" s="6">
        <f>_xlfn.XLOOKUP(worksheet!D917,products!$A$1:$A$49,products!$E$1:$E$49,0)</f>
        <v>27.945</v>
      </c>
      <c r="M917" s="6">
        <f>worksheet!E917*worksheet!L917</f>
        <v>83.835000000000008</v>
      </c>
      <c r="N917" t="str">
        <f t="shared" si="28"/>
        <v>Excelsa</v>
      </c>
      <c r="O917" t="str">
        <f t="shared" si="29"/>
        <v>Dark</v>
      </c>
      <c r="P917" t="str">
        <f>_xlfn.XLOOKUP(worksheet[[#This Row],[Customer ID]],customers!$A$1:$A$1001,customers!$I$1:$I$1001,0)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
        <v>6222</v>
      </c>
      <c r="H918" s="2" t="str">
        <f>_xlfn.XLOOKUP(C918,customers!$A$1:$A$1001,customers!$G$1:$G$1001,0)</f>
        <v>Ireland</v>
      </c>
      <c r="I918" t="str">
        <f>_xlfn.XLOOKUP(D918,products!$A$1:$A$49,products!$B$1:$B$49,0)</f>
        <v>Exc</v>
      </c>
      <c r="J918" t="str">
        <f>_xlfn.XLOOKUP(worksheet!D918,products!$A$1:$A$49,products!$C$1:$C$49,0)</f>
        <v>D</v>
      </c>
      <c r="K918" s="5">
        <f>_xlfn.XLOOKUP(worksheet!D918,products!$A$1:$A$49,products!$D$1:$D$49,0)</f>
        <v>0.2</v>
      </c>
      <c r="L918" s="6">
        <f>_xlfn.XLOOKUP(worksheet!D918,products!$A$1:$A$49,products!$E$1:$E$49,0)</f>
        <v>3.645</v>
      </c>
      <c r="M918" s="6">
        <f>worksheet!E918*worksheet!L918</f>
        <v>3.645</v>
      </c>
      <c r="N918" t="str">
        <f t="shared" si="28"/>
        <v>Excelsa</v>
      </c>
      <c r="O918" t="str">
        <f t="shared" si="29"/>
        <v>Dark</v>
      </c>
      <c r="P918" t="str">
        <f>_xlfn.XLOOKUP(worksheet[[#This Row],[Customer ID]],customers!$A$1:$A$1001,customers!$I$1:$I$1001,0)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
        <v>5679</v>
      </c>
      <c r="H919" s="2" t="str">
        <f>_xlfn.XLOOKUP(C919,customers!$A$1:$A$1001,customers!$G$1:$G$1001,0)</f>
        <v>United Kingdom</v>
      </c>
      <c r="I919" t="str">
        <f>_xlfn.XLOOKUP(D919,products!$A$1:$A$49,products!$B$1:$B$49,0)</f>
        <v>Ara</v>
      </c>
      <c r="J919" t="str">
        <f>_xlfn.XLOOKUP(worksheet!D919,products!$A$1:$A$49,products!$C$1:$C$49,0)</f>
        <v>M</v>
      </c>
      <c r="K919" s="5">
        <f>_xlfn.XLOOKUP(worksheet!D919,products!$A$1:$A$49,products!$D$1:$D$49,0)</f>
        <v>0.5</v>
      </c>
      <c r="L919" s="6">
        <f>_xlfn.XLOOKUP(worksheet!D919,products!$A$1:$A$49,products!$E$1:$E$49,0)</f>
        <v>6.75</v>
      </c>
      <c r="M919" s="6">
        <f>worksheet!E919*worksheet!L919</f>
        <v>6.75</v>
      </c>
      <c r="N919" t="str">
        <f t="shared" si="28"/>
        <v>Arabica</v>
      </c>
      <c r="O919" t="str">
        <f t="shared" si="29"/>
        <v>Medium</v>
      </c>
      <c r="P919" t="str">
        <f>_xlfn.XLOOKUP(worksheet[[#This Row],[Customer ID]],customers!$A$1:$A$1001,customers!$I$1:$I$1001,0)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
        <v>5679</v>
      </c>
      <c r="H920" s="2" t="str">
        <f>_xlfn.XLOOKUP(C920,customers!$A$1:$A$1001,customers!$G$1:$G$1001,0)</f>
        <v>United Kingdom</v>
      </c>
      <c r="I920" t="str">
        <f>_xlfn.XLOOKUP(D920,products!$A$1:$A$49,products!$B$1:$B$49,0)</f>
        <v>Exc</v>
      </c>
      <c r="J920" t="str">
        <f>_xlfn.XLOOKUP(worksheet!D920,products!$A$1:$A$49,products!$C$1:$C$49,0)</f>
        <v>D</v>
      </c>
      <c r="K920" s="5">
        <f>_xlfn.XLOOKUP(worksheet!D920,products!$A$1:$A$49,products!$D$1:$D$49,0)</f>
        <v>0.5</v>
      </c>
      <c r="L920" s="6">
        <f>_xlfn.XLOOKUP(worksheet!D920,products!$A$1:$A$49,products!$E$1:$E$49,0)</f>
        <v>7.29</v>
      </c>
      <c r="M920" s="6">
        <f>worksheet!E920*worksheet!L920</f>
        <v>21.87</v>
      </c>
      <c r="N920" t="str">
        <f t="shared" si="28"/>
        <v>Excelsa</v>
      </c>
      <c r="O920" t="str">
        <f t="shared" si="29"/>
        <v>Dark</v>
      </c>
      <c r="P920" t="str">
        <f>_xlfn.XLOOKUP(worksheet[[#This Row],[Customer ID]],customers!$A$1:$A$1001,customers!$I$1:$I$1001,0)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
        <v>5690</v>
      </c>
      <c r="H921" s="2" t="str">
        <f>_xlfn.XLOOKUP(C921,customers!$A$1:$A$1001,customers!$G$1:$G$1001,0)</f>
        <v>United States</v>
      </c>
      <c r="I921" t="str">
        <f>_xlfn.XLOOKUP(D921,products!$A$1:$A$49,products!$B$1:$B$49,0)</f>
        <v>Rob</v>
      </c>
      <c r="J921" t="str">
        <f>_xlfn.XLOOKUP(worksheet!D921,products!$A$1:$A$49,products!$C$1:$C$49,0)</f>
        <v>D</v>
      </c>
      <c r="K921" s="5">
        <f>_xlfn.XLOOKUP(worksheet!D921,products!$A$1:$A$49,products!$D$1:$D$49,0)</f>
        <v>0.2</v>
      </c>
      <c r="L921" s="6">
        <f>_xlfn.XLOOKUP(worksheet!D921,products!$A$1:$A$49,products!$E$1:$E$49,0)</f>
        <v>2.6849999999999996</v>
      </c>
      <c r="M921" s="6">
        <f>worksheet!E921*worksheet!L921</f>
        <v>13.424999999999997</v>
      </c>
      <c r="N921" t="str">
        <f t="shared" si="28"/>
        <v>Robusta</v>
      </c>
      <c r="O921" t="str">
        <f t="shared" si="29"/>
        <v>Dark</v>
      </c>
      <c r="P921" t="str">
        <f>_xlfn.XLOOKUP(worksheet[[#This Row],[Customer ID]],customers!$A$1:$A$1001,customers!$I$1:$I$1001,0)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
        <v>5696</v>
      </c>
      <c r="H922" s="2" t="str">
        <f>_xlfn.XLOOKUP(C922,customers!$A$1:$A$1001,customers!$G$1:$G$1001,0)</f>
        <v>United States</v>
      </c>
      <c r="I922" t="str">
        <f>_xlfn.XLOOKUP(D922,products!$A$1:$A$49,products!$B$1:$B$49,0)</f>
        <v>Rob</v>
      </c>
      <c r="J922" t="str">
        <f>_xlfn.XLOOKUP(worksheet!D922,products!$A$1:$A$49,products!$C$1:$C$49,0)</f>
        <v>D</v>
      </c>
      <c r="K922" s="5">
        <f>_xlfn.XLOOKUP(worksheet!D922,products!$A$1:$A$49,products!$D$1:$D$49,0)</f>
        <v>2.5</v>
      </c>
      <c r="L922" s="6">
        <f>_xlfn.XLOOKUP(worksheet!D922,products!$A$1:$A$49,products!$E$1:$E$49,0)</f>
        <v>20.584999999999997</v>
      </c>
      <c r="M922" s="6">
        <f>worksheet!E922*worksheet!L922</f>
        <v>123.50999999999999</v>
      </c>
      <c r="N922" t="str">
        <f t="shared" si="28"/>
        <v>Robusta</v>
      </c>
      <c r="O922" t="str">
        <f t="shared" si="29"/>
        <v>Dark</v>
      </c>
      <c r="P922" t="str">
        <f>_xlfn.XLOOKUP(worksheet[[#This Row],[Customer ID]],customers!$A$1:$A$1001,customers!$I$1:$I$1001,0)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
        <v>5702</v>
      </c>
      <c r="H923" s="2" t="str">
        <f>_xlfn.XLOOKUP(C923,customers!$A$1:$A$1001,customers!$G$1:$G$1001,0)</f>
        <v>United States</v>
      </c>
      <c r="I923" t="str">
        <f>_xlfn.XLOOKUP(D923,products!$A$1:$A$49,products!$B$1:$B$49,0)</f>
        <v>Lib</v>
      </c>
      <c r="J923" t="str">
        <f>_xlfn.XLOOKUP(worksheet!D923,products!$A$1:$A$49,products!$C$1:$C$49,0)</f>
        <v>D</v>
      </c>
      <c r="K923" s="5">
        <f>_xlfn.XLOOKUP(worksheet!D923,products!$A$1:$A$49,products!$D$1:$D$49,0)</f>
        <v>0.2</v>
      </c>
      <c r="L923" s="6">
        <f>_xlfn.XLOOKUP(worksheet!D923,products!$A$1:$A$49,products!$E$1:$E$49,0)</f>
        <v>3.8849999999999998</v>
      </c>
      <c r="M923" s="6">
        <f>worksheet!E923*worksheet!L923</f>
        <v>7.77</v>
      </c>
      <c r="N923" t="str">
        <f t="shared" si="28"/>
        <v>Liberica</v>
      </c>
      <c r="O923" t="str">
        <f t="shared" si="29"/>
        <v>Dark</v>
      </c>
      <c r="P923" t="str">
        <f>_xlfn.XLOOKUP(worksheet[[#This Row],[Customer ID]],customers!$A$1:$A$1001,customers!$I$1:$I$1001,0)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
        <v>6222</v>
      </c>
      <c r="H924" s="2" t="str">
        <f>_xlfn.XLOOKUP(C924,customers!$A$1:$A$1001,customers!$G$1:$G$1001,0)</f>
        <v>United States</v>
      </c>
      <c r="I924" t="str">
        <f>_xlfn.XLOOKUP(D924,products!$A$1:$A$49,products!$B$1:$B$49,0)</f>
        <v>Ara</v>
      </c>
      <c r="J924" t="str">
        <f>_xlfn.XLOOKUP(worksheet!D924,products!$A$1:$A$49,products!$C$1:$C$49,0)</f>
        <v>M</v>
      </c>
      <c r="K924" s="5">
        <f>_xlfn.XLOOKUP(worksheet!D924,products!$A$1:$A$49,products!$D$1:$D$49,0)</f>
        <v>1</v>
      </c>
      <c r="L924" s="6">
        <f>_xlfn.XLOOKUP(worksheet!D924,products!$A$1:$A$49,products!$E$1:$E$49,0)</f>
        <v>11.25</v>
      </c>
      <c r="M924" s="6">
        <f>worksheet!E924*worksheet!L924</f>
        <v>67.5</v>
      </c>
      <c r="N924" t="str">
        <f t="shared" si="28"/>
        <v>Arabica</v>
      </c>
      <c r="O924" t="str">
        <f t="shared" si="29"/>
        <v>Medium</v>
      </c>
      <c r="P924" t="str">
        <f>_xlfn.XLOOKUP(worksheet[[#This Row],[Customer ID]],customers!$A$1:$A$1001,customers!$I$1:$I$1001,0)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
        <v>5712</v>
      </c>
      <c r="H925" s="2" t="str">
        <f>_xlfn.XLOOKUP(C925,customers!$A$1:$A$1001,customers!$G$1:$G$1001,0)</f>
        <v>United States</v>
      </c>
      <c r="I925" t="str">
        <f>_xlfn.XLOOKUP(D925,products!$A$1:$A$49,products!$B$1:$B$49,0)</f>
        <v>Exc</v>
      </c>
      <c r="J925" t="str">
        <f>_xlfn.XLOOKUP(worksheet!D925,products!$A$1:$A$49,products!$C$1:$C$49,0)</f>
        <v>D</v>
      </c>
      <c r="K925" s="5">
        <f>_xlfn.XLOOKUP(worksheet!D925,products!$A$1:$A$49,products!$D$1:$D$49,0)</f>
        <v>2.5</v>
      </c>
      <c r="L925" s="6">
        <f>_xlfn.XLOOKUP(worksheet!D925,products!$A$1:$A$49,products!$E$1:$E$49,0)</f>
        <v>27.945</v>
      </c>
      <c r="M925" s="6">
        <f>worksheet!E925*worksheet!L925</f>
        <v>27.945</v>
      </c>
      <c r="N925" t="str">
        <f t="shared" si="28"/>
        <v>Excelsa</v>
      </c>
      <c r="O925" t="str">
        <f t="shared" si="29"/>
        <v>Dark</v>
      </c>
      <c r="P925" t="str">
        <f>_xlfn.XLOOKUP(worksheet[[#This Row],[Customer ID]],customers!$A$1:$A$1001,customers!$I$1:$I$1001,0)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
        <v>5718</v>
      </c>
      <c r="H926" s="2" t="str">
        <f>_xlfn.XLOOKUP(C926,customers!$A$1:$A$1001,customers!$G$1:$G$1001,0)</f>
        <v>United States</v>
      </c>
      <c r="I926" t="str">
        <f>_xlfn.XLOOKUP(D926,products!$A$1:$A$49,products!$B$1:$B$49,0)</f>
        <v>Ara</v>
      </c>
      <c r="J926" t="str">
        <f>_xlfn.XLOOKUP(worksheet!D926,products!$A$1:$A$49,products!$C$1:$C$49,0)</f>
        <v>L</v>
      </c>
      <c r="K926" s="5">
        <f>_xlfn.XLOOKUP(worksheet!D926,products!$A$1:$A$49,products!$D$1:$D$49,0)</f>
        <v>2.5</v>
      </c>
      <c r="L926" s="6">
        <f>_xlfn.XLOOKUP(worksheet!D926,products!$A$1:$A$49,products!$E$1:$E$49,0)</f>
        <v>29.784999999999997</v>
      </c>
      <c r="M926" s="6">
        <f>worksheet!E926*worksheet!L926</f>
        <v>89.35499999999999</v>
      </c>
      <c r="N926" t="str">
        <f t="shared" si="28"/>
        <v>Arabica</v>
      </c>
      <c r="O926" t="str">
        <f t="shared" si="29"/>
        <v>Light</v>
      </c>
      <c r="P926" t="str">
        <f>_xlfn.XLOOKUP(worksheet[[#This Row],[Customer ID]],customers!$A$1:$A$1001,customers!$I$1:$I$1001,0)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
        <v>6222</v>
      </c>
      <c r="H927" s="2" t="str">
        <f>_xlfn.XLOOKUP(C927,customers!$A$1:$A$1001,customers!$G$1:$G$1001,0)</f>
        <v>United States</v>
      </c>
      <c r="I927" t="str">
        <f>_xlfn.XLOOKUP(D927,products!$A$1:$A$49,products!$B$1:$B$49,0)</f>
        <v>Ara</v>
      </c>
      <c r="J927" t="str">
        <f>_xlfn.XLOOKUP(worksheet!D927,products!$A$1:$A$49,products!$C$1:$C$49,0)</f>
        <v>M</v>
      </c>
      <c r="K927" s="5">
        <f>_xlfn.XLOOKUP(worksheet!D927,products!$A$1:$A$49,products!$D$1:$D$49,0)</f>
        <v>0.5</v>
      </c>
      <c r="L927" s="6">
        <f>_xlfn.XLOOKUP(worksheet!D927,products!$A$1:$A$49,products!$E$1:$E$49,0)</f>
        <v>6.75</v>
      </c>
      <c r="M927" s="6">
        <f>worksheet!E927*worksheet!L927</f>
        <v>20.25</v>
      </c>
      <c r="N927" t="str">
        <f t="shared" si="28"/>
        <v>Arabica</v>
      </c>
      <c r="O927" t="str">
        <f t="shared" si="29"/>
        <v>Medium</v>
      </c>
      <c r="P927" t="str">
        <f>_xlfn.XLOOKUP(worksheet[[#This Row],[Customer ID]],customers!$A$1:$A$1001,customers!$I$1:$I$1001,0)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
        <v>5728</v>
      </c>
      <c r="H928" s="2" t="str">
        <f>_xlfn.XLOOKUP(C928,customers!$A$1:$A$1001,customers!$G$1:$G$1001,0)</f>
        <v>United States</v>
      </c>
      <c r="I928" t="str">
        <f>_xlfn.XLOOKUP(D928,products!$A$1:$A$49,products!$B$1:$B$49,0)</f>
        <v>Ara</v>
      </c>
      <c r="J928" t="str">
        <f>_xlfn.XLOOKUP(worksheet!D928,products!$A$1:$A$49,products!$C$1:$C$49,0)</f>
        <v>M</v>
      </c>
      <c r="K928" s="5">
        <f>_xlfn.XLOOKUP(worksheet!D928,products!$A$1:$A$49,products!$D$1:$D$49,0)</f>
        <v>0.5</v>
      </c>
      <c r="L928" s="6">
        <f>_xlfn.XLOOKUP(worksheet!D928,products!$A$1:$A$49,products!$E$1:$E$49,0)</f>
        <v>6.75</v>
      </c>
      <c r="M928" s="6">
        <f>worksheet!E928*worksheet!L928</f>
        <v>33.75</v>
      </c>
      <c r="N928" t="str">
        <f t="shared" si="28"/>
        <v>Arabica</v>
      </c>
      <c r="O928" t="str">
        <f t="shared" si="29"/>
        <v>Medium</v>
      </c>
      <c r="P928" t="str">
        <f>_xlfn.XLOOKUP(worksheet[[#This Row],[Customer ID]],customers!$A$1:$A$1001,customers!$I$1:$I$1001,0)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
        <v>5734</v>
      </c>
      <c r="H929" s="2" t="str">
        <f>_xlfn.XLOOKUP(C929,customers!$A$1:$A$1001,customers!$G$1:$G$1001,0)</f>
        <v>United States</v>
      </c>
      <c r="I929" t="str">
        <f>_xlfn.XLOOKUP(D929,products!$A$1:$A$49,products!$B$1:$B$49,0)</f>
        <v>Exc</v>
      </c>
      <c r="J929" t="str">
        <f>_xlfn.XLOOKUP(worksheet!D929,products!$A$1:$A$49,products!$C$1:$C$49,0)</f>
        <v>D</v>
      </c>
      <c r="K929" s="5">
        <f>_xlfn.XLOOKUP(worksheet!D929,products!$A$1:$A$49,products!$D$1:$D$49,0)</f>
        <v>2.5</v>
      </c>
      <c r="L929" s="6">
        <f>_xlfn.XLOOKUP(worksheet!D929,products!$A$1:$A$49,products!$E$1:$E$49,0)</f>
        <v>27.945</v>
      </c>
      <c r="M929" s="6">
        <f>worksheet!E929*worksheet!L929</f>
        <v>111.78</v>
      </c>
      <c r="N929" t="str">
        <f t="shared" si="28"/>
        <v>Excelsa</v>
      </c>
      <c r="O929" t="str">
        <f t="shared" si="29"/>
        <v>Dark</v>
      </c>
      <c r="P929" t="str">
        <f>_xlfn.XLOOKUP(worksheet[[#This Row],[Customer ID]],customers!$A$1:$A$1001,customers!$I$1:$I$1001,0)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
        <v>5740</v>
      </c>
      <c r="H930" s="2" t="str">
        <f>_xlfn.XLOOKUP(C930,customers!$A$1:$A$1001,customers!$G$1:$G$1001,0)</f>
        <v>United States</v>
      </c>
      <c r="I930" t="str">
        <f>_xlfn.XLOOKUP(D930,products!$A$1:$A$49,products!$B$1:$B$49,0)</f>
        <v>Exc</v>
      </c>
      <c r="J930" t="str">
        <f>_xlfn.XLOOKUP(worksheet!D930,products!$A$1:$A$49,products!$C$1:$C$49,0)</f>
        <v>M</v>
      </c>
      <c r="K930" s="5">
        <f>_xlfn.XLOOKUP(worksheet!D930,products!$A$1:$A$49,products!$D$1:$D$49,0)</f>
        <v>2.5</v>
      </c>
      <c r="L930" s="6">
        <f>_xlfn.XLOOKUP(worksheet!D930,products!$A$1:$A$49,products!$E$1:$E$49,0)</f>
        <v>31.624999999999996</v>
      </c>
      <c r="M930" s="6">
        <f>worksheet!E930*worksheet!L930</f>
        <v>63.249999999999993</v>
      </c>
      <c r="N930" t="str">
        <f t="shared" si="28"/>
        <v>Excelsa</v>
      </c>
      <c r="O930" t="str">
        <f t="shared" si="29"/>
        <v>Medium</v>
      </c>
      <c r="P930" t="str">
        <f>_xlfn.XLOOKUP(worksheet[[#This Row],[Customer ID]],customers!$A$1:$A$1001,customers!$I$1:$I$1001,0)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
        <v>5745</v>
      </c>
      <c r="H931" s="2" t="str">
        <f>_xlfn.XLOOKUP(C931,customers!$A$1:$A$1001,customers!$G$1:$G$1001,0)</f>
        <v>United States</v>
      </c>
      <c r="I931" t="str">
        <f>_xlfn.XLOOKUP(D931,products!$A$1:$A$49,products!$B$1:$B$49,0)</f>
        <v>Exc</v>
      </c>
      <c r="J931" t="str">
        <f>_xlfn.XLOOKUP(worksheet!D931,products!$A$1:$A$49,products!$C$1:$C$49,0)</f>
        <v>L</v>
      </c>
      <c r="K931" s="5">
        <f>_xlfn.XLOOKUP(worksheet!D931,products!$A$1:$A$49,products!$D$1:$D$49,0)</f>
        <v>0.2</v>
      </c>
      <c r="L931" s="6">
        <f>_xlfn.XLOOKUP(worksheet!D931,products!$A$1:$A$49,products!$E$1:$E$49,0)</f>
        <v>4.4550000000000001</v>
      </c>
      <c r="M931" s="6">
        <f>worksheet!E931*worksheet!L931</f>
        <v>8.91</v>
      </c>
      <c r="N931" t="str">
        <f t="shared" si="28"/>
        <v>Excelsa</v>
      </c>
      <c r="O931" t="str">
        <f t="shared" si="29"/>
        <v>Light</v>
      </c>
      <c r="P931" t="str">
        <f>_xlfn.XLOOKUP(worksheet[[#This Row],[Customer ID]],customers!$A$1:$A$1001,customers!$I$1:$I$1001,0)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
        <v>5751</v>
      </c>
      <c r="H932" s="2" t="str">
        <f>_xlfn.XLOOKUP(C932,customers!$A$1:$A$1001,customers!$G$1:$G$1001,0)</f>
        <v>United States</v>
      </c>
      <c r="I932" t="str">
        <f>_xlfn.XLOOKUP(D932,products!$A$1:$A$49,products!$B$1:$B$49,0)</f>
        <v>Exc</v>
      </c>
      <c r="J932" t="str">
        <f>_xlfn.XLOOKUP(worksheet!D932,products!$A$1:$A$49,products!$C$1:$C$49,0)</f>
        <v>D</v>
      </c>
      <c r="K932" s="5">
        <f>_xlfn.XLOOKUP(worksheet!D932,products!$A$1:$A$49,products!$D$1:$D$49,0)</f>
        <v>1</v>
      </c>
      <c r="L932" s="6">
        <f>_xlfn.XLOOKUP(worksheet!D932,products!$A$1:$A$49,products!$E$1:$E$49,0)</f>
        <v>12.15</v>
      </c>
      <c r="M932" s="6">
        <f>worksheet!E932*worksheet!L932</f>
        <v>12.15</v>
      </c>
      <c r="N932" t="str">
        <f t="shared" si="28"/>
        <v>Excelsa</v>
      </c>
      <c r="O932" t="str">
        <f t="shared" si="29"/>
        <v>Dark</v>
      </c>
      <c r="P932" t="str">
        <f>_xlfn.XLOOKUP(worksheet[[#This Row],[Customer ID]],customers!$A$1:$A$1001,customers!$I$1:$I$1001,0)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
        <v>6222</v>
      </c>
      <c r="H933" s="2" t="str">
        <f>_xlfn.XLOOKUP(C933,customers!$A$1:$A$1001,customers!$G$1:$G$1001,0)</f>
        <v>United States</v>
      </c>
      <c r="I933" t="str">
        <f>_xlfn.XLOOKUP(D933,products!$A$1:$A$49,products!$B$1:$B$49,0)</f>
        <v>Ara</v>
      </c>
      <c r="J933" t="str">
        <f>_xlfn.XLOOKUP(worksheet!D933,products!$A$1:$A$49,products!$C$1:$C$49,0)</f>
        <v>D</v>
      </c>
      <c r="K933" s="5">
        <f>_xlfn.XLOOKUP(worksheet!D933,products!$A$1:$A$49,products!$D$1:$D$49,0)</f>
        <v>0.5</v>
      </c>
      <c r="L933" s="6">
        <f>_xlfn.XLOOKUP(worksheet!D933,products!$A$1:$A$49,products!$E$1:$E$49,0)</f>
        <v>5.97</v>
      </c>
      <c r="M933" s="6">
        <f>worksheet!E933*worksheet!L933</f>
        <v>23.88</v>
      </c>
      <c r="N933" t="str">
        <f t="shared" si="28"/>
        <v>Arabica</v>
      </c>
      <c r="O933" t="str">
        <f t="shared" si="29"/>
        <v>Dark</v>
      </c>
      <c r="P933" t="str">
        <f>_xlfn.XLOOKUP(worksheet[[#This Row],[Customer ID]],customers!$A$1:$A$1001,customers!$I$1:$I$1001,0)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
        <v>5760</v>
      </c>
      <c r="H934" s="2" t="str">
        <f>_xlfn.XLOOKUP(C934,customers!$A$1:$A$1001,customers!$G$1:$G$1001,0)</f>
        <v>United States</v>
      </c>
      <c r="I934" t="str">
        <f>_xlfn.XLOOKUP(D934,products!$A$1:$A$49,products!$B$1:$B$49,0)</f>
        <v>Exc</v>
      </c>
      <c r="J934" t="str">
        <f>_xlfn.XLOOKUP(worksheet!D934,products!$A$1:$A$49,products!$C$1:$C$49,0)</f>
        <v>M</v>
      </c>
      <c r="K934" s="5">
        <f>_xlfn.XLOOKUP(worksheet!D934,products!$A$1:$A$49,products!$D$1:$D$49,0)</f>
        <v>1</v>
      </c>
      <c r="L934" s="6">
        <f>_xlfn.XLOOKUP(worksheet!D934,products!$A$1:$A$49,products!$E$1:$E$49,0)</f>
        <v>13.75</v>
      </c>
      <c r="M934" s="6">
        <f>worksheet!E934*worksheet!L934</f>
        <v>55</v>
      </c>
      <c r="N934" t="str">
        <f t="shared" si="28"/>
        <v>Excelsa</v>
      </c>
      <c r="O934" t="str">
        <f t="shared" si="29"/>
        <v>Medium</v>
      </c>
      <c r="P934" t="str">
        <f>_xlfn.XLOOKUP(worksheet[[#This Row],[Customer ID]],customers!$A$1:$A$1001,customers!$I$1:$I$1001,0)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
        <v>6222</v>
      </c>
      <c r="H935" s="2" t="str">
        <f>_xlfn.XLOOKUP(C935,customers!$A$1:$A$1001,customers!$G$1:$G$1001,0)</f>
        <v>United States</v>
      </c>
      <c r="I935" t="str">
        <f>_xlfn.XLOOKUP(D935,products!$A$1:$A$49,products!$B$1:$B$49,0)</f>
        <v>Rob</v>
      </c>
      <c r="J935" t="str">
        <f>_xlfn.XLOOKUP(worksheet!D935,products!$A$1:$A$49,products!$C$1:$C$49,0)</f>
        <v>D</v>
      </c>
      <c r="K935" s="5">
        <f>_xlfn.XLOOKUP(worksheet!D935,products!$A$1:$A$49,products!$D$1:$D$49,0)</f>
        <v>1</v>
      </c>
      <c r="L935" s="6">
        <f>_xlfn.XLOOKUP(worksheet!D935,products!$A$1:$A$49,products!$E$1:$E$49,0)</f>
        <v>8.9499999999999993</v>
      </c>
      <c r="M935" s="6">
        <f>worksheet!E935*worksheet!L935</f>
        <v>26.849999999999998</v>
      </c>
      <c r="N935" t="str">
        <f t="shared" si="28"/>
        <v>Robusta</v>
      </c>
      <c r="O935" t="str">
        <f t="shared" si="29"/>
        <v>Dark</v>
      </c>
      <c r="P935" t="str">
        <f>_xlfn.XLOOKUP(worksheet[[#This Row],[Customer ID]],customers!$A$1:$A$1001,customers!$I$1:$I$1001,0)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
        <v>5771</v>
      </c>
      <c r="H936" s="2" t="str">
        <f>_xlfn.XLOOKUP(C936,customers!$A$1:$A$1001,customers!$G$1:$G$1001,0)</f>
        <v>United States</v>
      </c>
      <c r="I936" t="str">
        <f>_xlfn.XLOOKUP(D936,products!$A$1:$A$49,products!$B$1:$B$49,0)</f>
        <v>Rob</v>
      </c>
      <c r="J936" t="str">
        <f>_xlfn.XLOOKUP(worksheet!D936,products!$A$1:$A$49,products!$C$1:$C$49,0)</f>
        <v>M</v>
      </c>
      <c r="K936" s="5">
        <f>_xlfn.XLOOKUP(worksheet!D936,products!$A$1:$A$49,products!$D$1:$D$49,0)</f>
        <v>2.5</v>
      </c>
      <c r="L936" s="6">
        <f>_xlfn.XLOOKUP(worksheet!D936,products!$A$1:$A$49,products!$E$1:$E$49,0)</f>
        <v>22.884999999999998</v>
      </c>
      <c r="M936" s="6">
        <f>worksheet!E936*worksheet!L936</f>
        <v>114.42499999999998</v>
      </c>
      <c r="N936" t="str">
        <f t="shared" si="28"/>
        <v>Robusta</v>
      </c>
      <c r="O936" t="str">
        <f t="shared" si="29"/>
        <v>Medium</v>
      </c>
      <c r="P936" t="str">
        <f>_xlfn.XLOOKUP(worksheet[[#This Row],[Customer ID]],customers!$A$1:$A$1001,customers!$I$1:$I$1001,0)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
        <v>5777</v>
      </c>
      <c r="H937" s="2" t="str">
        <f>_xlfn.XLOOKUP(C937,customers!$A$1:$A$1001,customers!$G$1:$G$1001,0)</f>
        <v>United States</v>
      </c>
      <c r="I937" t="str">
        <f>_xlfn.XLOOKUP(D937,products!$A$1:$A$49,products!$B$1:$B$49,0)</f>
        <v>Ara</v>
      </c>
      <c r="J937" t="str">
        <f>_xlfn.XLOOKUP(worksheet!D937,products!$A$1:$A$49,products!$C$1:$C$49,0)</f>
        <v>M</v>
      </c>
      <c r="K937" s="5">
        <f>_xlfn.XLOOKUP(worksheet!D937,products!$A$1:$A$49,products!$D$1:$D$49,0)</f>
        <v>2.5</v>
      </c>
      <c r="L937" s="6">
        <f>_xlfn.XLOOKUP(worksheet!D937,products!$A$1:$A$49,products!$E$1:$E$49,0)</f>
        <v>25.874999999999996</v>
      </c>
      <c r="M937" s="6">
        <f>worksheet!E937*worksheet!L937</f>
        <v>155.24999999999997</v>
      </c>
      <c r="N937" t="str">
        <f t="shared" si="28"/>
        <v>Arabica</v>
      </c>
      <c r="O937" t="str">
        <f t="shared" si="29"/>
        <v>Medium</v>
      </c>
      <c r="P937" t="str">
        <f>_xlfn.XLOOKUP(worksheet[[#This Row],[Customer ID]],customers!$A$1:$A$1001,customers!$I$1:$I$1001,0)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
        <v>5783</v>
      </c>
      <c r="H938" s="2" t="str">
        <f>_xlfn.XLOOKUP(C938,customers!$A$1:$A$1001,customers!$G$1:$G$1001,0)</f>
        <v>United States</v>
      </c>
      <c r="I938" t="str">
        <f>_xlfn.XLOOKUP(D938,products!$A$1:$A$49,products!$B$1:$B$49,0)</f>
        <v>Lib</v>
      </c>
      <c r="J938" t="str">
        <f>_xlfn.XLOOKUP(worksheet!D938,products!$A$1:$A$49,products!$C$1:$C$49,0)</f>
        <v>D</v>
      </c>
      <c r="K938" s="5">
        <f>_xlfn.XLOOKUP(worksheet!D938,products!$A$1:$A$49,products!$D$1:$D$49,0)</f>
        <v>0.5</v>
      </c>
      <c r="L938" s="6">
        <f>_xlfn.XLOOKUP(worksheet!D938,products!$A$1:$A$49,products!$E$1:$E$49,0)</f>
        <v>7.77</v>
      </c>
      <c r="M938" s="6">
        <f>worksheet!E938*worksheet!L938</f>
        <v>23.31</v>
      </c>
      <c r="N938" t="str">
        <f t="shared" si="28"/>
        <v>Liberica</v>
      </c>
      <c r="O938" t="str">
        <f t="shared" si="29"/>
        <v>Dark</v>
      </c>
      <c r="P938" t="str">
        <f>_xlfn.XLOOKUP(worksheet[[#This Row],[Customer ID]],customers!$A$1:$A$1001,customers!$I$1:$I$1001,0)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
        <v>5783</v>
      </c>
      <c r="H939" s="2" t="str">
        <f>_xlfn.XLOOKUP(C939,customers!$A$1:$A$1001,customers!$G$1:$G$1001,0)</f>
        <v>United States</v>
      </c>
      <c r="I939" t="str">
        <f>_xlfn.XLOOKUP(D939,products!$A$1:$A$49,products!$B$1:$B$49,0)</f>
        <v>Rob</v>
      </c>
      <c r="J939" t="str">
        <f>_xlfn.XLOOKUP(worksheet!D939,products!$A$1:$A$49,products!$C$1:$C$49,0)</f>
        <v>M</v>
      </c>
      <c r="K939" s="5">
        <f>_xlfn.XLOOKUP(worksheet!D939,products!$A$1:$A$49,products!$D$1:$D$49,0)</f>
        <v>2.5</v>
      </c>
      <c r="L939" s="6">
        <f>_xlfn.XLOOKUP(worksheet!D939,products!$A$1:$A$49,products!$E$1:$E$49,0)</f>
        <v>22.884999999999998</v>
      </c>
      <c r="M939" s="6">
        <f>worksheet!E939*worksheet!L939</f>
        <v>91.539999999999992</v>
      </c>
      <c r="N939" t="str">
        <f t="shared" si="28"/>
        <v>Robusta</v>
      </c>
      <c r="O939" t="str">
        <f t="shared" si="29"/>
        <v>Medium</v>
      </c>
      <c r="P939" t="str">
        <f>_xlfn.XLOOKUP(worksheet[[#This Row],[Customer ID]],customers!$A$1:$A$1001,customers!$I$1:$I$1001,0)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
        <v>5794</v>
      </c>
      <c r="H940" s="2" t="str">
        <f>_xlfn.XLOOKUP(C940,customers!$A$1:$A$1001,customers!$G$1:$G$1001,0)</f>
        <v>United States</v>
      </c>
      <c r="I940" t="str">
        <f>_xlfn.XLOOKUP(D940,products!$A$1:$A$49,products!$B$1:$B$49,0)</f>
        <v>Exc</v>
      </c>
      <c r="J940" t="str">
        <f>_xlfn.XLOOKUP(worksheet!D940,products!$A$1:$A$49,products!$C$1:$C$49,0)</f>
        <v>L</v>
      </c>
      <c r="K940" s="5">
        <f>_xlfn.XLOOKUP(worksheet!D940,products!$A$1:$A$49,products!$D$1:$D$49,0)</f>
        <v>1</v>
      </c>
      <c r="L940" s="6">
        <f>_xlfn.XLOOKUP(worksheet!D940,products!$A$1:$A$49,products!$E$1:$E$49,0)</f>
        <v>14.85</v>
      </c>
      <c r="M940" s="6">
        <f>worksheet!E940*worksheet!L940</f>
        <v>74.25</v>
      </c>
      <c r="N940" t="str">
        <f t="shared" si="28"/>
        <v>Excelsa</v>
      </c>
      <c r="O940" t="str">
        <f t="shared" si="29"/>
        <v>Light</v>
      </c>
      <c r="P940" t="str">
        <f>_xlfn.XLOOKUP(worksheet[[#This Row],[Customer ID]],customers!$A$1:$A$1001,customers!$I$1:$I$1001,0)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
        <v>5800</v>
      </c>
      <c r="H941" s="2" t="str">
        <f>_xlfn.XLOOKUP(C941,customers!$A$1:$A$1001,customers!$G$1:$G$1001,0)</f>
        <v>United States</v>
      </c>
      <c r="I941" t="str">
        <f>_xlfn.XLOOKUP(D941,products!$A$1:$A$49,products!$B$1:$B$49,0)</f>
        <v>Lib</v>
      </c>
      <c r="J941" t="str">
        <f>_xlfn.XLOOKUP(worksheet!D941,products!$A$1:$A$49,products!$C$1:$C$49,0)</f>
        <v>L</v>
      </c>
      <c r="K941" s="5">
        <f>_xlfn.XLOOKUP(worksheet!D941,products!$A$1:$A$49,products!$D$1:$D$49,0)</f>
        <v>0.2</v>
      </c>
      <c r="L941" s="6">
        <f>_xlfn.XLOOKUP(worksheet!D941,products!$A$1:$A$49,products!$E$1:$E$49,0)</f>
        <v>4.7549999999999999</v>
      </c>
      <c r="M941" s="6">
        <f>worksheet!E941*worksheet!L941</f>
        <v>28.53</v>
      </c>
      <c r="N941" t="str">
        <f t="shared" si="28"/>
        <v>Liberica</v>
      </c>
      <c r="O941" t="str">
        <f t="shared" si="29"/>
        <v>Light</v>
      </c>
      <c r="P941" t="str">
        <f>_xlfn.XLOOKUP(worksheet[[#This Row],[Customer ID]],customers!$A$1:$A$1001,customers!$I$1:$I$1001,0)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
        <v>5806</v>
      </c>
      <c r="H942" s="2" t="str">
        <f>_xlfn.XLOOKUP(C942,customers!$A$1:$A$1001,customers!$G$1:$G$1001,0)</f>
        <v>United States</v>
      </c>
      <c r="I942" t="str">
        <f>_xlfn.XLOOKUP(D942,products!$A$1:$A$49,products!$B$1:$B$49,0)</f>
        <v>Rob</v>
      </c>
      <c r="J942" t="str">
        <f>_xlfn.XLOOKUP(worksheet!D942,products!$A$1:$A$49,products!$C$1:$C$49,0)</f>
        <v>L</v>
      </c>
      <c r="K942" s="5">
        <f>_xlfn.XLOOKUP(worksheet!D942,products!$A$1:$A$49,products!$D$1:$D$49,0)</f>
        <v>0.5</v>
      </c>
      <c r="L942" s="6">
        <f>_xlfn.XLOOKUP(worksheet!D942,products!$A$1:$A$49,products!$E$1:$E$49,0)</f>
        <v>7.169999999999999</v>
      </c>
      <c r="M942" s="6">
        <f>worksheet!E942*worksheet!L942</f>
        <v>14.339999999999998</v>
      </c>
      <c r="N942" t="str">
        <f t="shared" si="28"/>
        <v>Robusta</v>
      </c>
      <c r="O942" t="str">
        <f t="shared" si="29"/>
        <v>Light</v>
      </c>
      <c r="P942" t="str">
        <f>_xlfn.XLOOKUP(worksheet[[#This Row],[Customer ID]],customers!$A$1:$A$1001,customers!$I$1:$I$1001,0)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
        <v>5812</v>
      </c>
      <c r="H943" s="2" t="str">
        <f>_xlfn.XLOOKUP(C943,customers!$A$1:$A$1001,customers!$G$1:$G$1001,0)</f>
        <v>Ireland</v>
      </c>
      <c r="I943" t="str">
        <f>_xlfn.XLOOKUP(D943,products!$A$1:$A$49,products!$B$1:$B$49,0)</f>
        <v>Ara</v>
      </c>
      <c r="J943" t="str">
        <f>_xlfn.XLOOKUP(worksheet!D943,products!$A$1:$A$49,products!$C$1:$C$49,0)</f>
        <v>L</v>
      </c>
      <c r="K943" s="5">
        <f>_xlfn.XLOOKUP(worksheet!D943,products!$A$1:$A$49,products!$D$1:$D$49,0)</f>
        <v>0.5</v>
      </c>
      <c r="L943" s="6">
        <f>_xlfn.XLOOKUP(worksheet!D943,products!$A$1:$A$49,products!$E$1:$E$49,0)</f>
        <v>7.77</v>
      </c>
      <c r="M943" s="6">
        <f>worksheet!E943*worksheet!L943</f>
        <v>15.54</v>
      </c>
      <c r="N943" t="str">
        <f t="shared" si="28"/>
        <v>Arabica</v>
      </c>
      <c r="O943" t="str">
        <f t="shared" si="29"/>
        <v>Light</v>
      </c>
      <c r="P943" t="str">
        <f>_xlfn.XLOOKUP(worksheet[[#This Row],[Customer ID]],customers!$A$1:$A$1001,customers!$I$1:$I$1001,0)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
        <v>5819</v>
      </c>
      <c r="H944" s="2" t="str">
        <f>_xlfn.XLOOKUP(C944,customers!$A$1:$A$1001,customers!$G$1:$G$1001,0)</f>
        <v>United States</v>
      </c>
      <c r="I944" t="str">
        <f>_xlfn.XLOOKUP(D944,products!$A$1:$A$49,products!$B$1:$B$49,0)</f>
        <v>Rob</v>
      </c>
      <c r="J944" t="str">
        <f>_xlfn.XLOOKUP(worksheet!D944,products!$A$1:$A$49,products!$C$1:$C$49,0)</f>
        <v>L</v>
      </c>
      <c r="K944" s="5">
        <f>_xlfn.XLOOKUP(worksheet!D944,products!$A$1:$A$49,products!$D$1:$D$49,0)</f>
        <v>1</v>
      </c>
      <c r="L944" s="6">
        <f>_xlfn.XLOOKUP(worksheet!D944,products!$A$1:$A$49,products!$E$1:$E$49,0)</f>
        <v>11.95</v>
      </c>
      <c r="M944" s="6">
        <f>worksheet!E944*worksheet!L944</f>
        <v>35.849999999999994</v>
      </c>
      <c r="N944" t="str">
        <f t="shared" si="28"/>
        <v>Robusta</v>
      </c>
      <c r="O944" t="str">
        <f t="shared" si="29"/>
        <v>Light</v>
      </c>
      <c r="P944" t="str">
        <f>_xlfn.XLOOKUP(worksheet[[#This Row],[Customer ID]],customers!$A$1:$A$1001,customers!$I$1:$I$1001,0)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
        <v>5825</v>
      </c>
      <c r="H945" s="2" t="str">
        <f>_xlfn.XLOOKUP(C945,customers!$A$1:$A$1001,customers!$G$1:$G$1001,0)</f>
        <v>United States</v>
      </c>
      <c r="I945" t="str">
        <f>_xlfn.XLOOKUP(D945,products!$A$1:$A$49,products!$B$1:$B$49,0)</f>
        <v>Ara</v>
      </c>
      <c r="J945" t="str">
        <f>_xlfn.XLOOKUP(worksheet!D945,products!$A$1:$A$49,products!$C$1:$C$49,0)</f>
        <v>L</v>
      </c>
      <c r="K945" s="5">
        <f>_xlfn.XLOOKUP(worksheet!D945,products!$A$1:$A$49,products!$D$1:$D$49,0)</f>
        <v>0.5</v>
      </c>
      <c r="L945" s="6">
        <f>_xlfn.XLOOKUP(worksheet!D945,products!$A$1:$A$49,products!$E$1:$E$49,0)</f>
        <v>7.77</v>
      </c>
      <c r="M945" s="6">
        <f>worksheet!E945*worksheet!L945</f>
        <v>46.62</v>
      </c>
      <c r="N945" t="str">
        <f t="shared" si="28"/>
        <v>Arabica</v>
      </c>
      <c r="O945" t="str">
        <f t="shared" si="29"/>
        <v>Light</v>
      </c>
      <c r="P945" t="str">
        <f>_xlfn.XLOOKUP(worksheet[[#This Row],[Customer ID]],customers!$A$1:$A$1001,customers!$I$1:$I$1001,0)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
        <v>5831</v>
      </c>
      <c r="H946" s="2" t="str">
        <f>_xlfn.XLOOKUP(C946,customers!$A$1:$A$1001,customers!$G$1:$G$1001,0)</f>
        <v>United States</v>
      </c>
      <c r="I946" t="str">
        <f>_xlfn.XLOOKUP(D946,products!$A$1:$A$49,products!$B$1:$B$49,0)</f>
        <v>Rob</v>
      </c>
      <c r="J946" t="str">
        <f>_xlfn.XLOOKUP(worksheet!D946,products!$A$1:$A$49,products!$C$1:$C$49,0)</f>
        <v>L</v>
      </c>
      <c r="K946" s="5">
        <f>_xlfn.XLOOKUP(worksheet!D946,products!$A$1:$A$49,products!$D$1:$D$49,0)</f>
        <v>0.5</v>
      </c>
      <c r="L946" s="6">
        <f>_xlfn.XLOOKUP(worksheet!D946,products!$A$1:$A$49,products!$E$1:$E$49,0)</f>
        <v>7.169999999999999</v>
      </c>
      <c r="M946" s="6">
        <f>worksheet!E946*worksheet!L946</f>
        <v>35.849999999999994</v>
      </c>
      <c r="N946" t="str">
        <f t="shared" si="28"/>
        <v>Robusta</v>
      </c>
      <c r="O946" t="str">
        <f t="shared" si="29"/>
        <v>Light</v>
      </c>
      <c r="P946" t="str">
        <f>_xlfn.XLOOKUP(worksheet[[#This Row],[Customer ID]],customers!$A$1:$A$1001,customers!$I$1:$I$1001,0)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
        <v>6222</v>
      </c>
      <c r="H947" s="2" t="str">
        <f>_xlfn.XLOOKUP(C947,customers!$A$1:$A$1001,customers!$G$1:$G$1001,0)</f>
        <v>United States</v>
      </c>
      <c r="I947" t="str">
        <f>_xlfn.XLOOKUP(D947,products!$A$1:$A$49,products!$B$1:$B$49,0)</f>
        <v>Lib</v>
      </c>
      <c r="J947" t="str">
        <f>_xlfn.XLOOKUP(worksheet!D947,products!$A$1:$A$49,products!$C$1:$C$49,0)</f>
        <v>D</v>
      </c>
      <c r="K947" s="5">
        <f>_xlfn.XLOOKUP(worksheet!D947,products!$A$1:$A$49,products!$D$1:$D$49,0)</f>
        <v>2.5</v>
      </c>
      <c r="L947" s="6">
        <f>_xlfn.XLOOKUP(worksheet!D947,products!$A$1:$A$49,products!$E$1:$E$49,0)</f>
        <v>29.784999999999997</v>
      </c>
      <c r="M947" s="6">
        <f>worksheet!E947*worksheet!L947</f>
        <v>119.13999999999999</v>
      </c>
      <c r="N947" t="str">
        <f t="shared" si="28"/>
        <v>Liberica</v>
      </c>
      <c r="O947" t="str">
        <f t="shared" si="29"/>
        <v>Dark</v>
      </c>
      <c r="P947" t="str">
        <f>_xlfn.XLOOKUP(worksheet[[#This Row],[Customer ID]],customers!$A$1:$A$1001,customers!$I$1:$I$1001,0)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
        <v>6222</v>
      </c>
      <c r="H948" s="2" t="str">
        <f>_xlfn.XLOOKUP(C948,customers!$A$1:$A$1001,customers!$G$1:$G$1001,0)</f>
        <v>United States</v>
      </c>
      <c r="I948" t="str">
        <f>_xlfn.XLOOKUP(D948,products!$A$1:$A$49,products!$B$1:$B$49,0)</f>
        <v>Lib</v>
      </c>
      <c r="J948" t="str">
        <f>_xlfn.XLOOKUP(worksheet!D948,products!$A$1:$A$49,products!$C$1:$C$49,0)</f>
        <v>D</v>
      </c>
      <c r="K948" s="5">
        <f>_xlfn.XLOOKUP(worksheet!D948,products!$A$1:$A$49,products!$D$1:$D$49,0)</f>
        <v>0.5</v>
      </c>
      <c r="L948" s="6">
        <f>_xlfn.XLOOKUP(worksheet!D948,products!$A$1:$A$49,products!$E$1:$E$49,0)</f>
        <v>7.77</v>
      </c>
      <c r="M948" s="6">
        <f>worksheet!E948*worksheet!L948</f>
        <v>23.31</v>
      </c>
      <c r="N948" t="str">
        <f t="shared" si="28"/>
        <v>Liberica</v>
      </c>
      <c r="O948" t="str">
        <f t="shared" si="29"/>
        <v>Dark</v>
      </c>
      <c r="P948" t="str">
        <f>_xlfn.XLOOKUP(worksheet[[#This Row],[Customer ID]],customers!$A$1:$A$1001,customers!$I$1:$I$1001,0)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
        <v>5847</v>
      </c>
      <c r="H949" s="2" t="str">
        <f>_xlfn.XLOOKUP(C949,customers!$A$1:$A$1001,customers!$G$1:$G$1001,0)</f>
        <v>Ireland</v>
      </c>
      <c r="I949" t="str">
        <f>_xlfn.XLOOKUP(D949,products!$A$1:$A$49,products!$B$1:$B$49,0)</f>
        <v>Ara</v>
      </c>
      <c r="J949" t="str">
        <f>_xlfn.XLOOKUP(worksheet!D949,products!$A$1:$A$49,products!$C$1:$C$49,0)</f>
        <v>M</v>
      </c>
      <c r="K949" s="5">
        <f>_xlfn.XLOOKUP(worksheet!D949,products!$A$1:$A$49,products!$D$1:$D$49,0)</f>
        <v>1</v>
      </c>
      <c r="L949" s="6">
        <f>_xlfn.XLOOKUP(worksheet!D949,products!$A$1:$A$49,products!$E$1:$E$49,0)</f>
        <v>11.25</v>
      </c>
      <c r="M949" s="6">
        <f>worksheet!E949*worksheet!L949</f>
        <v>11.25</v>
      </c>
      <c r="N949" t="str">
        <f t="shared" si="28"/>
        <v>Arabica</v>
      </c>
      <c r="O949" t="str">
        <f t="shared" si="29"/>
        <v>Medium</v>
      </c>
      <c r="P949" t="str">
        <f>_xlfn.XLOOKUP(worksheet[[#This Row],[Customer ID]],customers!$A$1:$A$1001,customers!$I$1:$I$1001,0)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
        <v>5852</v>
      </c>
      <c r="H950" s="2" t="str">
        <f>_xlfn.XLOOKUP(C950,customers!$A$1:$A$1001,customers!$G$1:$G$1001,0)</f>
        <v>United Kingdom</v>
      </c>
      <c r="I950" t="str">
        <f>_xlfn.XLOOKUP(D950,products!$A$1:$A$49,products!$B$1:$B$49,0)</f>
        <v>Exc</v>
      </c>
      <c r="J950" t="str">
        <f>_xlfn.XLOOKUP(worksheet!D950,products!$A$1:$A$49,products!$C$1:$C$49,0)</f>
        <v>D</v>
      </c>
      <c r="K950" s="5">
        <f>_xlfn.XLOOKUP(worksheet!D950,products!$A$1:$A$49,products!$D$1:$D$49,0)</f>
        <v>2.5</v>
      </c>
      <c r="L950" s="6">
        <f>_xlfn.XLOOKUP(worksheet!D950,products!$A$1:$A$49,products!$E$1:$E$49,0)</f>
        <v>27.945</v>
      </c>
      <c r="M950" s="6">
        <f>worksheet!E950*worksheet!L950</f>
        <v>83.835000000000008</v>
      </c>
      <c r="N950" t="str">
        <f t="shared" si="28"/>
        <v>Excelsa</v>
      </c>
      <c r="O950" t="str">
        <f t="shared" si="29"/>
        <v>Dark</v>
      </c>
      <c r="P950" t="str">
        <f>_xlfn.XLOOKUP(worksheet[[#This Row],[Customer ID]],customers!$A$1:$A$1001,customers!$I$1:$I$1001,0)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
        <v>5858</v>
      </c>
      <c r="H951" s="2" t="str">
        <f>_xlfn.XLOOKUP(C951,customers!$A$1:$A$1001,customers!$G$1:$G$1001,0)</f>
        <v>Ireland</v>
      </c>
      <c r="I951" t="str">
        <f>_xlfn.XLOOKUP(D951,products!$A$1:$A$49,products!$B$1:$B$49,0)</f>
        <v>Rob</v>
      </c>
      <c r="J951" t="str">
        <f>_xlfn.XLOOKUP(worksheet!D951,products!$A$1:$A$49,products!$C$1:$C$49,0)</f>
        <v>L</v>
      </c>
      <c r="K951" s="5">
        <f>_xlfn.XLOOKUP(worksheet!D951,products!$A$1:$A$49,products!$D$1:$D$49,0)</f>
        <v>2.5</v>
      </c>
      <c r="L951" s="6">
        <f>_xlfn.XLOOKUP(worksheet!D951,products!$A$1:$A$49,products!$E$1:$E$49,0)</f>
        <v>27.484999999999996</v>
      </c>
      <c r="M951" s="6">
        <f>worksheet!E951*worksheet!L951</f>
        <v>109.93999999999998</v>
      </c>
      <c r="N951" t="str">
        <f t="shared" si="28"/>
        <v>Robusta</v>
      </c>
      <c r="O951" t="str">
        <f t="shared" si="29"/>
        <v>Light</v>
      </c>
      <c r="P951" t="str">
        <f>_xlfn.XLOOKUP(worksheet[[#This Row],[Customer ID]],customers!$A$1:$A$1001,customers!$I$1:$I$1001,0)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
        <v>6222</v>
      </c>
      <c r="H952" s="2" t="str">
        <f>_xlfn.XLOOKUP(C952,customers!$A$1:$A$1001,customers!$G$1:$G$1001,0)</f>
        <v>United States</v>
      </c>
      <c r="I952" t="str">
        <f>_xlfn.XLOOKUP(D952,products!$A$1:$A$49,products!$B$1:$B$49,0)</f>
        <v>Rob</v>
      </c>
      <c r="J952" t="str">
        <f>_xlfn.XLOOKUP(worksheet!D952,products!$A$1:$A$49,products!$C$1:$C$49,0)</f>
        <v>L</v>
      </c>
      <c r="K952" s="5">
        <f>_xlfn.XLOOKUP(worksheet!D952,products!$A$1:$A$49,products!$D$1:$D$49,0)</f>
        <v>0.2</v>
      </c>
      <c r="L952" s="6">
        <f>_xlfn.XLOOKUP(worksheet!D952,products!$A$1:$A$49,products!$E$1:$E$49,0)</f>
        <v>3.5849999999999995</v>
      </c>
      <c r="M952" s="6">
        <f>worksheet!E952*worksheet!L952</f>
        <v>14.339999999999998</v>
      </c>
      <c r="N952" t="str">
        <f t="shared" si="28"/>
        <v>Robusta</v>
      </c>
      <c r="O952" t="str">
        <f t="shared" si="29"/>
        <v>Light</v>
      </c>
      <c r="P952" t="str">
        <f>_xlfn.XLOOKUP(worksheet[[#This Row],[Customer ID]],customers!$A$1:$A$1001,customers!$I$1:$I$1001,0)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
        <v>5869</v>
      </c>
      <c r="H953" s="2" t="str">
        <f>_xlfn.XLOOKUP(C953,customers!$A$1:$A$1001,customers!$G$1:$G$1001,0)</f>
        <v>United States</v>
      </c>
      <c r="I953" t="str">
        <f>_xlfn.XLOOKUP(D953,products!$A$1:$A$49,products!$B$1:$B$49,0)</f>
        <v>Rob</v>
      </c>
      <c r="J953" t="str">
        <f>_xlfn.XLOOKUP(worksheet!D953,products!$A$1:$A$49,products!$C$1:$C$49,0)</f>
        <v>L</v>
      </c>
      <c r="K953" s="5">
        <f>_xlfn.XLOOKUP(worksheet!D953,products!$A$1:$A$49,products!$D$1:$D$49,0)</f>
        <v>0.2</v>
      </c>
      <c r="L953" s="6">
        <f>_xlfn.XLOOKUP(worksheet!D953,products!$A$1:$A$49,products!$E$1:$E$49,0)</f>
        <v>3.5849999999999995</v>
      </c>
      <c r="M953" s="6">
        <f>worksheet!E953*worksheet!L953</f>
        <v>21.509999999999998</v>
      </c>
      <c r="N953" t="str">
        <f t="shared" si="28"/>
        <v>Robusta</v>
      </c>
      <c r="O953" t="str">
        <f t="shared" si="29"/>
        <v>Light</v>
      </c>
      <c r="P953" t="str">
        <f>_xlfn.XLOOKUP(worksheet[[#This Row],[Customer ID]],customers!$A$1:$A$1001,customers!$I$1:$I$1001,0)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
        <v>5875</v>
      </c>
      <c r="H954" s="2" t="str">
        <f>_xlfn.XLOOKUP(C954,customers!$A$1:$A$1001,customers!$G$1:$G$1001,0)</f>
        <v>Ireland</v>
      </c>
      <c r="I954" t="str">
        <f>_xlfn.XLOOKUP(D954,products!$A$1:$A$49,products!$B$1:$B$49,0)</f>
        <v>Ara</v>
      </c>
      <c r="J954" t="str">
        <f>_xlfn.XLOOKUP(worksheet!D954,products!$A$1:$A$49,products!$C$1:$C$49,0)</f>
        <v>M</v>
      </c>
      <c r="K954" s="5">
        <f>_xlfn.XLOOKUP(worksheet!D954,products!$A$1:$A$49,products!$D$1:$D$49,0)</f>
        <v>1</v>
      </c>
      <c r="L954" s="6">
        <f>_xlfn.XLOOKUP(worksheet!D954,products!$A$1:$A$49,products!$E$1:$E$49,0)</f>
        <v>11.25</v>
      </c>
      <c r="M954" s="6">
        <f>worksheet!E954*worksheet!L954</f>
        <v>22.5</v>
      </c>
      <c r="N954" t="str">
        <f t="shared" si="28"/>
        <v>Arabica</v>
      </c>
      <c r="O954" t="str">
        <f t="shared" si="29"/>
        <v>Medium</v>
      </c>
      <c r="P954" t="str">
        <f>_xlfn.XLOOKUP(worksheet[[#This Row],[Customer ID]],customers!$A$1:$A$1001,customers!$I$1:$I$1001,0)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
        <v>6222</v>
      </c>
      <c r="H955" s="2" t="str">
        <f>_xlfn.XLOOKUP(C955,customers!$A$1:$A$1001,customers!$G$1:$G$1001,0)</f>
        <v>United States</v>
      </c>
      <c r="I955" t="str">
        <f>_xlfn.XLOOKUP(D955,products!$A$1:$A$49,products!$B$1:$B$49,0)</f>
        <v>Ara</v>
      </c>
      <c r="J955" t="str">
        <f>_xlfn.XLOOKUP(worksheet!D955,products!$A$1:$A$49,products!$C$1:$C$49,0)</f>
        <v>L</v>
      </c>
      <c r="K955" s="5">
        <f>_xlfn.XLOOKUP(worksheet!D955,products!$A$1:$A$49,products!$D$1:$D$49,0)</f>
        <v>0.2</v>
      </c>
      <c r="L955" s="6">
        <f>_xlfn.XLOOKUP(worksheet!D955,products!$A$1:$A$49,products!$E$1:$E$49,0)</f>
        <v>3.8849999999999998</v>
      </c>
      <c r="M955" s="6">
        <f>worksheet!E955*worksheet!L955</f>
        <v>3.8849999999999998</v>
      </c>
      <c r="N955" t="str">
        <f t="shared" si="28"/>
        <v>Arabica</v>
      </c>
      <c r="O955" t="str">
        <f t="shared" si="29"/>
        <v>Light</v>
      </c>
      <c r="P955" t="str">
        <f>_xlfn.XLOOKUP(worksheet[[#This Row],[Customer ID]],customers!$A$1:$A$1001,customers!$I$1:$I$1001,0)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
        <v>6222</v>
      </c>
      <c r="H956" s="2" t="str">
        <f>_xlfn.XLOOKUP(C956,customers!$A$1:$A$1001,customers!$G$1:$G$1001,0)</f>
        <v>United States</v>
      </c>
      <c r="I956" t="str">
        <f>_xlfn.XLOOKUP(D956,products!$A$1:$A$49,products!$B$1:$B$49,0)</f>
        <v>Exc</v>
      </c>
      <c r="J956" t="str">
        <f>_xlfn.XLOOKUP(worksheet!D956,products!$A$1:$A$49,products!$C$1:$C$49,0)</f>
        <v>D</v>
      </c>
      <c r="K956" s="5">
        <f>_xlfn.XLOOKUP(worksheet!D956,products!$A$1:$A$49,products!$D$1:$D$49,0)</f>
        <v>2.5</v>
      </c>
      <c r="L956" s="6">
        <f>_xlfn.XLOOKUP(worksheet!D956,products!$A$1:$A$49,products!$E$1:$E$49,0)</f>
        <v>27.945</v>
      </c>
      <c r="M956" s="6">
        <f>worksheet!E956*worksheet!L956</f>
        <v>27.945</v>
      </c>
      <c r="N956" t="str">
        <f t="shared" si="28"/>
        <v>Excelsa</v>
      </c>
      <c r="O956" t="str">
        <f t="shared" si="29"/>
        <v>Dark</v>
      </c>
      <c r="P956" t="str">
        <f>_xlfn.XLOOKUP(worksheet[[#This Row],[Customer ID]],customers!$A$1:$A$1001,customers!$I$1:$I$1001,0)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
        <v>6222</v>
      </c>
      <c r="H957" s="2" t="str">
        <f>_xlfn.XLOOKUP(C957,customers!$A$1:$A$1001,customers!$G$1:$G$1001,0)</f>
        <v>United States</v>
      </c>
      <c r="I957" t="str">
        <f>_xlfn.XLOOKUP(D957,products!$A$1:$A$49,products!$B$1:$B$49,0)</f>
        <v>Exc</v>
      </c>
      <c r="J957" t="str">
        <f>_xlfn.XLOOKUP(worksheet!D957,products!$A$1:$A$49,products!$C$1:$C$49,0)</f>
        <v>L</v>
      </c>
      <c r="K957" s="5">
        <f>_xlfn.XLOOKUP(worksheet!D957,products!$A$1:$A$49,products!$D$1:$D$49,0)</f>
        <v>2.5</v>
      </c>
      <c r="L957" s="6">
        <f>_xlfn.XLOOKUP(worksheet!D957,products!$A$1:$A$49,products!$E$1:$E$49,0)</f>
        <v>34.154999999999994</v>
      </c>
      <c r="M957" s="6">
        <f>worksheet!E957*worksheet!L957</f>
        <v>170.77499999999998</v>
      </c>
      <c r="N957" t="str">
        <f t="shared" si="28"/>
        <v>Excelsa</v>
      </c>
      <c r="O957" t="str">
        <f t="shared" si="29"/>
        <v>Light</v>
      </c>
      <c r="P957" t="str">
        <f>_xlfn.XLOOKUP(worksheet[[#This Row],[Customer ID]],customers!$A$1:$A$1001,customers!$I$1:$I$1001,0)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
        <v>6222</v>
      </c>
      <c r="H958" s="2" t="str">
        <f>_xlfn.XLOOKUP(C958,customers!$A$1:$A$1001,customers!$G$1:$G$1001,0)</f>
        <v>United States</v>
      </c>
      <c r="I958" t="str">
        <f>_xlfn.XLOOKUP(D958,products!$A$1:$A$49,products!$B$1:$B$49,0)</f>
        <v>Rob</v>
      </c>
      <c r="J958" t="str">
        <f>_xlfn.XLOOKUP(worksheet!D958,products!$A$1:$A$49,products!$C$1:$C$49,0)</f>
        <v>L</v>
      </c>
      <c r="K958" s="5">
        <f>_xlfn.XLOOKUP(worksheet!D958,products!$A$1:$A$49,products!$D$1:$D$49,0)</f>
        <v>2.5</v>
      </c>
      <c r="L958" s="6">
        <f>_xlfn.XLOOKUP(worksheet!D958,products!$A$1:$A$49,products!$E$1:$E$49,0)</f>
        <v>27.484999999999996</v>
      </c>
      <c r="M958" s="6">
        <f>worksheet!E958*worksheet!L958</f>
        <v>54.969999999999992</v>
      </c>
      <c r="N958" t="str">
        <f t="shared" si="28"/>
        <v>Robusta</v>
      </c>
      <c r="O958" t="str">
        <f t="shared" si="29"/>
        <v>Light</v>
      </c>
      <c r="P958" t="str">
        <f>_xlfn.XLOOKUP(worksheet[[#This Row],[Customer ID]],customers!$A$1:$A$1001,customers!$I$1:$I$1001,0)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
        <v>6222</v>
      </c>
      <c r="H959" s="2" t="str">
        <f>_xlfn.XLOOKUP(C959,customers!$A$1:$A$1001,customers!$G$1:$G$1001,0)</f>
        <v>United States</v>
      </c>
      <c r="I959" t="str">
        <f>_xlfn.XLOOKUP(D959,products!$A$1:$A$49,products!$B$1:$B$49,0)</f>
        <v>Exc</v>
      </c>
      <c r="J959" t="str">
        <f>_xlfn.XLOOKUP(worksheet!D959,products!$A$1:$A$49,products!$C$1:$C$49,0)</f>
        <v>L</v>
      </c>
      <c r="K959" s="5">
        <f>_xlfn.XLOOKUP(worksheet!D959,products!$A$1:$A$49,products!$D$1:$D$49,0)</f>
        <v>1</v>
      </c>
      <c r="L959" s="6">
        <f>_xlfn.XLOOKUP(worksheet!D959,products!$A$1:$A$49,products!$E$1:$E$49,0)</f>
        <v>14.85</v>
      </c>
      <c r="M959" s="6">
        <f>worksheet!E959*worksheet!L959</f>
        <v>14.85</v>
      </c>
      <c r="N959" t="str">
        <f t="shared" si="28"/>
        <v>Excelsa</v>
      </c>
      <c r="O959" t="str">
        <f t="shared" si="29"/>
        <v>Light</v>
      </c>
      <c r="P959" t="str">
        <f>_xlfn.XLOOKUP(worksheet[[#This Row],[Customer ID]],customers!$A$1:$A$1001,customers!$I$1:$I$1001,0)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
        <v>6222</v>
      </c>
      <c r="H960" s="2" t="str">
        <f>_xlfn.XLOOKUP(C960,customers!$A$1:$A$1001,customers!$G$1:$G$1001,0)</f>
        <v>United States</v>
      </c>
      <c r="I960" t="str">
        <f>_xlfn.XLOOKUP(D960,products!$A$1:$A$49,products!$B$1:$B$49,0)</f>
        <v>Ara</v>
      </c>
      <c r="J960" t="str">
        <f>_xlfn.XLOOKUP(worksheet!D960,products!$A$1:$A$49,products!$C$1:$C$49,0)</f>
        <v>L</v>
      </c>
      <c r="K960" s="5">
        <f>_xlfn.XLOOKUP(worksheet!D960,products!$A$1:$A$49,products!$D$1:$D$49,0)</f>
        <v>0.2</v>
      </c>
      <c r="L960" s="6">
        <f>_xlfn.XLOOKUP(worksheet!D960,products!$A$1:$A$49,products!$E$1:$E$49,0)</f>
        <v>3.8849999999999998</v>
      </c>
      <c r="M960" s="6">
        <f>worksheet!E960*worksheet!L960</f>
        <v>7.77</v>
      </c>
      <c r="N960" t="str">
        <f t="shared" si="28"/>
        <v>Arabica</v>
      </c>
      <c r="O960" t="str">
        <f t="shared" si="29"/>
        <v>Light</v>
      </c>
      <c r="P960" t="str">
        <f>_xlfn.XLOOKUP(worksheet[[#This Row],[Customer ID]],customers!$A$1:$A$1001,customers!$I$1:$I$1001,0)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
        <v>5913</v>
      </c>
      <c r="H961" s="2" t="str">
        <f>_xlfn.XLOOKUP(C961,customers!$A$1:$A$1001,customers!$G$1:$G$1001,0)</f>
        <v>United States</v>
      </c>
      <c r="I961" t="str">
        <f>_xlfn.XLOOKUP(D961,products!$A$1:$A$49,products!$B$1:$B$49,0)</f>
        <v>Lib</v>
      </c>
      <c r="J961" t="str">
        <f>_xlfn.XLOOKUP(worksheet!D961,products!$A$1:$A$49,products!$C$1:$C$49,0)</f>
        <v>L</v>
      </c>
      <c r="K961" s="5">
        <f>_xlfn.XLOOKUP(worksheet!D961,products!$A$1:$A$49,products!$D$1:$D$49,0)</f>
        <v>0.2</v>
      </c>
      <c r="L961" s="6">
        <f>_xlfn.XLOOKUP(worksheet!D961,products!$A$1:$A$49,products!$E$1:$E$49,0)</f>
        <v>4.7549999999999999</v>
      </c>
      <c r="M961" s="6">
        <f>worksheet!E961*worksheet!L961</f>
        <v>23.774999999999999</v>
      </c>
      <c r="N961" t="str">
        <f t="shared" si="28"/>
        <v>Liberica</v>
      </c>
      <c r="O961" t="str">
        <f t="shared" si="29"/>
        <v>Light</v>
      </c>
      <c r="P961" t="str">
        <f>_xlfn.XLOOKUP(worksheet[[#This Row],[Customer ID]],customers!$A$1:$A$1001,customers!$I$1:$I$1001,0)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
        <v>5918</v>
      </c>
      <c r="H962" s="2" t="str">
        <f>_xlfn.XLOOKUP(C962,customers!$A$1:$A$1001,customers!$G$1:$G$1001,0)</f>
        <v>United States</v>
      </c>
      <c r="I962" t="str">
        <f>_xlfn.XLOOKUP(D962,products!$A$1:$A$49,products!$B$1:$B$49,0)</f>
        <v>Lib</v>
      </c>
      <c r="J962" t="str">
        <f>_xlfn.XLOOKUP(worksheet!D962,products!$A$1:$A$49,products!$C$1:$C$49,0)</f>
        <v>L</v>
      </c>
      <c r="K962" s="5">
        <f>_xlfn.XLOOKUP(worksheet!D962,products!$A$1:$A$49,products!$D$1:$D$49,0)</f>
        <v>1</v>
      </c>
      <c r="L962" s="6">
        <f>_xlfn.XLOOKUP(worksheet!D962,products!$A$1:$A$49,products!$E$1:$E$49,0)</f>
        <v>15.85</v>
      </c>
      <c r="M962" s="6">
        <f>worksheet!E962*worksheet!L962</f>
        <v>79.25</v>
      </c>
      <c r="N962" t="str">
        <f t="shared" si="28"/>
        <v>Liberica</v>
      </c>
      <c r="O962" t="str">
        <f t="shared" si="29"/>
        <v>Light</v>
      </c>
      <c r="P962" t="str">
        <f>_xlfn.XLOOKUP(worksheet[[#This Row],[Customer ID]],customers!$A$1:$A$1001,customers!$I$1:$I$1001,0)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
        <v>6222</v>
      </c>
      <c r="H963" s="2" t="str">
        <f>_xlfn.XLOOKUP(C963,customers!$A$1:$A$1001,customers!$G$1:$G$1001,0)</f>
        <v>United States</v>
      </c>
      <c r="I963" t="str">
        <f>_xlfn.XLOOKUP(D963,products!$A$1:$A$49,products!$B$1:$B$49,0)</f>
        <v>Ara</v>
      </c>
      <c r="J963" t="str">
        <f>_xlfn.XLOOKUP(worksheet!D963,products!$A$1:$A$49,products!$C$1:$C$49,0)</f>
        <v>D</v>
      </c>
      <c r="K963" s="5">
        <f>_xlfn.XLOOKUP(worksheet!D963,products!$A$1:$A$49,products!$D$1:$D$49,0)</f>
        <v>2.5</v>
      </c>
      <c r="L963" s="6">
        <f>_xlfn.XLOOKUP(worksheet!D963,products!$A$1:$A$49,products!$E$1:$E$49,0)</f>
        <v>22.884999999999998</v>
      </c>
      <c r="M963" s="6">
        <f>worksheet!E963*worksheet!L963</f>
        <v>45.769999999999996</v>
      </c>
      <c r="N963" t="str">
        <f t="shared" ref="N963:N1001" si="30">IF(I963="Rob","Robusta",IF(I963="Exc","Excelsa",IF(I963="Ara","Arabica",IF(I963="Lib","Liberica",""))))</f>
        <v>Arabica</v>
      </c>
      <c r="O963" t="str">
        <f t="shared" ref="O963:O1001" si="31">IF(J963="M","Medium",IF(J963="L","Light",IF(J963="D","Dark","")))</f>
        <v>Dark</v>
      </c>
      <c r="P963" t="str">
        <f>_xlfn.XLOOKUP(worksheet[[#This Row],[Customer ID]],customers!$A$1:$A$1001,customers!$I$1:$I$1001,0)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
        <v>5929</v>
      </c>
      <c r="H964" s="2" t="str">
        <f>_xlfn.XLOOKUP(C964,customers!$A$1:$A$1001,customers!$G$1:$G$1001,0)</f>
        <v>Ireland</v>
      </c>
      <c r="I964" t="str">
        <f>_xlfn.XLOOKUP(D964,products!$A$1:$A$49,products!$B$1:$B$49,0)</f>
        <v>Rob</v>
      </c>
      <c r="J964" t="str">
        <f>_xlfn.XLOOKUP(worksheet!D964,products!$A$1:$A$49,products!$C$1:$C$49,0)</f>
        <v>D</v>
      </c>
      <c r="K964" s="5">
        <f>_xlfn.XLOOKUP(worksheet!D964,products!$A$1:$A$49,products!$D$1:$D$49,0)</f>
        <v>1</v>
      </c>
      <c r="L964" s="6">
        <f>_xlfn.XLOOKUP(worksheet!D964,products!$A$1:$A$49,products!$E$1:$E$49,0)</f>
        <v>8.9499999999999993</v>
      </c>
      <c r="M964" s="6">
        <f>worksheet!E964*worksheet!L964</f>
        <v>8.9499999999999993</v>
      </c>
      <c r="N964" t="str">
        <f t="shared" si="30"/>
        <v>Robusta</v>
      </c>
      <c r="O964" t="str">
        <f t="shared" si="31"/>
        <v>Dark</v>
      </c>
      <c r="P964" t="str">
        <f>_xlfn.XLOOKUP(worksheet[[#This Row],[Customer ID]],customers!$A$1:$A$1001,customers!$I$1:$I$1001,0)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
        <v>5935</v>
      </c>
      <c r="H965" s="2" t="str">
        <f>_xlfn.XLOOKUP(C965,customers!$A$1:$A$1001,customers!$G$1:$G$1001,0)</f>
        <v>United States</v>
      </c>
      <c r="I965" t="str">
        <f>_xlfn.XLOOKUP(D965,products!$A$1:$A$49,products!$B$1:$B$49,0)</f>
        <v>Rob</v>
      </c>
      <c r="J965" t="str">
        <f>_xlfn.XLOOKUP(worksheet!D965,products!$A$1:$A$49,products!$C$1:$C$49,0)</f>
        <v>M</v>
      </c>
      <c r="K965" s="5">
        <f>_xlfn.XLOOKUP(worksheet!D965,products!$A$1:$A$49,products!$D$1:$D$49,0)</f>
        <v>0.5</v>
      </c>
      <c r="L965" s="6">
        <f>_xlfn.XLOOKUP(worksheet!D965,products!$A$1:$A$49,products!$E$1:$E$49,0)</f>
        <v>5.97</v>
      </c>
      <c r="M965" s="6">
        <f>worksheet!E965*worksheet!L965</f>
        <v>23.88</v>
      </c>
      <c r="N965" t="str">
        <f t="shared" si="30"/>
        <v>Robusta</v>
      </c>
      <c r="O965" t="str">
        <f t="shared" si="31"/>
        <v>Medium</v>
      </c>
      <c r="P965" t="str">
        <f>_xlfn.XLOOKUP(worksheet[[#This Row],[Customer ID]],customers!$A$1:$A$1001,customers!$I$1:$I$1001,0)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
        <v>5941</v>
      </c>
      <c r="H966" s="2" t="str">
        <f>_xlfn.XLOOKUP(C966,customers!$A$1:$A$1001,customers!$G$1:$G$1001,0)</f>
        <v>United States</v>
      </c>
      <c r="I966" t="str">
        <f>_xlfn.XLOOKUP(D966,products!$A$1:$A$49,products!$B$1:$B$49,0)</f>
        <v>Exc</v>
      </c>
      <c r="J966" t="str">
        <f>_xlfn.XLOOKUP(worksheet!D966,products!$A$1:$A$49,products!$C$1:$C$49,0)</f>
        <v>L</v>
      </c>
      <c r="K966" s="5">
        <f>_xlfn.XLOOKUP(worksheet!D966,products!$A$1:$A$49,products!$D$1:$D$49,0)</f>
        <v>0.2</v>
      </c>
      <c r="L966" s="6">
        <f>_xlfn.XLOOKUP(worksheet!D966,products!$A$1:$A$49,products!$E$1:$E$49,0)</f>
        <v>4.4550000000000001</v>
      </c>
      <c r="M966" s="6">
        <f>worksheet!E966*worksheet!L966</f>
        <v>22.274999999999999</v>
      </c>
      <c r="N966" t="str">
        <f t="shared" si="30"/>
        <v>Excelsa</v>
      </c>
      <c r="O966" t="str">
        <f t="shared" si="31"/>
        <v>Light</v>
      </c>
      <c r="P966" t="str">
        <f>_xlfn.XLOOKUP(worksheet[[#This Row],[Customer ID]],customers!$A$1:$A$1001,customers!$I$1:$I$1001,0)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
        <v>5947</v>
      </c>
      <c r="H967" s="2" t="str">
        <f>_xlfn.XLOOKUP(C967,customers!$A$1:$A$1001,customers!$G$1:$G$1001,0)</f>
        <v>United States</v>
      </c>
      <c r="I967" t="str">
        <f>_xlfn.XLOOKUP(D967,products!$A$1:$A$49,products!$B$1:$B$49,0)</f>
        <v>Rob</v>
      </c>
      <c r="J967" t="str">
        <f>_xlfn.XLOOKUP(worksheet!D967,products!$A$1:$A$49,products!$C$1:$C$49,0)</f>
        <v>M</v>
      </c>
      <c r="K967" s="5">
        <f>_xlfn.XLOOKUP(worksheet!D967,products!$A$1:$A$49,products!$D$1:$D$49,0)</f>
        <v>1</v>
      </c>
      <c r="L967" s="6">
        <f>_xlfn.XLOOKUP(worksheet!D967,products!$A$1:$A$49,products!$E$1:$E$49,0)</f>
        <v>9.9499999999999993</v>
      </c>
      <c r="M967" s="6">
        <f>worksheet!E967*worksheet!L967</f>
        <v>29.849999999999998</v>
      </c>
      <c r="N967" t="str">
        <f t="shared" si="30"/>
        <v>Robusta</v>
      </c>
      <c r="O967" t="str">
        <f t="shared" si="31"/>
        <v>Medium</v>
      </c>
      <c r="P967" t="str">
        <f>_xlfn.XLOOKUP(worksheet[[#This Row],[Customer ID]],customers!$A$1:$A$1001,customers!$I$1:$I$1001,0)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
        <v>5952</v>
      </c>
      <c r="H968" s="2" t="str">
        <f>_xlfn.XLOOKUP(C968,customers!$A$1:$A$1001,customers!$G$1:$G$1001,0)</f>
        <v>United States</v>
      </c>
      <c r="I968" t="str">
        <f>_xlfn.XLOOKUP(D968,products!$A$1:$A$49,products!$B$1:$B$49,0)</f>
        <v>Exc</v>
      </c>
      <c r="J968" t="str">
        <f>_xlfn.XLOOKUP(worksheet!D968,products!$A$1:$A$49,products!$C$1:$C$49,0)</f>
        <v>L</v>
      </c>
      <c r="K968" s="5">
        <f>_xlfn.XLOOKUP(worksheet!D968,products!$A$1:$A$49,products!$D$1:$D$49,0)</f>
        <v>0.5</v>
      </c>
      <c r="L968" s="6">
        <f>_xlfn.XLOOKUP(worksheet!D968,products!$A$1:$A$49,products!$E$1:$E$49,0)</f>
        <v>8.91</v>
      </c>
      <c r="M968" s="6">
        <f>worksheet!E968*worksheet!L968</f>
        <v>53.46</v>
      </c>
      <c r="N968" t="str">
        <f t="shared" si="30"/>
        <v>Excelsa</v>
      </c>
      <c r="O968" t="str">
        <f t="shared" si="31"/>
        <v>Light</v>
      </c>
      <c r="P968" t="str">
        <f>_xlfn.XLOOKUP(worksheet[[#This Row],[Customer ID]],customers!$A$1:$A$1001,customers!$I$1:$I$1001,0)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
        <v>5958</v>
      </c>
      <c r="H969" s="2" t="str">
        <f>_xlfn.XLOOKUP(C969,customers!$A$1:$A$1001,customers!$G$1:$G$1001,0)</f>
        <v>Ireland</v>
      </c>
      <c r="I969" t="str">
        <f>_xlfn.XLOOKUP(D969,products!$A$1:$A$49,products!$B$1:$B$49,0)</f>
        <v>Rob</v>
      </c>
      <c r="J969" t="str">
        <f>_xlfn.XLOOKUP(worksheet!D969,products!$A$1:$A$49,products!$C$1:$C$49,0)</f>
        <v>D</v>
      </c>
      <c r="K969" s="5">
        <f>_xlfn.XLOOKUP(worksheet!D969,products!$A$1:$A$49,products!$D$1:$D$49,0)</f>
        <v>0.2</v>
      </c>
      <c r="L969" s="6">
        <f>_xlfn.XLOOKUP(worksheet!D969,products!$A$1:$A$49,products!$E$1:$E$49,0)</f>
        <v>2.6849999999999996</v>
      </c>
      <c r="M969" s="6">
        <f>worksheet!E969*worksheet!L969</f>
        <v>2.6849999999999996</v>
      </c>
      <c r="N969" t="str">
        <f t="shared" si="30"/>
        <v>Robusta</v>
      </c>
      <c r="O969" t="str">
        <f t="shared" si="31"/>
        <v>Dark</v>
      </c>
      <c r="P969" t="str">
        <f>_xlfn.XLOOKUP(worksheet[[#This Row],[Customer ID]],customers!$A$1:$A$1001,customers!$I$1:$I$1001,0)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
        <v>5964</v>
      </c>
      <c r="H970" s="2" t="str">
        <f>_xlfn.XLOOKUP(C970,customers!$A$1:$A$1001,customers!$G$1:$G$1001,0)</f>
        <v>United States</v>
      </c>
      <c r="I970" t="str">
        <f>_xlfn.XLOOKUP(D970,products!$A$1:$A$49,products!$B$1:$B$49,0)</f>
        <v>Rob</v>
      </c>
      <c r="J970" t="str">
        <f>_xlfn.XLOOKUP(worksheet!D970,products!$A$1:$A$49,products!$C$1:$C$49,0)</f>
        <v>M</v>
      </c>
      <c r="K970" s="5">
        <f>_xlfn.XLOOKUP(worksheet!D970,products!$A$1:$A$49,products!$D$1:$D$49,0)</f>
        <v>0.2</v>
      </c>
      <c r="L970" s="6">
        <f>_xlfn.XLOOKUP(worksheet!D970,products!$A$1:$A$49,products!$E$1:$E$49,0)</f>
        <v>2.9849999999999999</v>
      </c>
      <c r="M970" s="6">
        <f>worksheet!E970*worksheet!L970</f>
        <v>5.97</v>
      </c>
      <c r="N970" t="str">
        <f t="shared" si="30"/>
        <v>Robusta</v>
      </c>
      <c r="O970" t="str">
        <f t="shared" si="31"/>
        <v>Medium</v>
      </c>
      <c r="P970" t="str">
        <f>_xlfn.XLOOKUP(worksheet[[#This Row],[Customer ID]],customers!$A$1:$A$1001,customers!$I$1:$I$1001,0)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
        <v>5970</v>
      </c>
      <c r="H971" s="2" t="str">
        <f>_xlfn.XLOOKUP(C971,customers!$A$1:$A$1001,customers!$G$1:$G$1001,0)</f>
        <v>United States</v>
      </c>
      <c r="I971" t="str">
        <f>_xlfn.XLOOKUP(D971,products!$A$1:$A$49,products!$B$1:$B$49,0)</f>
        <v>Lib</v>
      </c>
      <c r="J971" t="str">
        <f>_xlfn.XLOOKUP(worksheet!D971,products!$A$1:$A$49,products!$C$1:$C$49,0)</f>
        <v>D</v>
      </c>
      <c r="K971" s="5">
        <f>_xlfn.XLOOKUP(worksheet!D971,products!$A$1:$A$49,products!$D$1:$D$49,0)</f>
        <v>1</v>
      </c>
      <c r="L971" s="6">
        <f>_xlfn.XLOOKUP(worksheet!D971,products!$A$1:$A$49,products!$E$1:$E$49,0)</f>
        <v>12.95</v>
      </c>
      <c r="M971" s="6">
        <f>worksheet!E971*worksheet!L971</f>
        <v>12.95</v>
      </c>
      <c r="N971" t="str">
        <f t="shared" si="30"/>
        <v>Liberica</v>
      </c>
      <c r="O971" t="str">
        <f t="shared" si="31"/>
        <v>Dark</v>
      </c>
      <c r="P971" t="str">
        <f>_xlfn.XLOOKUP(worksheet[[#This Row],[Customer ID]],customers!$A$1:$A$1001,customers!$I$1:$I$1001,0)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
        <v>6222</v>
      </c>
      <c r="H972" s="2" t="str">
        <f>_xlfn.XLOOKUP(C972,customers!$A$1:$A$1001,customers!$G$1:$G$1001,0)</f>
        <v>United States</v>
      </c>
      <c r="I972" t="str">
        <f>_xlfn.XLOOKUP(D972,products!$A$1:$A$49,products!$B$1:$B$49,0)</f>
        <v>Exc</v>
      </c>
      <c r="J972" t="str">
        <f>_xlfn.XLOOKUP(worksheet!D972,products!$A$1:$A$49,products!$C$1:$C$49,0)</f>
        <v>M</v>
      </c>
      <c r="K972" s="5">
        <f>_xlfn.XLOOKUP(worksheet!D972,products!$A$1:$A$49,products!$D$1:$D$49,0)</f>
        <v>0.5</v>
      </c>
      <c r="L972" s="6">
        <f>_xlfn.XLOOKUP(worksheet!D972,products!$A$1:$A$49,products!$E$1:$E$49,0)</f>
        <v>8.25</v>
      </c>
      <c r="M972" s="6">
        <f>worksheet!E972*worksheet!L972</f>
        <v>8.25</v>
      </c>
      <c r="N972" t="str">
        <f t="shared" si="30"/>
        <v>Excelsa</v>
      </c>
      <c r="O972" t="str">
        <f t="shared" si="31"/>
        <v>Medium</v>
      </c>
      <c r="P972" t="str">
        <f>_xlfn.XLOOKUP(worksheet[[#This Row],[Customer ID]],customers!$A$1:$A$1001,customers!$I$1:$I$1001,0)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
        <v>5981</v>
      </c>
      <c r="H973" s="2" t="str">
        <f>_xlfn.XLOOKUP(C973,customers!$A$1:$A$1001,customers!$G$1:$G$1001,0)</f>
        <v>United States</v>
      </c>
      <c r="I973" t="str">
        <f>_xlfn.XLOOKUP(D973,products!$A$1:$A$49,products!$B$1:$B$49,0)</f>
        <v>Ara</v>
      </c>
      <c r="J973" t="str">
        <f>_xlfn.XLOOKUP(worksheet!D973,products!$A$1:$A$49,products!$C$1:$C$49,0)</f>
        <v>L</v>
      </c>
      <c r="K973" s="5">
        <f>_xlfn.XLOOKUP(worksheet!D973,products!$A$1:$A$49,products!$D$1:$D$49,0)</f>
        <v>2.5</v>
      </c>
      <c r="L973" s="6">
        <f>_xlfn.XLOOKUP(worksheet!D973,products!$A$1:$A$49,products!$E$1:$E$49,0)</f>
        <v>29.784999999999997</v>
      </c>
      <c r="M973" s="6">
        <f>worksheet!E973*worksheet!L973</f>
        <v>148.92499999999998</v>
      </c>
      <c r="N973" t="str">
        <f t="shared" si="30"/>
        <v>Arabica</v>
      </c>
      <c r="O973" t="str">
        <f t="shared" si="31"/>
        <v>Light</v>
      </c>
      <c r="P973" t="str">
        <f>_xlfn.XLOOKUP(worksheet[[#This Row],[Customer ID]],customers!$A$1:$A$1001,customers!$I$1:$I$1001,0)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
        <v>6222</v>
      </c>
      <c r="H974" s="2" t="str">
        <f>_xlfn.XLOOKUP(C974,customers!$A$1:$A$1001,customers!$G$1:$G$1001,0)</f>
        <v>Ireland</v>
      </c>
      <c r="I974" t="str">
        <f>_xlfn.XLOOKUP(D974,products!$A$1:$A$49,products!$B$1:$B$49,0)</f>
        <v>Ara</v>
      </c>
      <c r="J974" t="str">
        <f>_xlfn.XLOOKUP(worksheet!D974,products!$A$1:$A$49,products!$C$1:$C$49,0)</f>
        <v>L</v>
      </c>
      <c r="K974" s="5">
        <f>_xlfn.XLOOKUP(worksheet!D974,products!$A$1:$A$49,products!$D$1:$D$49,0)</f>
        <v>2.5</v>
      </c>
      <c r="L974" s="6">
        <f>_xlfn.XLOOKUP(worksheet!D974,products!$A$1:$A$49,products!$E$1:$E$49,0)</f>
        <v>29.784999999999997</v>
      </c>
      <c r="M974" s="6">
        <f>worksheet!E974*worksheet!L974</f>
        <v>89.35499999999999</v>
      </c>
      <c r="N974" t="str">
        <f t="shared" si="30"/>
        <v>Arabica</v>
      </c>
      <c r="O974" t="str">
        <f t="shared" si="31"/>
        <v>Light</v>
      </c>
      <c r="P974" t="str">
        <f>_xlfn.XLOOKUP(worksheet[[#This Row],[Customer ID]],customers!$A$1:$A$1001,customers!$I$1:$I$1001,0)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
        <v>5992</v>
      </c>
      <c r="H975" s="2" t="str">
        <f>_xlfn.XLOOKUP(C975,customers!$A$1:$A$1001,customers!$G$1:$G$1001,0)</f>
        <v>United States</v>
      </c>
      <c r="I975" t="str">
        <f>_xlfn.XLOOKUP(D975,products!$A$1:$A$49,products!$B$1:$B$49,0)</f>
        <v>Lib</v>
      </c>
      <c r="J975" t="str">
        <f>_xlfn.XLOOKUP(worksheet!D975,products!$A$1:$A$49,products!$C$1:$C$49,0)</f>
        <v>M</v>
      </c>
      <c r="K975" s="5">
        <f>_xlfn.XLOOKUP(worksheet!D975,products!$A$1:$A$49,products!$D$1:$D$49,0)</f>
        <v>1</v>
      </c>
      <c r="L975" s="6">
        <f>_xlfn.XLOOKUP(worksheet!D975,products!$A$1:$A$49,products!$E$1:$E$49,0)</f>
        <v>14.55</v>
      </c>
      <c r="M975" s="6">
        <f>worksheet!E975*worksheet!L975</f>
        <v>87.300000000000011</v>
      </c>
      <c r="N975" t="str">
        <f t="shared" si="30"/>
        <v>Liberica</v>
      </c>
      <c r="O975" t="str">
        <f t="shared" si="31"/>
        <v>Medium</v>
      </c>
      <c r="P975" t="str">
        <f>_xlfn.XLOOKUP(worksheet[[#This Row],[Customer ID]],customers!$A$1:$A$1001,customers!$I$1:$I$1001,0)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
        <v>5998</v>
      </c>
      <c r="H976" s="2" t="str">
        <f>_xlfn.XLOOKUP(C976,customers!$A$1:$A$1001,customers!$G$1:$G$1001,0)</f>
        <v>United States</v>
      </c>
      <c r="I976" t="str">
        <f>_xlfn.XLOOKUP(D976,products!$A$1:$A$49,products!$B$1:$B$49,0)</f>
        <v>Rob</v>
      </c>
      <c r="J976" t="str">
        <f>_xlfn.XLOOKUP(worksheet!D976,products!$A$1:$A$49,products!$C$1:$C$49,0)</f>
        <v>D</v>
      </c>
      <c r="K976" s="5">
        <f>_xlfn.XLOOKUP(worksheet!D976,products!$A$1:$A$49,products!$D$1:$D$49,0)</f>
        <v>0.5</v>
      </c>
      <c r="L976" s="6">
        <f>_xlfn.XLOOKUP(worksheet!D976,products!$A$1:$A$49,products!$E$1:$E$49,0)</f>
        <v>5.3699999999999992</v>
      </c>
      <c r="M976" s="6">
        <f>worksheet!E976*worksheet!L976</f>
        <v>5.3699999999999992</v>
      </c>
      <c r="N976" t="str">
        <f t="shared" si="30"/>
        <v>Robusta</v>
      </c>
      <c r="O976" t="str">
        <f t="shared" si="31"/>
        <v>Dark</v>
      </c>
      <c r="P976" t="str">
        <f>_xlfn.XLOOKUP(worksheet[[#This Row],[Customer ID]],customers!$A$1:$A$1001,customers!$I$1:$I$1001,0)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
        <v>6004</v>
      </c>
      <c r="H977" s="2" t="str">
        <f>_xlfn.XLOOKUP(C977,customers!$A$1:$A$1001,customers!$G$1:$G$1001,0)</f>
        <v>Ireland</v>
      </c>
      <c r="I977" t="str">
        <f>_xlfn.XLOOKUP(D977,products!$A$1:$A$49,products!$B$1:$B$49,0)</f>
        <v>Ara</v>
      </c>
      <c r="J977" t="str">
        <f>_xlfn.XLOOKUP(worksheet!D977,products!$A$1:$A$49,products!$C$1:$C$49,0)</f>
        <v>D</v>
      </c>
      <c r="K977" s="5">
        <f>_xlfn.XLOOKUP(worksheet!D977,products!$A$1:$A$49,products!$D$1:$D$49,0)</f>
        <v>0.2</v>
      </c>
      <c r="L977" s="6">
        <f>_xlfn.XLOOKUP(worksheet!D977,products!$A$1:$A$49,products!$E$1:$E$49,0)</f>
        <v>2.9849999999999999</v>
      </c>
      <c r="M977" s="6">
        <f>worksheet!E977*worksheet!L977</f>
        <v>8.9550000000000001</v>
      </c>
      <c r="N977" t="str">
        <f t="shared" si="30"/>
        <v>Arabica</v>
      </c>
      <c r="O977" t="str">
        <f t="shared" si="31"/>
        <v>Dark</v>
      </c>
      <c r="P977" t="str">
        <f>_xlfn.XLOOKUP(worksheet[[#This Row],[Customer ID]],customers!$A$1:$A$1001,customers!$I$1:$I$1001,0)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
        <v>6010</v>
      </c>
      <c r="H978" s="2" t="str">
        <f>_xlfn.XLOOKUP(C978,customers!$A$1:$A$1001,customers!$G$1:$G$1001,0)</f>
        <v>United States</v>
      </c>
      <c r="I978" t="str">
        <f>_xlfn.XLOOKUP(D978,products!$A$1:$A$49,products!$B$1:$B$49,0)</f>
        <v>Rob</v>
      </c>
      <c r="J978" t="str">
        <f>_xlfn.XLOOKUP(worksheet!D978,products!$A$1:$A$49,products!$C$1:$C$49,0)</f>
        <v>L</v>
      </c>
      <c r="K978" s="5">
        <f>_xlfn.XLOOKUP(worksheet!D978,products!$A$1:$A$49,products!$D$1:$D$49,0)</f>
        <v>2.5</v>
      </c>
      <c r="L978" s="6">
        <f>_xlfn.XLOOKUP(worksheet!D978,products!$A$1:$A$49,products!$E$1:$E$49,0)</f>
        <v>27.484999999999996</v>
      </c>
      <c r="M978" s="6">
        <f>worksheet!E978*worksheet!L978</f>
        <v>137.42499999999998</v>
      </c>
      <c r="N978" t="str">
        <f t="shared" si="30"/>
        <v>Robusta</v>
      </c>
      <c r="O978" t="str">
        <f t="shared" si="31"/>
        <v>Light</v>
      </c>
      <c r="P978" t="str">
        <f>_xlfn.XLOOKUP(worksheet[[#This Row],[Customer ID]],customers!$A$1:$A$1001,customers!$I$1:$I$1001,0)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
        <v>6016</v>
      </c>
      <c r="H979" s="2" t="str">
        <f>_xlfn.XLOOKUP(C979,customers!$A$1:$A$1001,customers!$G$1:$G$1001,0)</f>
        <v>United States</v>
      </c>
      <c r="I979" t="str">
        <f>_xlfn.XLOOKUP(D979,products!$A$1:$A$49,products!$B$1:$B$49,0)</f>
        <v>Rob</v>
      </c>
      <c r="J979" t="str">
        <f>_xlfn.XLOOKUP(worksheet!D979,products!$A$1:$A$49,products!$C$1:$C$49,0)</f>
        <v>L</v>
      </c>
      <c r="K979" s="5">
        <f>_xlfn.XLOOKUP(worksheet!D979,products!$A$1:$A$49,products!$D$1:$D$49,0)</f>
        <v>1</v>
      </c>
      <c r="L979" s="6">
        <f>_xlfn.XLOOKUP(worksheet!D979,products!$A$1:$A$49,products!$E$1:$E$49,0)</f>
        <v>11.95</v>
      </c>
      <c r="M979" s="6">
        <f>worksheet!E979*worksheet!L979</f>
        <v>59.75</v>
      </c>
      <c r="N979" t="str">
        <f t="shared" si="30"/>
        <v>Robusta</v>
      </c>
      <c r="O979" t="str">
        <f t="shared" si="31"/>
        <v>Light</v>
      </c>
      <c r="P979" t="str">
        <f>_xlfn.XLOOKUP(worksheet[[#This Row],[Customer ID]],customers!$A$1:$A$1001,customers!$I$1:$I$1001,0)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
        <v>5992</v>
      </c>
      <c r="H980" s="2" t="str">
        <f>_xlfn.XLOOKUP(C980,customers!$A$1:$A$1001,customers!$G$1:$G$1001,0)</f>
        <v>United States</v>
      </c>
      <c r="I980" t="str">
        <f>_xlfn.XLOOKUP(D980,products!$A$1:$A$49,products!$B$1:$B$49,0)</f>
        <v>Ara</v>
      </c>
      <c r="J980" t="str">
        <f>_xlfn.XLOOKUP(worksheet!D980,products!$A$1:$A$49,products!$C$1:$C$49,0)</f>
        <v>L</v>
      </c>
      <c r="K980" s="5">
        <f>_xlfn.XLOOKUP(worksheet!D980,products!$A$1:$A$49,products!$D$1:$D$49,0)</f>
        <v>0.5</v>
      </c>
      <c r="L980" s="6">
        <f>_xlfn.XLOOKUP(worksheet!D980,products!$A$1:$A$49,products!$E$1:$E$49,0)</f>
        <v>7.77</v>
      </c>
      <c r="M980" s="6">
        <f>worksheet!E980*worksheet!L980</f>
        <v>23.31</v>
      </c>
      <c r="N980" t="str">
        <f t="shared" si="30"/>
        <v>Arabica</v>
      </c>
      <c r="O980" t="str">
        <f t="shared" si="31"/>
        <v>Light</v>
      </c>
      <c r="P980" t="str">
        <f>_xlfn.XLOOKUP(worksheet[[#This Row],[Customer ID]],customers!$A$1:$A$1001,customers!$I$1:$I$1001,0)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
        <v>6222</v>
      </c>
      <c r="H981" s="2" t="str">
        <f>_xlfn.XLOOKUP(C981,customers!$A$1:$A$1001,customers!$G$1:$G$1001,0)</f>
        <v>United States</v>
      </c>
      <c r="I981" t="str">
        <f>_xlfn.XLOOKUP(D981,products!$A$1:$A$49,products!$B$1:$B$49,0)</f>
        <v>Rob</v>
      </c>
      <c r="J981" t="str">
        <f>_xlfn.XLOOKUP(worksheet!D981,products!$A$1:$A$49,products!$C$1:$C$49,0)</f>
        <v>D</v>
      </c>
      <c r="K981" s="5">
        <f>_xlfn.XLOOKUP(worksheet!D981,products!$A$1:$A$49,products!$D$1:$D$49,0)</f>
        <v>0.5</v>
      </c>
      <c r="L981" s="6">
        <f>_xlfn.XLOOKUP(worksheet!D981,products!$A$1:$A$49,products!$E$1:$E$49,0)</f>
        <v>5.3699999999999992</v>
      </c>
      <c r="M981" s="6">
        <f>worksheet!E981*worksheet!L981</f>
        <v>10.739999999999998</v>
      </c>
      <c r="N981" t="str">
        <f t="shared" si="30"/>
        <v>Robusta</v>
      </c>
      <c r="O981" t="str">
        <f t="shared" si="31"/>
        <v>Dark</v>
      </c>
      <c r="P981" t="str">
        <f>_xlfn.XLOOKUP(worksheet[[#This Row],[Customer ID]],customers!$A$1:$A$1001,customers!$I$1:$I$1001,0)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
        <v>6222</v>
      </c>
      <c r="H982" s="2" t="str">
        <f>_xlfn.XLOOKUP(C982,customers!$A$1:$A$1001,customers!$G$1:$G$1001,0)</f>
        <v>United States</v>
      </c>
      <c r="I982" t="str">
        <f>_xlfn.XLOOKUP(D982,products!$A$1:$A$49,products!$B$1:$B$49,0)</f>
        <v>Exc</v>
      </c>
      <c r="J982" t="str">
        <f>_xlfn.XLOOKUP(worksheet!D982,products!$A$1:$A$49,products!$C$1:$C$49,0)</f>
        <v>D</v>
      </c>
      <c r="K982" s="5">
        <f>_xlfn.XLOOKUP(worksheet!D982,products!$A$1:$A$49,products!$D$1:$D$49,0)</f>
        <v>2.5</v>
      </c>
      <c r="L982" s="6">
        <f>_xlfn.XLOOKUP(worksheet!D982,products!$A$1:$A$49,products!$E$1:$E$49,0)</f>
        <v>27.945</v>
      </c>
      <c r="M982" s="6">
        <f>worksheet!E982*worksheet!L982</f>
        <v>167.67000000000002</v>
      </c>
      <c r="N982" t="str">
        <f t="shared" si="30"/>
        <v>Excelsa</v>
      </c>
      <c r="O982" t="str">
        <f t="shared" si="31"/>
        <v>Dark</v>
      </c>
      <c r="P982" t="str">
        <f>_xlfn.XLOOKUP(worksheet[[#This Row],[Customer ID]],customers!$A$1:$A$1001,customers!$I$1:$I$1001,0)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
        <v>6038</v>
      </c>
      <c r="H983" s="2" t="str">
        <f>_xlfn.XLOOKUP(C983,customers!$A$1:$A$1001,customers!$G$1:$G$1001,0)</f>
        <v>United States</v>
      </c>
      <c r="I983" t="str">
        <f>_xlfn.XLOOKUP(D983,products!$A$1:$A$49,products!$B$1:$B$49,0)</f>
        <v>Exc</v>
      </c>
      <c r="J983" t="str">
        <f>_xlfn.XLOOKUP(worksheet!D983,products!$A$1:$A$49,products!$C$1:$C$49,0)</f>
        <v>D</v>
      </c>
      <c r="K983" s="5">
        <f>_xlfn.XLOOKUP(worksheet!D983,products!$A$1:$A$49,products!$D$1:$D$49,0)</f>
        <v>0.2</v>
      </c>
      <c r="L983" s="6">
        <f>_xlfn.XLOOKUP(worksheet!D983,products!$A$1:$A$49,products!$E$1:$E$49,0)</f>
        <v>3.645</v>
      </c>
      <c r="M983" s="6">
        <f>worksheet!E983*worksheet!L983</f>
        <v>21.87</v>
      </c>
      <c r="N983" t="str">
        <f t="shared" si="30"/>
        <v>Excelsa</v>
      </c>
      <c r="O983" t="str">
        <f t="shared" si="31"/>
        <v>Dark</v>
      </c>
      <c r="P983" t="str">
        <f>_xlfn.XLOOKUP(worksheet[[#This Row],[Customer ID]],customers!$A$1:$A$1001,customers!$I$1:$I$1001,0)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
        <v>6044</v>
      </c>
      <c r="H984" s="2" t="str">
        <f>_xlfn.XLOOKUP(C984,customers!$A$1:$A$1001,customers!$G$1:$G$1001,0)</f>
        <v>United States</v>
      </c>
      <c r="I984" t="str">
        <f>_xlfn.XLOOKUP(D984,products!$A$1:$A$49,products!$B$1:$B$49,0)</f>
        <v>Rob</v>
      </c>
      <c r="J984" t="str">
        <f>_xlfn.XLOOKUP(worksheet!D984,products!$A$1:$A$49,products!$C$1:$C$49,0)</f>
        <v>L</v>
      </c>
      <c r="K984" s="5">
        <f>_xlfn.XLOOKUP(worksheet!D984,products!$A$1:$A$49,products!$D$1:$D$49,0)</f>
        <v>1</v>
      </c>
      <c r="L984" s="6">
        <f>_xlfn.XLOOKUP(worksheet!D984,products!$A$1:$A$49,products!$E$1:$E$49,0)</f>
        <v>11.95</v>
      </c>
      <c r="M984" s="6">
        <f>worksheet!E984*worksheet!L984</f>
        <v>23.9</v>
      </c>
      <c r="N984" t="str">
        <f t="shared" si="30"/>
        <v>Robusta</v>
      </c>
      <c r="O984" t="str">
        <f t="shared" si="31"/>
        <v>Light</v>
      </c>
      <c r="P984" t="str">
        <f>_xlfn.XLOOKUP(worksheet[[#This Row],[Customer ID]],customers!$A$1:$A$1001,customers!$I$1:$I$1001,0)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
        <v>6050</v>
      </c>
      <c r="H985" s="2" t="str">
        <f>_xlfn.XLOOKUP(C985,customers!$A$1:$A$1001,customers!$G$1:$G$1001,0)</f>
        <v>United States</v>
      </c>
      <c r="I985" t="str">
        <f>_xlfn.XLOOKUP(D985,products!$A$1:$A$49,products!$B$1:$B$49,0)</f>
        <v>Ara</v>
      </c>
      <c r="J985" t="str">
        <f>_xlfn.XLOOKUP(worksheet!D985,products!$A$1:$A$49,products!$C$1:$C$49,0)</f>
        <v>M</v>
      </c>
      <c r="K985" s="5">
        <f>_xlfn.XLOOKUP(worksheet!D985,products!$A$1:$A$49,products!$D$1:$D$49,0)</f>
        <v>0.2</v>
      </c>
      <c r="L985" s="6">
        <f>_xlfn.XLOOKUP(worksheet!D985,products!$A$1:$A$49,products!$E$1:$E$49,0)</f>
        <v>3.375</v>
      </c>
      <c r="M985" s="6">
        <f>worksheet!E985*worksheet!L985</f>
        <v>6.75</v>
      </c>
      <c r="N985" t="str">
        <f t="shared" si="30"/>
        <v>Arabica</v>
      </c>
      <c r="O985" t="str">
        <f t="shared" si="31"/>
        <v>Medium</v>
      </c>
      <c r="P985" t="str">
        <f>_xlfn.XLOOKUP(worksheet[[#This Row],[Customer ID]],customers!$A$1:$A$1001,customers!$I$1:$I$1001,0)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
        <v>6056</v>
      </c>
      <c r="H986" s="2" t="str">
        <f>_xlfn.XLOOKUP(C986,customers!$A$1:$A$1001,customers!$G$1:$G$1001,0)</f>
        <v>Ireland</v>
      </c>
      <c r="I986" t="str">
        <f>_xlfn.XLOOKUP(D986,products!$A$1:$A$49,products!$B$1:$B$49,0)</f>
        <v>Exc</v>
      </c>
      <c r="J986" t="str">
        <f>_xlfn.XLOOKUP(worksheet!D986,products!$A$1:$A$49,products!$C$1:$C$49,0)</f>
        <v>M</v>
      </c>
      <c r="K986" s="5">
        <f>_xlfn.XLOOKUP(worksheet!D986,products!$A$1:$A$49,products!$D$1:$D$49,0)</f>
        <v>2.5</v>
      </c>
      <c r="L986" s="6">
        <f>_xlfn.XLOOKUP(worksheet!D986,products!$A$1:$A$49,products!$E$1:$E$49,0)</f>
        <v>31.624999999999996</v>
      </c>
      <c r="M986" s="6">
        <f>worksheet!E986*worksheet!L986</f>
        <v>31.624999999999996</v>
      </c>
      <c r="N986" t="str">
        <f t="shared" si="30"/>
        <v>Excelsa</v>
      </c>
      <c r="O986" t="str">
        <f t="shared" si="31"/>
        <v>Medium</v>
      </c>
      <c r="P986" t="str">
        <f>_xlfn.XLOOKUP(worksheet[[#This Row],[Customer ID]],customers!$A$1:$A$1001,customers!$I$1:$I$1001,0)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
        <v>6061</v>
      </c>
      <c r="H987" s="2" t="str">
        <f>_xlfn.XLOOKUP(C987,customers!$A$1:$A$1001,customers!$G$1:$G$1001,0)</f>
        <v>United States</v>
      </c>
      <c r="I987" t="str">
        <f>_xlfn.XLOOKUP(D987,products!$A$1:$A$49,products!$B$1:$B$49,0)</f>
        <v>Rob</v>
      </c>
      <c r="J987" t="str">
        <f>_xlfn.XLOOKUP(worksheet!D987,products!$A$1:$A$49,products!$C$1:$C$49,0)</f>
        <v>L</v>
      </c>
      <c r="K987" s="5">
        <f>_xlfn.XLOOKUP(worksheet!D987,products!$A$1:$A$49,products!$D$1:$D$49,0)</f>
        <v>1</v>
      </c>
      <c r="L987" s="6">
        <f>_xlfn.XLOOKUP(worksheet!D987,products!$A$1:$A$49,products!$E$1:$E$49,0)</f>
        <v>11.95</v>
      </c>
      <c r="M987" s="6">
        <f>worksheet!E987*worksheet!L987</f>
        <v>47.8</v>
      </c>
      <c r="N987" t="str">
        <f t="shared" si="30"/>
        <v>Robusta</v>
      </c>
      <c r="O987" t="str">
        <f t="shared" si="31"/>
        <v>Light</v>
      </c>
      <c r="P987" t="str">
        <f>_xlfn.XLOOKUP(worksheet[[#This Row],[Customer ID]],customers!$A$1:$A$1001,customers!$I$1:$I$1001,0)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
        <v>6067</v>
      </c>
      <c r="H988" s="2" t="str">
        <f>_xlfn.XLOOKUP(C988,customers!$A$1:$A$1001,customers!$G$1:$G$1001,0)</f>
        <v>United States</v>
      </c>
      <c r="I988" t="str">
        <f>_xlfn.XLOOKUP(D988,products!$A$1:$A$49,products!$B$1:$B$49,0)</f>
        <v>Lib</v>
      </c>
      <c r="J988" t="str">
        <f>_xlfn.XLOOKUP(worksheet!D988,products!$A$1:$A$49,products!$C$1:$C$49,0)</f>
        <v>M</v>
      </c>
      <c r="K988" s="5">
        <f>_xlfn.XLOOKUP(worksheet!D988,products!$A$1:$A$49,products!$D$1:$D$49,0)</f>
        <v>2.5</v>
      </c>
      <c r="L988" s="6">
        <f>_xlfn.XLOOKUP(worksheet!D988,products!$A$1:$A$49,products!$E$1:$E$49,0)</f>
        <v>33.464999999999996</v>
      </c>
      <c r="M988" s="6">
        <f>worksheet!E988*worksheet!L988</f>
        <v>33.464999999999996</v>
      </c>
      <c r="N988" t="str">
        <f t="shared" si="30"/>
        <v>Liberica</v>
      </c>
      <c r="O988" t="str">
        <f t="shared" si="31"/>
        <v>Medium</v>
      </c>
      <c r="P988" t="str">
        <f>_xlfn.XLOOKUP(worksheet[[#This Row],[Customer ID]],customers!$A$1:$A$1001,customers!$I$1:$I$1001,0)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
        <v>6073</v>
      </c>
      <c r="H989" s="2" t="str">
        <f>_xlfn.XLOOKUP(C989,customers!$A$1:$A$1001,customers!$G$1:$G$1001,0)</f>
        <v>United Kingdom</v>
      </c>
      <c r="I989" t="str">
        <f>_xlfn.XLOOKUP(D989,products!$A$1:$A$49,products!$B$1:$B$49,0)</f>
        <v>Ara</v>
      </c>
      <c r="J989" t="str">
        <f>_xlfn.XLOOKUP(worksheet!D989,products!$A$1:$A$49,products!$C$1:$C$49,0)</f>
        <v>D</v>
      </c>
      <c r="K989" s="5">
        <f>_xlfn.XLOOKUP(worksheet!D989,products!$A$1:$A$49,products!$D$1:$D$49,0)</f>
        <v>0.5</v>
      </c>
      <c r="L989" s="6">
        <f>_xlfn.XLOOKUP(worksheet!D989,products!$A$1:$A$49,products!$E$1:$E$49,0)</f>
        <v>5.97</v>
      </c>
      <c r="M989" s="6">
        <f>worksheet!E989*worksheet!L989</f>
        <v>29.849999999999998</v>
      </c>
      <c r="N989" t="str">
        <f t="shared" si="30"/>
        <v>Arabica</v>
      </c>
      <c r="O989" t="str">
        <f t="shared" si="31"/>
        <v>Dark</v>
      </c>
      <c r="P989" t="str">
        <f>_xlfn.XLOOKUP(worksheet[[#This Row],[Customer ID]],customers!$A$1:$A$1001,customers!$I$1:$I$1001,0)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
        <v>6222</v>
      </c>
      <c r="H990" s="2" t="str">
        <f>_xlfn.XLOOKUP(C990,customers!$A$1:$A$1001,customers!$G$1:$G$1001,0)</f>
        <v>United Kingdom</v>
      </c>
      <c r="I990" t="str">
        <f>_xlfn.XLOOKUP(D990,products!$A$1:$A$49,products!$B$1:$B$49,0)</f>
        <v>Rob</v>
      </c>
      <c r="J990" t="str">
        <f>_xlfn.XLOOKUP(worksheet!D990,products!$A$1:$A$49,products!$C$1:$C$49,0)</f>
        <v>M</v>
      </c>
      <c r="K990" s="5">
        <f>_xlfn.XLOOKUP(worksheet!D990,products!$A$1:$A$49,products!$D$1:$D$49,0)</f>
        <v>1</v>
      </c>
      <c r="L990" s="6">
        <f>_xlfn.XLOOKUP(worksheet!D990,products!$A$1:$A$49,products!$E$1:$E$49,0)</f>
        <v>9.9499999999999993</v>
      </c>
      <c r="M990" s="6">
        <f>worksheet!E990*worksheet!L990</f>
        <v>29.849999999999998</v>
      </c>
      <c r="N990" t="str">
        <f t="shared" si="30"/>
        <v>Robusta</v>
      </c>
      <c r="O990" t="str">
        <f t="shared" si="31"/>
        <v>Medium</v>
      </c>
      <c r="P990" t="str">
        <f>_xlfn.XLOOKUP(worksheet[[#This Row],[Customer ID]],customers!$A$1:$A$1001,customers!$I$1:$I$1001,0)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
        <v>6222</v>
      </c>
      <c r="H991" s="2" t="str">
        <f>_xlfn.XLOOKUP(C991,customers!$A$1:$A$1001,customers!$G$1:$G$1001,0)</f>
        <v>United States</v>
      </c>
      <c r="I991" t="str">
        <f>_xlfn.XLOOKUP(D991,products!$A$1:$A$49,products!$B$1:$B$49,0)</f>
        <v>Ara</v>
      </c>
      <c r="J991" t="str">
        <f>_xlfn.XLOOKUP(worksheet!D991,products!$A$1:$A$49,products!$C$1:$C$49,0)</f>
        <v>M</v>
      </c>
      <c r="K991" s="5">
        <f>_xlfn.XLOOKUP(worksheet!D991,products!$A$1:$A$49,products!$D$1:$D$49,0)</f>
        <v>2.5</v>
      </c>
      <c r="L991" s="6">
        <f>_xlfn.XLOOKUP(worksheet!D991,products!$A$1:$A$49,products!$E$1:$E$49,0)</f>
        <v>25.874999999999996</v>
      </c>
      <c r="M991" s="6">
        <f>worksheet!E991*worksheet!L991</f>
        <v>155.24999999999997</v>
      </c>
      <c r="N991" t="str">
        <f t="shared" si="30"/>
        <v>Arabica</v>
      </c>
      <c r="O991" t="str">
        <f t="shared" si="31"/>
        <v>Medium</v>
      </c>
      <c r="P991" t="str">
        <f>_xlfn.XLOOKUP(worksheet[[#This Row],[Customer ID]],customers!$A$1:$A$1001,customers!$I$1:$I$1001,0)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
        <v>6222</v>
      </c>
      <c r="H992" s="2" t="str">
        <f>_xlfn.XLOOKUP(C992,customers!$A$1:$A$1001,customers!$G$1:$G$1001,0)</f>
        <v>United States</v>
      </c>
      <c r="I992" t="str">
        <f>_xlfn.XLOOKUP(D992,products!$A$1:$A$49,products!$B$1:$B$49,0)</f>
        <v>Exc</v>
      </c>
      <c r="J992" t="str">
        <f>_xlfn.XLOOKUP(worksheet!D992,products!$A$1:$A$49,products!$C$1:$C$49,0)</f>
        <v>D</v>
      </c>
      <c r="K992" s="5">
        <f>_xlfn.XLOOKUP(worksheet!D992,products!$A$1:$A$49,products!$D$1:$D$49,0)</f>
        <v>0.2</v>
      </c>
      <c r="L992" s="6">
        <f>_xlfn.XLOOKUP(worksheet!D992,products!$A$1:$A$49,products!$E$1:$E$49,0)</f>
        <v>3.645</v>
      </c>
      <c r="M992" s="6">
        <f>worksheet!E992*worksheet!L992</f>
        <v>18.225000000000001</v>
      </c>
      <c r="N992" t="str">
        <f t="shared" si="30"/>
        <v>Excelsa</v>
      </c>
      <c r="O992" t="str">
        <f t="shared" si="31"/>
        <v>Dark</v>
      </c>
      <c r="P992" t="str">
        <f>_xlfn.XLOOKUP(worksheet[[#This Row],[Customer ID]],customers!$A$1:$A$1001,customers!$I$1:$I$1001,0)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
        <v>6222</v>
      </c>
      <c r="H993" s="2" t="str">
        <f>_xlfn.XLOOKUP(C993,customers!$A$1:$A$1001,customers!$G$1:$G$1001,0)</f>
        <v>United States</v>
      </c>
      <c r="I993" t="str">
        <f>_xlfn.XLOOKUP(D993,products!$A$1:$A$49,products!$B$1:$B$49,0)</f>
        <v>Lib</v>
      </c>
      <c r="J993" t="str">
        <f>_xlfn.XLOOKUP(worksheet!D993,products!$A$1:$A$49,products!$C$1:$C$49,0)</f>
        <v>D</v>
      </c>
      <c r="K993" s="5">
        <f>_xlfn.XLOOKUP(worksheet!D993,products!$A$1:$A$49,products!$D$1:$D$49,0)</f>
        <v>0.5</v>
      </c>
      <c r="L993" s="6">
        <f>_xlfn.XLOOKUP(worksheet!D993,products!$A$1:$A$49,products!$E$1:$E$49,0)</f>
        <v>7.77</v>
      </c>
      <c r="M993" s="6">
        <f>worksheet!E993*worksheet!L993</f>
        <v>15.54</v>
      </c>
      <c r="N993" t="str">
        <f t="shared" si="30"/>
        <v>Liberica</v>
      </c>
      <c r="O993" t="str">
        <f t="shared" si="31"/>
        <v>Dark</v>
      </c>
      <c r="P993" t="str">
        <f>_xlfn.XLOOKUP(worksheet[[#This Row],[Customer ID]],customers!$A$1:$A$1001,customers!$I$1:$I$1001,0)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
        <v>6222</v>
      </c>
      <c r="H994" s="2" t="str">
        <f>_xlfn.XLOOKUP(C994,customers!$A$1:$A$1001,customers!$G$1:$G$1001,0)</f>
        <v>Ireland</v>
      </c>
      <c r="I994" t="str">
        <f>_xlfn.XLOOKUP(D994,products!$A$1:$A$49,products!$B$1:$B$49,0)</f>
        <v>Lib</v>
      </c>
      <c r="J994" t="str">
        <f>_xlfn.XLOOKUP(worksheet!D994,products!$A$1:$A$49,products!$C$1:$C$49,0)</f>
        <v>L</v>
      </c>
      <c r="K994" s="5">
        <f>_xlfn.XLOOKUP(worksheet!D994,products!$A$1:$A$49,products!$D$1:$D$49,0)</f>
        <v>2.5</v>
      </c>
      <c r="L994" s="6">
        <f>_xlfn.XLOOKUP(worksheet!D994,products!$A$1:$A$49,products!$E$1:$E$49,0)</f>
        <v>36.454999999999998</v>
      </c>
      <c r="M994" s="6">
        <f>worksheet!E994*worksheet!L994</f>
        <v>109.36499999999999</v>
      </c>
      <c r="N994" t="str">
        <f t="shared" si="30"/>
        <v>Liberica</v>
      </c>
      <c r="O994" t="str">
        <f t="shared" si="31"/>
        <v>Light</v>
      </c>
      <c r="P994" t="str">
        <f>_xlfn.XLOOKUP(worksheet[[#This Row],[Customer ID]],customers!$A$1:$A$1001,customers!$I$1:$I$1001,0)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
        <v>6222</v>
      </c>
      <c r="H995" s="2" t="str">
        <f>_xlfn.XLOOKUP(C995,customers!$A$1:$A$1001,customers!$G$1:$G$1001,0)</f>
        <v>United States</v>
      </c>
      <c r="I995" t="str">
        <f>_xlfn.XLOOKUP(D995,products!$A$1:$A$49,products!$B$1:$B$49,0)</f>
        <v>Ara</v>
      </c>
      <c r="J995" t="str">
        <f>_xlfn.XLOOKUP(worksheet!D995,products!$A$1:$A$49,products!$C$1:$C$49,0)</f>
        <v>L</v>
      </c>
      <c r="K995" s="5">
        <f>_xlfn.XLOOKUP(worksheet!D995,products!$A$1:$A$49,products!$D$1:$D$49,0)</f>
        <v>1</v>
      </c>
      <c r="L995" s="6">
        <f>_xlfn.XLOOKUP(worksheet!D995,products!$A$1:$A$49,products!$E$1:$E$49,0)</f>
        <v>12.95</v>
      </c>
      <c r="M995" s="6">
        <f>worksheet!E995*worksheet!L995</f>
        <v>77.699999999999989</v>
      </c>
      <c r="N995" t="str">
        <f t="shared" si="30"/>
        <v>Arabica</v>
      </c>
      <c r="O995" t="str">
        <f t="shared" si="31"/>
        <v>Light</v>
      </c>
      <c r="P995" t="str">
        <f>_xlfn.XLOOKUP(worksheet[[#This Row],[Customer ID]],customers!$A$1:$A$1001,customers!$I$1:$I$1001,0)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
        <v>6222</v>
      </c>
      <c r="H996" s="2" t="str">
        <f>_xlfn.XLOOKUP(C996,customers!$A$1:$A$1001,customers!$G$1:$G$1001,0)</f>
        <v>Ireland</v>
      </c>
      <c r="I996" t="str">
        <f>_xlfn.XLOOKUP(D996,products!$A$1:$A$49,products!$B$1:$B$49,0)</f>
        <v>Ara</v>
      </c>
      <c r="J996" t="str">
        <f>_xlfn.XLOOKUP(worksheet!D996,products!$A$1:$A$49,products!$C$1:$C$49,0)</f>
        <v>D</v>
      </c>
      <c r="K996" s="5">
        <f>_xlfn.XLOOKUP(worksheet!D996,products!$A$1:$A$49,products!$D$1:$D$49,0)</f>
        <v>0.2</v>
      </c>
      <c r="L996" s="6">
        <f>_xlfn.XLOOKUP(worksheet!D996,products!$A$1:$A$49,products!$E$1:$E$49,0)</f>
        <v>2.9849999999999999</v>
      </c>
      <c r="M996" s="6">
        <f>worksheet!E996*worksheet!L996</f>
        <v>8.9550000000000001</v>
      </c>
      <c r="N996" t="str">
        <f t="shared" si="30"/>
        <v>Arabica</v>
      </c>
      <c r="O996" t="str">
        <f t="shared" si="31"/>
        <v>Dark</v>
      </c>
      <c r="P996" t="str">
        <f>_xlfn.XLOOKUP(worksheet[[#This Row],[Customer ID]],customers!$A$1:$A$1001,customers!$I$1:$I$1001,0)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
        <v>6114</v>
      </c>
      <c r="H997" s="2" t="str">
        <f>_xlfn.XLOOKUP(C997,customers!$A$1:$A$1001,customers!$G$1:$G$1001,0)</f>
        <v>United States</v>
      </c>
      <c r="I997" t="str">
        <f>_xlfn.XLOOKUP(D997,products!$A$1:$A$49,products!$B$1:$B$49,0)</f>
        <v>Rob</v>
      </c>
      <c r="J997" t="str">
        <f>_xlfn.XLOOKUP(worksheet!D997,products!$A$1:$A$49,products!$C$1:$C$49,0)</f>
        <v>L</v>
      </c>
      <c r="K997" s="5">
        <f>_xlfn.XLOOKUP(worksheet!D997,products!$A$1:$A$49,products!$D$1:$D$49,0)</f>
        <v>2.5</v>
      </c>
      <c r="L997" s="6">
        <f>_xlfn.XLOOKUP(worksheet!D997,products!$A$1:$A$49,products!$E$1:$E$49,0)</f>
        <v>27.484999999999996</v>
      </c>
      <c r="M997" s="6">
        <f>worksheet!E997*worksheet!L997</f>
        <v>27.484999999999996</v>
      </c>
      <c r="N997" t="str">
        <f t="shared" si="30"/>
        <v>Robusta</v>
      </c>
      <c r="O997" t="str">
        <f t="shared" si="31"/>
        <v>Light</v>
      </c>
      <c r="P997" t="str">
        <f>_xlfn.XLOOKUP(worksheet[[#This Row],[Customer ID]],customers!$A$1:$A$1001,customers!$I$1:$I$1001,0)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
        <v>6222</v>
      </c>
      <c r="H998" s="2" t="str">
        <f>_xlfn.XLOOKUP(C998,customers!$A$1:$A$1001,customers!$G$1:$G$1001,0)</f>
        <v>United States</v>
      </c>
      <c r="I998" t="str">
        <f>_xlfn.XLOOKUP(D998,products!$A$1:$A$49,products!$B$1:$B$49,0)</f>
        <v>Rob</v>
      </c>
      <c r="J998" t="str">
        <f>_xlfn.XLOOKUP(worksheet!D998,products!$A$1:$A$49,products!$C$1:$C$49,0)</f>
        <v>M</v>
      </c>
      <c r="K998" s="5">
        <f>_xlfn.XLOOKUP(worksheet!D998,products!$A$1:$A$49,products!$D$1:$D$49,0)</f>
        <v>0.5</v>
      </c>
      <c r="L998" s="6">
        <f>_xlfn.XLOOKUP(worksheet!D998,products!$A$1:$A$49,products!$E$1:$E$49,0)</f>
        <v>5.97</v>
      </c>
      <c r="M998" s="6">
        <f>worksheet!E998*worksheet!L998</f>
        <v>29.849999999999998</v>
      </c>
      <c r="N998" t="str">
        <f t="shared" si="30"/>
        <v>Robusta</v>
      </c>
      <c r="O998" t="str">
        <f t="shared" si="31"/>
        <v>Medium</v>
      </c>
      <c r="P998" t="str">
        <f>_xlfn.XLOOKUP(worksheet[[#This Row],[Customer ID]],customers!$A$1:$A$1001,customers!$I$1:$I$1001,0)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
        <v>6222</v>
      </c>
      <c r="H999" s="2" t="str">
        <f>_xlfn.XLOOKUP(C999,customers!$A$1:$A$1001,customers!$G$1:$G$1001,0)</f>
        <v>United States</v>
      </c>
      <c r="I999" t="str">
        <f>_xlfn.XLOOKUP(D999,products!$A$1:$A$49,products!$B$1:$B$49,0)</f>
        <v>Ara</v>
      </c>
      <c r="J999" t="str">
        <f>_xlfn.XLOOKUP(worksheet!D999,products!$A$1:$A$49,products!$C$1:$C$49,0)</f>
        <v>M</v>
      </c>
      <c r="K999" s="5">
        <f>_xlfn.XLOOKUP(worksheet!D999,products!$A$1:$A$49,products!$D$1:$D$49,0)</f>
        <v>0.5</v>
      </c>
      <c r="L999" s="6">
        <f>_xlfn.XLOOKUP(worksheet!D999,products!$A$1:$A$49,products!$E$1:$E$49,0)</f>
        <v>6.75</v>
      </c>
      <c r="M999" s="6">
        <f>worksheet!E999*worksheet!L999</f>
        <v>27</v>
      </c>
      <c r="N999" t="str">
        <f t="shared" si="30"/>
        <v>Arabica</v>
      </c>
      <c r="O999" t="str">
        <f t="shared" si="31"/>
        <v>Medium</v>
      </c>
      <c r="P999" t="str">
        <f>_xlfn.XLOOKUP(worksheet[[#This Row],[Customer ID]],customers!$A$1:$A$1001,customers!$I$1:$I$1001,0)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
        <v>6130</v>
      </c>
      <c r="H1000" s="2" t="str">
        <f>_xlfn.XLOOKUP(C1000,customers!$A$1:$A$1001,customers!$G$1:$G$1001,0)</f>
        <v>United States</v>
      </c>
      <c r="I1000" t="str">
        <f>_xlfn.XLOOKUP(D1000,products!$A$1:$A$49,products!$B$1:$B$49,0)</f>
        <v>Ara</v>
      </c>
      <c r="J1000" t="str">
        <f>_xlfn.XLOOKUP(worksheet!D1000,products!$A$1:$A$49,products!$C$1:$C$49,0)</f>
        <v>D</v>
      </c>
      <c r="K1000" s="5">
        <f>_xlfn.XLOOKUP(worksheet!D1000,products!$A$1:$A$49,products!$D$1:$D$49,0)</f>
        <v>1</v>
      </c>
      <c r="L1000" s="6">
        <f>_xlfn.XLOOKUP(worksheet!D1000,products!$A$1:$A$49,products!$E$1:$E$49,0)</f>
        <v>9.9499999999999993</v>
      </c>
      <c r="M1000" s="6">
        <f>worksheet!E1000*worksheet!L1000</f>
        <v>9.9499999999999993</v>
      </c>
      <c r="N1000" t="str">
        <f t="shared" si="30"/>
        <v>Arabica</v>
      </c>
      <c r="O1000" t="str">
        <f t="shared" si="31"/>
        <v>Dark</v>
      </c>
      <c r="P1000" t="str">
        <f>_xlfn.XLOOKUP(worksheet[[#This Row],[Customer ID]],customers!$A$1:$A$1001,customers!$I$1:$I$1001,0)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
        <v>6222</v>
      </c>
      <c r="H1001" s="2" t="str">
        <f>_xlfn.XLOOKUP(C1001,customers!$A$1:$A$1001,customers!$G$1:$G$1001,0)</f>
        <v>United Kingdom</v>
      </c>
      <c r="I1001" t="str">
        <f>_xlfn.XLOOKUP(D1001,products!$A$1:$A$49,products!$B$1:$B$49,0)</f>
        <v>Exc</v>
      </c>
      <c r="J1001" t="str">
        <f>_xlfn.XLOOKUP(worksheet!D1001,products!$A$1:$A$49,products!$C$1:$C$49,0)</f>
        <v>M</v>
      </c>
      <c r="K1001" s="5">
        <f>_xlfn.XLOOKUP(worksheet!D1001,products!$A$1:$A$49,products!$D$1:$D$49,0)</f>
        <v>0.2</v>
      </c>
      <c r="L1001" s="6">
        <f>_xlfn.XLOOKUP(worksheet!D1001,products!$A$1:$A$49,products!$E$1:$E$49,0)</f>
        <v>4.125</v>
      </c>
      <c r="M1001" s="6">
        <f>worksheet!E1001*worksheet!L1001</f>
        <v>12.375</v>
      </c>
      <c r="N1001" t="str">
        <f t="shared" si="30"/>
        <v>Excelsa</v>
      </c>
      <c r="O1001" t="str">
        <f t="shared" si="31"/>
        <v>Medium</v>
      </c>
      <c r="P1001" t="str">
        <f>_xlfn.XLOOKUP(worksheet[[#This Row],[Customer ID]],customers!$A$1:$A$1001,customers!$I$1:$I$1001,0)</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6013-3E5C-444C-9F99-FD0C6D254246}">
  <dimension ref="A1:G71"/>
  <sheetViews>
    <sheetView tabSelected="1" topLeftCell="A37" workbookViewId="0">
      <selection activeCell="C47" sqref="C47"/>
    </sheetView>
  </sheetViews>
  <sheetFormatPr defaultRowHeight="15" x14ac:dyDescent="0.25"/>
  <cols>
    <col min="1" max="1" width="16.7109375" bestFit="1" customWidth="1"/>
    <col min="2" max="2" width="12.140625" bestFit="1" customWidth="1"/>
    <col min="3" max="6" width="20" bestFit="1" customWidth="1"/>
    <col min="7" max="7" width="11.28515625" bestFit="1" customWidth="1"/>
  </cols>
  <sheetData>
    <row r="1" spans="1:7" x14ac:dyDescent="0.25">
      <c r="A1" s="7" t="s">
        <v>6221</v>
      </c>
      <c r="C1" s="7" t="s">
        <v>6196</v>
      </c>
    </row>
    <row r="2" spans="1:7" x14ac:dyDescent="0.25">
      <c r="A2" s="7" t="s">
        <v>6216</v>
      </c>
      <c r="B2" s="7" t="s">
        <v>1</v>
      </c>
      <c r="C2" t="s">
        <v>6217</v>
      </c>
      <c r="D2" t="s">
        <v>6218</v>
      </c>
      <c r="E2" t="s">
        <v>6219</v>
      </c>
      <c r="F2" t="s">
        <v>6220</v>
      </c>
      <c r="G2" t="s">
        <v>6199</v>
      </c>
    </row>
    <row r="3" spans="1:7" x14ac:dyDescent="0.25">
      <c r="A3" t="s">
        <v>6204</v>
      </c>
      <c r="B3" s="9" t="s">
        <v>6205</v>
      </c>
      <c r="C3" s="11"/>
      <c r="D3" s="11">
        <v>107.72999999999999</v>
      </c>
      <c r="E3" s="11">
        <v>95.1</v>
      </c>
      <c r="F3" s="11">
        <v>11.94</v>
      </c>
      <c r="G3" s="11">
        <v>214.76999999999998</v>
      </c>
    </row>
    <row r="4" spans="1:7" x14ac:dyDescent="0.25">
      <c r="B4" s="9" t="s">
        <v>6208</v>
      </c>
      <c r="C4" s="11">
        <v>162.125</v>
      </c>
      <c r="D4" s="11">
        <v>88.21</v>
      </c>
      <c r="E4" s="11">
        <v>314.89999999999992</v>
      </c>
      <c r="F4" s="11">
        <v>100.23999999999998</v>
      </c>
      <c r="G4" s="11">
        <v>665.47499999999991</v>
      </c>
    </row>
    <row r="5" spans="1:7" x14ac:dyDescent="0.25">
      <c r="B5" s="9" t="s">
        <v>6213</v>
      </c>
      <c r="C5" s="11"/>
      <c r="D5" s="11">
        <v>159.57999999999998</v>
      </c>
      <c r="E5" s="11">
        <v>75.69</v>
      </c>
      <c r="F5" s="11">
        <v>89.299999999999983</v>
      </c>
      <c r="G5" s="11">
        <v>324.56999999999994</v>
      </c>
    </row>
    <row r="6" spans="1:7" x14ac:dyDescent="0.25">
      <c r="B6" s="9" t="s">
        <v>6210</v>
      </c>
      <c r="C6" s="11">
        <v>242.36999999999998</v>
      </c>
      <c r="D6" s="11">
        <v>499.90499999999992</v>
      </c>
      <c r="E6" s="11">
        <v>104.65</v>
      </c>
      <c r="F6" s="11">
        <v>137.33999999999997</v>
      </c>
      <c r="G6" s="11">
        <v>984.26499999999987</v>
      </c>
    </row>
    <row r="7" spans="1:7" x14ac:dyDescent="0.25">
      <c r="B7" s="9" t="s">
        <v>6209</v>
      </c>
      <c r="C7" s="11"/>
      <c r="D7" s="11">
        <v>75.734999999999999</v>
      </c>
      <c r="E7" s="11">
        <v>193.83499999999998</v>
      </c>
      <c r="F7" s="11">
        <v>68.039999999999992</v>
      </c>
      <c r="G7" s="11">
        <v>337.61</v>
      </c>
    </row>
    <row r="8" spans="1:7" x14ac:dyDescent="0.25">
      <c r="B8" s="9" t="s">
        <v>6201</v>
      </c>
      <c r="C8" s="11">
        <v>163.01999999999998</v>
      </c>
      <c r="D8" s="11">
        <v>130.625</v>
      </c>
      <c r="E8" s="11">
        <v>46.769999999999996</v>
      </c>
      <c r="F8" s="11">
        <v>281.52</v>
      </c>
      <c r="G8" s="11">
        <v>621.93499999999995</v>
      </c>
    </row>
    <row r="9" spans="1:7" x14ac:dyDescent="0.25">
      <c r="B9" s="9" t="s">
        <v>6207</v>
      </c>
      <c r="C9" s="11">
        <v>175.06999999999996</v>
      </c>
      <c r="D9" s="11">
        <v>55.19</v>
      </c>
      <c r="E9" s="11">
        <v>12.95</v>
      </c>
      <c r="F9" s="11">
        <v>59.699999999999996</v>
      </c>
      <c r="G9" s="11">
        <v>302.90999999999997</v>
      </c>
    </row>
    <row r="10" spans="1:7" x14ac:dyDescent="0.25">
      <c r="B10" s="9" t="s">
        <v>6214</v>
      </c>
      <c r="C10" s="11">
        <v>121.21499999999997</v>
      </c>
      <c r="D10" s="11">
        <v>29.7</v>
      </c>
      <c r="E10" s="11"/>
      <c r="F10" s="11">
        <v>43.019999999999996</v>
      </c>
      <c r="G10" s="11">
        <v>193.93499999999995</v>
      </c>
    </row>
    <row r="11" spans="1:7" x14ac:dyDescent="0.25">
      <c r="B11" s="9" t="s">
        <v>6211</v>
      </c>
      <c r="C11" s="11"/>
      <c r="D11" s="11">
        <v>130.35</v>
      </c>
      <c r="E11" s="11">
        <v>210.72499999999997</v>
      </c>
      <c r="F11" s="11">
        <v>457.07999999999993</v>
      </c>
      <c r="G11" s="11">
        <v>798.15499999999986</v>
      </c>
    </row>
    <row r="12" spans="1:7" x14ac:dyDescent="0.25">
      <c r="B12" s="9" t="s">
        <v>6203</v>
      </c>
      <c r="C12" s="11">
        <v>114.00999999999999</v>
      </c>
      <c r="D12" s="11">
        <v>39.69</v>
      </c>
      <c r="E12" s="11">
        <v>161.16499999999999</v>
      </c>
      <c r="F12" s="11"/>
      <c r="G12" s="11">
        <v>314.86500000000001</v>
      </c>
    </row>
    <row r="13" spans="1:7" x14ac:dyDescent="0.25">
      <c r="B13" s="9" t="s">
        <v>6215</v>
      </c>
      <c r="C13" s="11">
        <v>245.33499999999998</v>
      </c>
      <c r="D13" s="11">
        <v>63.249999999999993</v>
      </c>
      <c r="E13" s="11">
        <v>126.49999999999999</v>
      </c>
      <c r="F13" s="11">
        <v>73.125</v>
      </c>
      <c r="G13" s="11">
        <v>508.21</v>
      </c>
    </row>
    <row r="14" spans="1:7" x14ac:dyDescent="0.25">
      <c r="B14" s="9" t="s">
        <v>6212</v>
      </c>
      <c r="C14" s="11">
        <v>17.384999999999998</v>
      </c>
      <c r="D14" s="11">
        <v>321.58499999999992</v>
      </c>
      <c r="E14" s="11">
        <v>137.85</v>
      </c>
      <c r="F14" s="11">
        <v>152.035</v>
      </c>
      <c r="G14" s="11">
        <v>628.8549999999999</v>
      </c>
    </row>
    <row r="15" spans="1:7" x14ac:dyDescent="0.25">
      <c r="A15" t="s">
        <v>6202</v>
      </c>
      <c r="B15" s="9" t="s">
        <v>6205</v>
      </c>
      <c r="C15" s="11">
        <v>47.25</v>
      </c>
      <c r="D15" s="11">
        <v>10.935</v>
      </c>
      <c r="E15" s="11">
        <v>231.88</v>
      </c>
      <c r="F15" s="11">
        <v>21.495000000000001</v>
      </c>
      <c r="G15" s="11">
        <v>311.56</v>
      </c>
    </row>
    <row r="16" spans="1:7" x14ac:dyDescent="0.25">
      <c r="B16" s="9" t="s">
        <v>6208</v>
      </c>
      <c r="C16" s="11">
        <v>5.97</v>
      </c>
      <c r="D16" s="11">
        <v>94.55</v>
      </c>
      <c r="E16" s="11">
        <v>73.740000000000009</v>
      </c>
      <c r="F16" s="11">
        <v>27.15</v>
      </c>
      <c r="G16" s="11">
        <v>201.41</v>
      </c>
    </row>
    <row r="17" spans="1:7" x14ac:dyDescent="0.25">
      <c r="B17" s="9" t="s">
        <v>6213</v>
      </c>
      <c r="C17" s="11">
        <v>63.81</v>
      </c>
      <c r="D17" s="11">
        <v>186.03</v>
      </c>
      <c r="E17" s="11">
        <v>200.345</v>
      </c>
      <c r="F17" s="11">
        <v>65.67</v>
      </c>
      <c r="G17" s="11">
        <v>515.85500000000002</v>
      </c>
    </row>
    <row r="18" spans="1:7" x14ac:dyDescent="0.25">
      <c r="B18" s="9" t="s">
        <v>6210</v>
      </c>
      <c r="C18" s="11"/>
      <c r="D18" s="11">
        <v>269.49999999999994</v>
      </c>
      <c r="E18" s="11">
        <v>23.774999999999999</v>
      </c>
      <c r="F18" s="11">
        <v>125.61499999999998</v>
      </c>
      <c r="G18" s="11">
        <v>418.88999999999987</v>
      </c>
    </row>
    <row r="19" spans="1:7" x14ac:dyDescent="0.25">
      <c r="B19" s="9" t="s">
        <v>6209</v>
      </c>
      <c r="C19" s="11">
        <v>215.31499999999997</v>
      </c>
      <c r="D19" s="11">
        <v>296.05500000000001</v>
      </c>
      <c r="E19" s="11">
        <v>23.774999999999999</v>
      </c>
      <c r="F19" s="11">
        <v>14.924999999999999</v>
      </c>
      <c r="G19" s="11">
        <v>550.06999999999994</v>
      </c>
    </row>
    <row r="20" spans="1:7" x14ac:dyDescent="0.25">
      <c r="B20" s="9" t="s">
        <v>6201</v>
      </c>
      <c r="C20" s="11">
        <v>240.74999999999997</v>
      </c>
      <c r="D20" s="11">
        <v>165.71499999999997</v>
      </c>
      <c r="E20" s="11">
        <v>212.42499999999998</v>
      </c>
      <c r="F20" s="11">
        <v>140.88</v>
      </c>
      <c r="G20" s="11">
        <v>759.76999999999987</v>
      </c>
    </row>
    <row r="21" spans="1:7" x14ac:dyDescent="0.25">
      <c r="B21" s="9" t="s">
        <v>6207</v>
      </c>
      <c r="C21" s="11">
        <v>351.14999999999992</v>
      </c>
      <c r="D21" s="11">
        <v>117.425</v>
      </c>
      <c r="E21" s="11">
        <v>61.11</v>
      </c>
      <c r="F21" s="11">
        <v>147.67500000000001</v>
      </c>
      <c r="G21" s="11">
        <v>677.3599999999999</v>
      </c>
    </row>
    <row r="22" spans="1:7" x14ac:dyDescent="0.25">
      <c r="B22" s="9" t="s">
        <v>6214</v>
      </c>
      <c r="C22" s="11"/>
      <c r="D22" s="11"/>
      <c r="E22" s="11">
        <v>31.97</v>
      </c>
      <c r="F22" s="11">
        <v>11.94</v>
      </c>
      <c r="G22" s="11">
        <v>43.91</v>
      </c>
    </row>
    <row r="23" spans="1:7" x14ac:dyDescent="0.25">
      <c r="B23" s="9" t="s">
        <v>6211</v>
      </c>
      <c r="C23" s="11">
        <v>24.66</v>
      </c>
      <c r="D23" s="11"/>
      <c r="E23" s="11">
        <v>25.049999999999997</v>
      </c>
      <c r="F23" s="11">
        <v>5.97</v>
      </c>
      <c r="G23" s="11">
        <v>55.679999999999993</v>
      </c>
    </row>
    <row r="24" spans="1:7" x14ac:dyDescent="0.25">
      <c r="B24" s="9" t="s">
        <v>6203</v>
      </c>
      <c r="C24" s="11">
        <v>278.15499999999997</v>
      </c>
      <c r="D24" s="11">
        <v>366.58499999999998</v>
      </c>
      <c r="E24" s="11">
        <v>305.73999999999995</v>
      </c>
      <c r="F24" s="11">
        <v>131.44999999999999</v>
      </c>
      <c r="G24" s="11">
        <v>1081.93</v>
      </c>
    </row>
    <row r="25" spans="1:7" x14ac:dyDescent="0.25">
      <c r="B25" s="9" t="s">
        <v>6215</v>
      </c>
      <c r="C25" s="11">
        <v>349.94499999999994</v>
      </c>
      <c r="D25" s="11">
        <v>142.56</v>
      </c>
      <c r="E25" s="11">
        <v>227.89999999999998</v>
      </c>
      <c r="F25" s="11">
        <v>77.234999999999999</v>
      </c>
      <c r="G25" s="11">
        <v>797.64</v>
      </c>
    </row>
    <row r="26" spans="1:7" x14ac:dyDescent="0.25">
      <c r="B26" s="9" t="s">
        <v>6212</v>
      </c>
      <c r="C26" s="11">
        <v>71.98</v>
      </c>
      <c r="D26" s="11">
        <v>130.08499999999998</v>
      </c>
      <c r="E26" s="11">
        <v>23.31</v>
      </c>
      <c r="F26" s="11">
        <v>59.194999999999993</v>
      </c>
      <c r="G26" s="11">
        <v>284.57</v>
      </c>
    </row>
    <row r="27" spans="1:7" x14ac:dyDescent="0.25">
      <c r="A27" t="s">
        <v>6206</v>
      </c>
      <c r="B27" s="9" t="s">
        <v>6205</v>
      </c>
      <c r="C27" s="11">
        <v>151.875</v>
      </c>
      <c r="D27" s="11">
        <v>127.47499999999999</v>
      </c>
      <c r="E27" s="11">
        <v>78.63</v>
      </c>
      <c r="F27" s="11">
        <v>124.37499999999999</v>
      </c>
      <c r="G27" s="11">
        <v>482.35500000000002</v>
      </c>
    </row>
    <row r="28" spans="1:7" x14ac:dyDescent="0.25">
      <c r="B28" s="9" t="s">
        <v>6208</v>
      </c>
      <c r="C28" s="11">
        <v>172.2</v>
      </c>
      <c r="D28" s="11">
        <v>235.65</v>
      </c>
      <c r="E28" s="11">
        <v>7.77</v>
      </c>
      <c r="F28" s="11">
        <v>64.44</v>
      </c>
      <c r="G28" s="11">
        <v>480.06</v>
      </c>
    </row>
    <row r="29" spans="1:7" x14ac:dyDescent="0.25">
      <c r="B29" s="9" t="s">
        <v>6213</v>
      </c>
      <c r="C29" s="11">
        <v>225.89999999999998</v>
      </c>
      <c r="D29" s="11">
        <v>160.73999999999998</v>
      </c>
      <c r="E29" s="11">
        <v>126.90999999999998</v>
      </c>
      <c r="F29" s="11">
        <v>89.534999999999982</v>
      </c>
      <c r="G29" s="11">
        <v>603.08499999999992</v>
      </c>
    </row>
    <row r="30" spans="1:7" x14ac:dyDescent="0.25">
      <c r="B30" s="9" t="s">
        <v>6210</v>
      </c>
      <c r="C30" s="11">
        <v>39.42</v>
      </c>
      <c r="D30" s="11">
        <v>233.23</v>
      </c>
      <c r="E30" s="11">
        <v>225.92499999999998</v>
      </c>
      <c r="F30" s="11">
        <v>82.339999999999989</v>
      </c>
      <c r="G30" s="11">
        <v>580.91499999999996</v>
      </c>
    </row>
    <row r="31" spans="1:7" x14ac:dyDescent="0.25">
      <c r="B31" s="9" t="s">
        <v>6209</v>
      </c>
      <c r="C31" s="11">
        <v>91.5</v>
      </c>
      <c r="D31" s="11">
        <v>38.370000000000005</v>
      </c>
      <c r="E31" s="11">
        <v>3.8849999999999998</v>
      </c>
      <c r="F31" s="11">
        <v>88.07</v>
      </c>
      <c r="G31" s="11">
        <v>221.82499999999999</v>
      </c>
    </row>
    <row r="32" spans="1:7" x14ac:dyDescent="0.25">
      <c r="B32" s="9" t="s">
        <v>6201</v>
      </c>
      <c r="C32" s="11">
        <v>150.68499999999997</v>
      </c>
      <c r="D32" s="11">
        <v>123.83000000000001</v>
      </c>
      <c r="E32" s="11">
        <v>21.825000000000003</v>
      </c>
      <c r="F32" s="11"/>
      <c r="G32" s="11">
        <v>296.33999999999997</v>
      </c>
    </row>
    <row r="33" spans="1:7" x14ac:dyDescent="0.25">
      <c r="B33" s="9" t="s">
        <v>6207</v>
      </c>
      <c r="C33" s="11"/>
      <c r="D33" s="11">
        <v>268.87499999999994</v>
      </c>
      <c r="E33" s="11">
        <v>8.73</v>
      </c>
      <c r="F33" s="11">
        <v>53.699999999999996</v>
      </c>
      <c r="G33" s="11">
        <v>331.30499999999995</v>
      </c>
    </row>
    <row r="34" spans="1:7" x14ac:dyDescent="0.25">
      <c r="B34" s="9" t="s">
        <v>6214</v>
      </c>
      <c r="C34" s="11">
        <v>168.10499999999999</v>
      </c>
      <c r="D34" s="11">
        <v>207.26</v>
      </c>
      <c r="E34" s="11"/>
      <c r="F34" s="11">
        <v>175.54999999999995</v>
      </c>
      <c r="G34" s="11">
        <v>550.91499999999996</v>
      </c>
    </row>
    <row r="35" spans="1:7" x14ac:dyDescent="0.25">
      <c r="B35" s="9" t="s">
        <v>6211</v>
      </c>
      <c r="C35" s="11">
        <v>173.41499999999999</v>
      </c>
      <c r="D35" s="11">
        <v>238.27500000000003</v>
      </c>
      <c r="E35" s="11">
        <v>46.62</v>
      </c>
      <c r="F35" s="11">
        <v>35.849999999999994</v>
      </c>
      <c r="G35" s="11">
        <v>494.16000000000008</v>
      </c>
    </row>
    <row r="36" spans="1:7" x14ac:dyDescent="0.25">
      <c r="B36" s="9" t="s">
        <v>6203</v>
      </c>
      <c r="C36" s="11">
        <v>56.07</v>
      </c>
      <c r="D36" s="11"/>
      <c r="E36" s="11">
        <v>299.07</v>
      </c>
      <c r="F36" s="11">
        <v>141.08500000000001</v>
      </c>
      <c r="G36" s="11">
        <v>496.22500000000002</v>
      </c>
    </row>
    <row r="37" spans="1:7" x14ac:dyDescent="0.25">
      <c r="B37" s="9" t="s">
        <v>6215</v>
      </c>
      <c r="C37" s="11">
        <v>260.01</v>
      </c>
      <c r="D37" s="11">
        <v>106.02000000000001</v>
      </c>
      <c r="E37" s="11">
        <v>262.72000000000003</v>
      </c>
      <c r="F37" s="11">
        <v>189.47499999999999</v>
      </c>
      <c r="G37" s="11">
        <v>818.22500000000002</v>
      </c>
    </row>
    <row r="38" spans="1:7" x14ac:dyDescent="0.25">
      <c r="B38" s="9" t="s">
        <v>6212</v>
      </c>
      <c r="C38" s="11">
        <v>197.61499999999998</v>
      </c>
      <c r="D38" s="11">
        <v>18.225000000000001</v>
      </c>
      <c r="E38" s="11">
        <v>241.85</v>
      </c>
      <c r="F38" s="11">
        <v>26.849999999999998</v>
      </c>
      <c r="G38" s="11">
        <v>484.53999999999996</v>
      </c>
    </row>
    <row r="39" spans="1:7" x14ac:dyDescent="0.25">
      <c r="A39" t="s">
        <v>6200</v>
      </c>
      <c r="B39" s="9" t="s">
        <v>6205</v>
      </c>
      <c r="C39" s="11">
        <v>82.634999999999991</v>
      </c>
      <c r="D39" s="11">
        <v>93.960000000000008</v>
      </c>
      <c r="E39" s="11">
        <v>380.43499999999995</v>
      </c>
      <c r="F39" s="11">
        <v>78.034999999999997</v>
      </c>
      <c r="G39" s="11">
        <v>635.06499999999994</v>
      </c>
    </row>
    <row r="40" spans="1:7" x14ac:dyDescent="0.25">
      <c r="B40" s="9" t="s">
        <v>6208</v>
      </c>
      <c r="C40" s="11">
        <v>65.67</v>
      </c>
      <c r="D40" s="11">
        <v>4.125</v>
      </c>
      <c r="E40" s="11">
        <v>23.774999999999999</v>
      </c>
      <c r="F40" s="11"/>
      <c r="G40" s="11">
        <v>93.57</v>
      </c>
    </row>
    <row r="41" spans="1:7" x14ac:dyDescent="0.25">
      <c r="B41" s="9" t="s">
        <v>6213</v>
      </c>
      <c r="C41" s="11">
        <v>232.76</v>
      </c>
      <c r="D41" s="11">
        <v>28.395</v>
      </c>
      <c r="E41" s="11">
        <v>458.14499999999998</v>
      </c>
      <c r="F41" s="11">
        <v>240.34999999999997</v>
      </c>
      <c r="G41" s="11">
        <v>959.64999999999986</v>
      </c>
    </row>
    <row r="42" spans="1:7" x14ac:dyDescent="0.25">
      <c r="B42" s="9" t="s">
        <v>6210</v>
      </c>
      <c r="C42" s="11">
        <v>190.125</v>
      </c>
      <c r="D42" s="11">
        <v>220.45499999999996</v>
      </c>
      <c r="E42" s="11">
        <v>42.734999999999999</v>
      </c>
      <c r="F42" s="11">
        <v>119.04499999999999</v>
      </c>
      <c r="G42" s="11">
        <v>572.3599999999999</v>
      </c>
    </row>
    <row r="43" spans="1:7" x14ac:dyDescent="0.25">
      <c r="B43" s="9" t="s">
        <v>6209</v>
      </c>
      <c r="C43" s="11">
        <v>92.389999999999986</v>
      </c>
      <c r="D43" s="11">
        <v>141.95499999999998</v>
      </c>
      <c r="E43" s="11">
        <v>79.180000000000007</v>
      </c>
      <c r="F43" s="11">
        <v>95.6</v>
      </c>
      <c r="G43" s="11">
        <v>409.125</v>
      </c>
    </row>
    <row r="44" spans="1:7" x14ac:dyDescent="0.25">
      <c r="B44" s="9" t="s">
        <v>6201</v>
      </c>
      <c r="C44" s="11">
        <v>47.76</v>
      </c>
      <c r="D44" s="11">
        <v>189.68</v>
      </c>
      <c r="E44" s="11">
        <v>8.73</v>
      </c>
      <c r="F44" s="11">
        <v>138.72499999999997</v>
      </c>
      <c r="G44" s="11">
        <v>384.89499999999998</v>
      </c>
    </row>
    <row r="45" spans="1:7" x14ac:dyDescent="0.25">
      <c r="B45" s="9" t="s">
        <v>6207</v>
      </c>
      <c r="C45" s="11">
        <v>81.534999999999997</v>
      </c>
      <c r="D45" s="11">
        <v>165.41499999999996</v>
      </c>
      <c r="E45" s="11"/>
      <c r="F45" s="11">
        <v>65.669999999999987</v>
      </c>
      <c r="G45" s="11">
        <v>312.61999999999995</v>
      </c>
    </row>
    <row r="46" spans="1:7" x14ac:dyDescent="0.25">
      <c r="B46" s="9" t="s">
        <v>6214</v>
      </c>
      <c r="C46" s="11">
        <v>29.784999999999997</v>
      </c>
      <c r="D46" s="11">
        <v>41.25</v>
      </c>
      <c r="E46" s="11"/>
      <c r="F46" s="11">
        <v>45.379999999999995</v>
      </c>
      <c r="G46" s="11">
        <v>116.41499999999999</v>
      </c>
    </row>
    <row r="47" spans="1:7" x14ac:dyDescent="0.25">
      <c r="A47" t="s">
        <v>6199</v>
      </c>
      <c r="C47" s="11">
        <v>5398.97</v>
      </c>
      <c r="D47" s="11">
        <v>6124.1750000000002</v>
      </c>
      <c r="E47" s="11">
        <v>5238.0900000000011</v>
      </c>
      <c r="F47" s="11">
        <v>4156.6149999999998</v>
      </c>
      <c r="G47" s="11">
        <v>20917.850000000002</v>
      </c>
    </row>
    <row r="51" spans="1:2" x14ac:dyDescent="0.25">
      <c r="A51" s="7" t="s">
        <v>6198</v>
      </c>
      <c r="B51" t="s">
        <v>6221</v>
      </c>
    </row>
    <row r="52" spans="1:2" x14ac:dyDescent="0.25">
      <c r="A52" s="8" t="s">
        <v>28</v>
      </c>
      <c r="B52" s="10">
        <v>886.12000000000012</v>
      </c>
    </row>
    <row r="53" spans="1:2" x14ac:dyDescent="0.25">
      <c r="A53" s="8" t="s">
        <v>318</v>
      </c>
      <c r="B53" s="10">
        <v>3566.9400000000005</v>
      </c>
    </row>
    <row r="54" spans="1:2" x14ac:dyDescent="0.25">
      <c r="A54" s="8" t="s">
        <v>19</v>
      </c>
      <c r="B54" s="10">
        <v>16464.789999999994</v>
      </c>
    </row>
    <row r="55" spans="1:2" x14ac:dyDescent="0.25">
      <c r="A55" s="8" t="s">
        <v>6199</v>
      </c>
      <c r="B55" s="10">
        <v>20917.849999999995</v>
      </c>
    </row>
    <row r="65" spans="1:2" x14ac:dyDescent="0.25">
      <c r="A65" s="7" t="s">
        <v>6198</v>
      </c>
      <c r="B65" t="s">
        <v>6221</v>
      </c>
    </row>
    <row r="66" spans="1:2" x14ac:dyDescent="0.25">
      <c r="A66" s="8" t="s">
        <v>1472</v>
      </c>
      <c r="B66" s="10">
        <v>204.92999999999995</v>
      </c>
    </row>
    <row r="67" spans="1:2" x14ac:dyDescent="0.25">
      <c r="A67" s="8" t="s">
        <v>2177</v>
      </c>
      <c r="B67" s="10">
        <v>204.92999999999995</v>
      </c>
    </row>
    <row r="68" spans="1:2" x14ac:dyDescent="0.25">
      <c r="A68" s="8" t="s">
        <v>3195</v>
      </c>
      <c r="B68" s="10">
        <v>206.59999999999997</v>
      </c>
    </row>
    <row r="69" spans="1:2" x14ac:dyDescent="0.25">
      <c r="A69" s="8" t="s">
        <v>5075</v>
      </c>
      <c r="B69" s="10">
        <v>246.20999999999998</v>
      </c>
    </row>
    <row r="70" spans="1:2" x14ac:dyDescent="0.25">
      <c r="A70" s="8" t="s">
        <v>5765</v>
      </c>
      <c r="B70" s="10">
        <v>307.04499999999996</v>
      </c>
    </row>
    <row r="71" spans="1:2" x14ac:dyDescent="0.25">
      <c r="A71" s="8" t="s">
        <v>6199</v>
      </c>
      <c r="B71" s="10">
        <v>1169.7149999999999</v>
      </c>
    </row>
  </sheetData>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DCD7-57F6-4894-B0BA-756BDEB92980}">
  <dimension ref="A1"/>
  <sheetViews>
    <sheetView showGridLines="0" workbookViewId="0">
      <selection activeCell="T19" sqref="T1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worksheet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MILLIE</dc:creator>
  <cp:keywords/>
  <dc:description/>
  <cp:lastModifiedBy>o</cp:lastModifiedBy>
  <cp:revision/>
  <dcterms:created xsi:type="dcterms:W3CDTF">2022-11-26T09:51:45Z</dcterms:created>
  <dcterms:modified xsi:type="dcterms:W3CDTF">2026-04-13T14:04:17Z</dcterms:modified>
  <cp:category/>
  <cp:contentStatus/>
</cp:coreProperties>
</file>